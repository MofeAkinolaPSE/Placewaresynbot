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E3E95D46-5137-40A2-B8C5-98ADDE262683}" xr6:coauthVersionLast="47" xr6:coauthVersionMax="47" xr10:uidLastSave="{00000000-0000-0000-0000-000000000000}"/>
  <bookViews>
    <workbookView xWindow="-110" yWindow="-110" windowWidth="19420" windowHeight="10300" xr2:uid="{8B5E8173-3B1F-413B-B3B8-AC4ABE7B7314}"/>
  </bookViews>
  <sheets>
    <sheet name="Stmt Rev-Exp Budget" sheetId="1" r:id="rId1"/>
  </sheets>
  <definedNames>
    <definedName name="_xlnm.Print_Titles" localSheetId="0">'Stmt Rev-Exp Budget'!$1:$1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4" i="1" l="1"/>
  <c r="D194" i="1"/>
  <c r="F194" i="1"/>
  <c r="E194" i="1"/>
  <c r="C194" i="1"/>
  <c r="B194" i="1"/>
  <c r="G192" i="1"/>
  <c r="D192" i="1"/>
  <c r="F192" i="1"/>
  <c r="E192" i="1"/>
  <c r="C192" i="1"/>
  <c r="B192" i="1"/>
  <c r="G190" i="1"/>
  <c r="D190" i="1"/>
  <c r="G189" i="1"/>
  <c r="D189" i="1"/>
  <c r="G188" i="1"/>
  <c r="D188" i="1"/>
  <c r="G187" i="1"/>
  <c r="D187" i="1"/>
  <c r="G186" i="1"/>
  <c r="D186" i="1"/>
  <c r="G185" i="1"/>
  <c r="D185" i="1"/>
  <c r="G184" i="1"/>
  <c r="D184" i="1"/>
  <c r="G183" i="1"/>
  <c r="D183" i="1"/>
  <c r="G182" i="1"/>
  <c r="D182" i="1"/>
  <c r="G181" i="1"/>
  <c r="D181" i="1"/>
  <c r="G180" i="1"/>
  <c r="D180" i="1"/>
  <c r="G179" i="1"/>
  <c r="D179" i="1"/>
  <c r="G178" i="1"/>
  <c r="D178" i="1"/>
  <c r="G177" i="1"/>
  <c r="D177" i="1"/>
  <c r="G176" i="1"/>
  <c r="D176" i="1"/>
  <c r="G175" i="1"/>
  <c r="D175" i="1"/>
  <c r="G174" i="1"/>
  <c r="D174" i="1"/>
  <c r="G173" i="1"/>
  <c r="D173" i="1"/>
  <c r="G172" i="1"/>
  <c r="D172" i="1"/>
  <c r="G171" i="1"/>
  <c r="D171" i="1"/>
  <c r="G170" i="1"/>
  <c r="D170" i="1"/>
  <c r="G169" i="1"/>
  <c r="D169" i="1"/>
  <c r="G168" i="1"/>
  <c r="D168" i="1"/>
  <c r="G167" i="1"/>
  <c r="D167" i="1"/>
  <c r="G166" i="1"/>
  <c r="D166" i="1"/>
  <c r="G165" i="1"/>
  <c r="D165" i="1"/>
  <c r="G164" i="1"/>
  <c r="D164" i="1"/>
  <c r="G163" i="1"/>
  <c r="D163" i="1"/>
  <c r="G162" i="1"/>
  <c r="D162" i="1"/>
  <c r="G161" i="1"/>
  <c r="D161" i="1"/>
  <c r="G160" i="1"/>
  <c r="D160" i="1"/>
  <c r="G159" i="1"/>
  <c r="D159" i="1"/>
  <c r="G158" i="1"/>
  <c r="D158" i="1"/>
  <c r="G157" i="1"/>
  <c r="D157" i="1"/>
  <c r="G156" i="1"/>
  <c r="D156" i="1"/>
  <c r="G155" i="1"/>
  <c r="D155" i="1"/>
  <c r="G154" i="1"/>
  <c r="D154" i="1"/>
  <c r="G153" i="1"/>
  <c r="D153" i="1"/>
  <c r="G152" i="1"/>
  <c r="D152" i="1"/>
  <c r="G151" i="1"/>
  <c r="D151" i="1"/>
  <c r="G150" i="1"/>
  <c r="D150" i="1"/>
  <c r="G149" i="1"/>
  <c r="D149" i="1"/>
  <c r="G148" i="1"/>
  <c r="D148" i="1"/>
  <c r="G147" i="1"/>
  <c r="D147" i="1"/>
  <c r="G146" i="1"/>
  <c r="D146" i="1"/>
  <c r="G145" i="1"/>
  <c r="D145" i="1"/>
  <c r="G144" i="1"/>
  <c r="D144" i="1"/>
  <c r="G143" i="1"/>
  <c r="D143" i="1"/>
  <c r="G142" i="1"/>
  <c r="D142" i="1"/>
  <c r="G141" i="1"/>
  <c r="D141" i="1"/>
  <c r="G140" i="1"/>
  <c r="D140" i="1"/>
  <c r="G139" i="1"/>
  <c r="D139" i="1"/>
  <c r="G138" i="1"/>
  <c r="D138" i="1"/>
  <c r="G137" i="1"/>
  <c r="D137" i="1"/>
  <c r="G136" i="1"/>
  <c r="D136" i="1"/>
  <c r="G135" i="1"/>
  <c r="D135" i="1"/>
  <c r="G134" i="1"/>
  <c r="D134" i="1"/>
  <c r="G133" i="1"/>
  <c r="D133" i="1"/>
  <c r="G132" i="1"/>
  <c r="D132" i="1"/>
  <c r="G131" i="1"/>
  <c r="D131" i="1"/>
  <c r="G130" i="1"/>
  <c r="D130" i="1"/>
  <c r="G129" i="1"/>
  <c r="D129" i="1"/>
  <c r="G128" i="1"/>
  <c r="D128" i="1"/>
  <c r="G127" i="1"/>
  <c r="D127" i="1"/>
  <c r="G126" i="1"/>
  <c r="D126" i="1"/>
  <c r="G125" i="1"/>
  <c r="D125" i="1"/>
  <c r="G124" i="1"/>
  <c r="D124" i="1"/>
  <c r="G123" i="1"/>
  <c r="D123" i="1"/>
  <c r="G122" i="1"/>
  <c r="D122" i="1"/>
  <c r="G121" i="1"/>
  <c r="D121" i="1"/>
  <c r="G120" i="1"/>
  <c r="D120" i="1"/>
  <c r="G119" i="1"/>
  <c r="D119" i="1"/>
  <c r="G118" i="1"/>
  <c r="D118" i="1"/>
  <c r="G117" i="1"/>
  <c r="D117" i="1"/>
  <c r="G116" i="1"/>
  <c r="D116" i="1"/>
  <c r="G115" i="1"/>
  <c r="D115" i="1"/>
  <c r="G114" i="1"/>
  <c r="D114" i="1"/>
  <c r="G113" i="1"/>
  <c r="D113" i="1"/>
  <c r="G112" i="1"/>
  <c r="D112" i="1"/>
  <c r="G111" i="1"/>
  <c r="D111" i="1"/>
  <c r="G110" i="1"/>
  <c r="D110" i="1"/>
  <c r="G109" i="1"/>
  <c r="D109" i="1"/>
  <c r="G108" i="1"/>
  <c r="D108" i="1"/>
  <c r="G107" i="1"/>
  <c r="D107" i="1"/>
  <c r="G106" i="1"/>
  <c r="D106" i="1"/>
  <c r="G105" i="1"/>
  <c r="D105" i="1"/>
  <c r="G104" i="1"/>
  <c r="D104" i="1"/>
  <c r="G103" i="1"/>
  <c r="D103" i="1"/>
  <c r="G102" i="1"/>
  <c r="D102" i="1"/>
  <c r="G98" i="1"/>
  <c r="D98" i="1"/>
  <c r="F98" i="1"/>
  <c r="E98" i="1"/>
  <c r="C98" i="1"/>
  <c r="B98" i="1"/>
  <c r="G96" i="1"/>
  <c r="D96" i="1"/>
  <c r="G95" i="1"/>
  <c r="D95" i="1"/>
  <c r="G94" i="1"/>
  <c r="D94" i="1"/>
  <c r="G93" i="1"/>
  <c r="D93" i="1"/>
  <c r="G92" i="1"/>
  <c r="D92" i="1"/>
  <c r="G91" i="1"/>
  <c r="D91" i="1"/>
  <c r="G90" i="1"/>
  <c r="D90" i="1"/>
  <c r="G89" i="1"/>
  <c r="D89" i="1"/>
  <c r="G88" i="1"/>
  <c r="D88" i="1"/>
  <c r="G87" i="1"/>
  <c r="D87" i="1"/>
  <c r="G86" i="1"/>
  <c r="D86" i="1"/>
  <c r="G85" i="1"/>
  <c r="D85" i="1"/>
  <c r="G84" i="1"/>
  <c r="D84" i="1"/>
  <c r="G83" i="1"/>
  <c r="D83" i="1"/>
  <c r="G82" i="1"/>
  <c r="D82" i="1"/>
  <c r="G81" i="1"/>
  <c r="D81" i="1"/>
  <c r="G80" i="1"/>
  <c r="D80" i="1"/>
  <c r="G79" i="1"/>
  <c r="D79" i="1"/>
  <c r="G78" i="1"/>
  <c r="D78" i="1"/>
  <c r="G77" i="1"/>
  <c r="D77" i="1"/>
  <c r="G76" i="1"/>
  <c r="D76" i="1"/>
  <c r="G75" i="1"/>
  <c r="D75" i="1"/>
  <c r="G74" i="1"/>
  <c r="D74" i="1"/>
  <c r="G73" i="1"/>
  <c r="D73" i="1"/>
  <c r="G72" i="1"/>
  <c r="D72" i="1"/>
  <c r="G71" i="1"/>
  <c r="D71" i="1"/>
  <c r="G70" i="1"/>
  <c r="D70" i="1"/>
  <c r="G69" i="1"/>
  <c r="D69" i="1"/>
  <c r="G68" i="1"/>
  <c r="D68" i="1"/>
  <c r="G67" i="1"/>
  <c r="D67" i="1"/>
  <c r="G66" i="1"/>
  <c r="D66" i="1"/>
  <c r="G65" i="1"/>
  <c r="D65" i="1"/>
  <c r="G64" i="1"/>
  <c r="D64" i="1"/>
  <c r="G63" i="1"/>
  <c r="D63" i="1"/>
  <c r="G62" i="1"/>
  <c r="D62" i="1"/>
  <c r="G61" i="1"/>
  <c r="D61" i="1"/>
  <c r="G60" i="1"/>
  <c r="D60" i="1"/>
  <c r="G59" i="1"/>
  <c r="D59" i="1"/>
  <c r="G58" i="1"/>
  <c r="D58" i="1"/>
  <c r="G57" i="1"/>
  <c r="D57" i="1"/>
  <c r="G56" i="1"/>
  <c r="D56" i="1"/>
  <c r="G55" i="1"/>
  <c r="D55" i="1"/>
  <c r="G54" i="1"/>
  <c r="D54" i="1"/>
  <c r="G53" i="1"/>
  <c r="D53" i="1"/>
  <c r="G52" i="1"/>
  <c r="D52" i="1"/>
  <c r="G51" i="1"/>
  <c r="D51" i="1"/>
  <c r="G50" i="1"/>
  <c r="D50" i="1"/>
  <c r="G49" i="1"/>
  <c r="D49" i="1"/>
  <c r="G48" i="1"/>
  <c r="D48" i="1"/>
  <c r="G47" i="1"/>
  <c r="D47" i="1"/>
  <c r="G46" i="1"/>
  <c r="D46" i="1"/>
  <c r="G45" i="1"/>
  <c r="D45" i="1"/>
  <c r="G44" i="1"/>
  <c r="D44" i="1"/>
  <c r="G43" i="1"/>
  <c r="D43" i="1"/>
  <c r="G42" i="1"/>
  <c r="D42" i="1"/>
  <c r="G41" i="1"/>
  <c r="D41" i="1"/>
  <c r="G40" i="1"/>
  <c r="D40" i="1"/>
  <c r="G39" i="1"/>
  <c r="D39" i="1"/>
  <c r="G38" i="1"/>
  <c r="D38" i="1"/>
  <c r="G37" i="1"/>
  <c r="D37" i="1"/>
  <c r="G36" i="1"/>
  <c r="D36" i="1"/>
  <c r="G35" i="1"/>
  <c r="D35" i="1"/>
  <c r="G34" i="1"/>
  <c r="D34" i="1"/>
  <c r="G33" i="1"/>
  <c r="D33" i="1"/>
  <c r="G32" i="1"/>
  <c r="D32" i="1"/>
  <c r="G31" i="1"/>
  <c r="D31" i="1"/>
  <c r="G30" i="1"/>
  <c r="D30" i="1"/>
  <c r="G29" i="1"/>
  <c r="D29" i="1"/>
  <c r="G28" i="1"/>
  <c r="D28" i="1"/>
  <c r="G27" i="1"/>
  <c r="D27" i="1"/>
  <c r="G26" i="1"/>
  <c r="D26" i="1"/>
  <c r="G25" i="1"/>
  <c r="D25" i="1"/>
  <c r="G24" i="1"/>
  <c r="D24" i="1"/>
  <c r="G23" i="1"/>
  <c r="D23" i="1"/>
  <c r="G22" i="1"/>
  <c r="D22" i="1"/>
  <c r="G21" i="1"/>
  <c r="D21" i="1"/>
  <c r="G20" i="1"/>
  <c r="D20" i="1"/>
  <c r="G19" i="1"/>
  <c r="D19" i="1"/>
  <c r="G18" i="1"/>
  <c r="D18" i="1"/>
  <c r="G17" i="1"/>
  <c r="D17" i="1"/>
  <c r="G16" i="1"/>
  <c r="D16" i="1"/>
  <c r="G15" i="1"/>
  <c r="D15" i="1"/>
  <c r="G14" i="1"/>
  <c r="D14" i="1"/>
  <c r="G13" i="1"/>
  <c r="D13" i="1"/>
  <c r="G12" i="1"/>
  <c r="D12" i="1"/>
  <c r="G11" i="1"/>
  <c r="D11" i="1"/>
  <c r="G10" i="1"/>
  <c r="D10" i="1"/>
  <c r="G9" i="1"/>
  <c r="D9" i="1"/>
  <c r="G8" i="1"/>
  <c r="D8" i="1"/>
  <c r="G7" i="1"/>
  <c r="D7" i="1"/>
  <c r="G6" i="1"/>
  <c r="D6" i="1"/>
  <c r="G5" i="1"/>
  <c r="D5" i="1"/>
  <c r="G4" i="1"/>
  <c r="D4" i="1"/>
  <c r="G3" i="1"/>
  <c r="D3" i="1"/>
</calcChain>
</file>

<file path=xl/sharedStrings.xml><?xml version="1.0" encoding="utf-8"?>
<sst xmlns="http://schemas.openxmlformats.org/spreadsheetml/2006/main" count="196" uniqueCount="190">
  <si>
    <t xml:space="preserve">
</t>
  </si>
  <si>
    <t>Current
Month</t>
  </si>
  <si>
    <t>Currrent
Month</t>
  </si>
  <si>
    <t>Year to
Date</t>
  </si>
  <si>
    <t>Revenues</t>
  </si>
  <si>
    <t>Thymoglobulin 25mg/5ml</t>
  </si>
  <si>
    <t>Hepatitis B Vaccine</t>
  </si>
  <si>
    <t>Hepatitis A Vaccine</t>
  </si>
  <si>
    <t>Cervarix Vaccines</t>
  </si>
  <si>
    <t>Gardasil 4</t>
  </si>
  <si>
    <t>Haemohpilus Influenzae Type B</t>
  </si>
  <si>
    <t>Priorix Tetra 1D</t>
  </si>
  <si>
    <t>Typhoid Fever Vaccine</t>
  </si>
  <si>
    <t>Measles,Mumps&amp;Rubella Vaccine</t>
  </si>
  <si>
    <t>Chicken Pox Vaccine</t>
  </si>
  <si>
    <t>Dipthtera,Teta,Pertusis(w),hep</t>
  </si>
  <si>
    <t>Dipth,Tetan,pertu(w),HepB&amp;Hib</t>
  </si>
  <si>
    <t>Meningitis Vaccine</t>
  </si>
  <si>
    <t>Chronic Hep BTreat(lamivudine</t>
  </si>
  <si>
    <t>Antibiotics</t>
  </si>
  <si>
    <t>Rotavirus</t>
  </si>
  <si>
    <t>Synflorix</t>
  </si>
  <si>
    <t>Prevenar 13</t>
  </si>
  <si>
    <t>Pentaxim</t>
  </si>
  <si>
    <t>Verorab</t>
  </si>
  <si>
    <t>Pneumo - 23</t>
  </si>
  <si>
    <t>Insulatard 40  I.U</t>
  </si>
  <si>
    <t>Insulatard 100  I.U</t>
  </si>
  <si>
    <t>Actrapid 100 i.u</t>
  </si>
  <si>
    <t>Mixtard 30 HM 40 i.u</t>
  </si>
  <si>
    <t>Mixtard 30 Penfill 100 i.u</t>
  </si>
  <si>
    <t>Actrapid HM 40 i.u</t>
  </si>
  <si>
    <t>Mixtard 30 HM 100 i.u</t>
  </si>
  <si>
    <t>Stamaril 1 vial</t>
  </si>
  <si>
    <t>Dultavax 0.5ml</t>
  </si>
  <si>
    <t>Novomix 30 Flexpen</t>
  </si>
  <si>
    <t>Insulatard Penfil 100  I.U</t>
  </si>
  <si>
    <t>Actrapid Penfill 100 I.U</t>
  </si>
  <si>
    <t>Polprotec Vaccines</t>
  </si>
  <si>
    <t>NovoTwist Needles</t>
  </si>
  <si>
    <t>Special Order</t>
  </si>
  <si>
    <t>Pentavalent</t>
  </si>
  <si>
    <t>Chicken Pox Vaccine(Zolon)</t>
  </si>
  <si>
    <t>Tetanus Toxoid</t>
  </si>
  <si>
    <t>Tetraxim</t>
  </si>
  <si>
    <t>Anti Rabis</t>
  </si>
  <si>
    <t>Rhogam (Anti - D)</t>
  </si>
  <si>
    <t>Victoza</t>
  </si>
  <si>
    <t>Sanofi Insulin</t>
  </si>
  <si>
    <t>Cholera Vaccines</t>
  </si>
  <si>
    <t>Clexane</t>
  </si>
  <si>
    <t>Anti-biotics</t>
  </si>
  <si>
    <t>Yellow Fever</t>
  </si>
  <si>
    <t>Anti- Hypertensive</t>
  </si>
  <si>
    <t>Amaryl Tabs</t>
  </si>
  <si>
    <t>Apidra</t>
  </si>
  <si>
    <t>Flu Vaccines</t>
  </si>
  <si>
    <t>Tresiba</t>
  </si>
  <si>
    <t>Adacel Polio Tdap/Ipv</t>
  </si>
  <si>
    <t>RHOCLONE</t>
  </si>
  <si>
    <t>Hexaxim</t>
  </si>
  <si>
    <t>Interest Income</t>
  </si>
  <si>
    <t>Other Income</t>
  </si>
  <si>
    <t>Finance Charge Income</t>
  </si>
  <si>
    <t>Shipping Charges Reimbursed</t>
  </si>
  <si>
    <t>Sales Returns and Allowances</t>
  </si>
  <si>
    <t>Sales Discounts</t>
  </si>
  <si>
    <t>ACRETIN 0.05%</t>
  </si>
  <si>
    <t>Discounts Received</t>
  </si>
  <si>
    <t>Lilly(CHI) Insulin</t>
  </si>
  <si>
    <t>Actrapid Flexpen 100IU</t>
  </si>
  <si>
    <t>Taxotere</t>
  </si>
  <si>
    <t>Epilim</t>
  </si>
  <si>
    <t>Tavanic</t>
  </si>
  <si>
    <t>Tetglob inj 250iu</t>
  </si>
  <si>
    <t>Nucard  160mg</t>
  </si>
  <si>
    <t>Nucard 80mg</t>
  </si>
  <si>
    <t>Androgel 1.62% Pump</t>
  </si>
  <si>
    <t>AVSAR 160/10mg Tab</t>
  </si>
  <si>
    <t>RECORMON 400IU</t>
  </si>
  <si>
    <t>XPLENDED 10MG</t>
  </si>
  <si>
    <t>Utrogestan 100Mg Cap Oral</t>
  </si>
  <si>
    <t>VARIRID</t>
  </si>
  <si>
    <t>ACRETIN 0.025%</t>
  </si>
  <si>
    <t>EVOFIX CAP 400MG</t>
  </si>
  <si>
    <t>EVOFIX SUSP 100MG</t>
  </si>
  <si>
    <t>UNI FRESH 30UD</t>
  </si>
  <si>
    <t>NOVOFINE NEEDLE 32G</t>
  </si>
  <si>
    <t>tetanus dipthteria</t>
  </si>
  <si>
    <t>FUSIBACT 15G</t>
  </si>
  <si>
    <t>ELICASAL OINTMENT</t>
  </si>
  <si>
    <t>LOXTRA</t>
  </si>
  <si>
    <t>OPTIFLOX OPTH</t>
  </si>
  <si>
    <t>FUSIBACT OINTMENT</t>
  </si>
  <si>
    <t>FUSIBACT CREAM 15G (A)</t>
  </si>
  <si>
    <t>Euvichol - S</t>
  </si>
  <si>
    <t>Total Revenues, Gains &amp; Other Support</t>
  </si>
  <si>
    <t/>
  </si>
  <si>
    <t>Expenditures</t>
  </si>
  <si>
    <t>Default Purchase Expense</t>
  </si>
  <si>
    <t>Advertising Expense</t>
  </si>
  <si>
    <t>Marketing expense-Local</t>
  </si>
  <si>
    <t>Marketing exp-International</t>
  </si>
  <si>
    <t>Amortization Expense</t>
  </si>
  <si>
    <t>Motor Repairs/Maintainance</t>
  </si>
  <si>
    <t>Power Bike Repairs/Maintain</t>
  </si>
  <si>
    <t>Motor oil/ fuel</t>
  </si>
  <si>
    <t>Bad Debt Expense</t>
  </si>
  <si>
    <t>Bank Charges (ZIB)</t>
  </si>
  <si>
    <t>Bank Charges (Diamond)</t>
  </si>
  <si>
    <t>Bank Charges (Fidelity)</t>
  </si>
  <si>
    <t>Business Premises</t>
  </si>
  <si>
    <t>Cash Over and Short</t>
  </si>
  <si>
    <t>Cash Lost</t>
  </si>
  <si>
    <t>Charitable Contributions Exp</t>
  </si>
  <si>
    <t>Commissions and Fees Exp</t>
  </si>
  <si>
    <t>Delivery Expense</t>
  </si>
  <si>
    <t>Depreciation Expense</t>
  </si>
  <si>
    <t>Dues and Subscriptions Exp</t>
  </si>
  <si>
    <t>Legal Fees Exp</t>
  </si>
  <si>
    <t>DSTV exp</t>
  </si>
  <si>
    <t>Discount Allowed</t>
  </si>
  <si>
    <t>Employee Benefit  Exp</t>
  </si>
  <si>
    <t>Employee Welfare &amp; Gift</t>
  </si>
  <si>
    <t>Traning and Development</t>
  </si>
  <si>
    <t>Staff Medical</t>
  </si>
  <si>
    <t>Freight Expense</t>
  </si>
  <si>
    <t>Public relations Expense</t>
  </si>
  <si>
    <t>Income Tax Expense</t>
  </si>
  <si>
    <t>Audit fee</t>
  </si>
  <si>
    <t>Insurance Expense</t>
  </si>
  <si>
    <t>Interest Expense</t>
  </si>
  <si>
    <t>Consultancy  Expense</t>
  </si>
  <si>
    <t>Accounting/auditing expense</t>
  </si>
  <si>
    <t>Registration &amp;Licenses Expense</t>
  </si>
  <si>
    <t>Lawma</t>
  </si>
  <si>
    <t>Land Use Charge</t>
  </si>
  <si>
    <t>Computer repairs/maintainance</t>
  </si>
  <si>
    <t>Internet Expenses</t>
  </si>
  <si>
    <t>General Office Expenses</t>
  </si>
  <si>
    <t>Contract Expenses</t>
  </si>
  <si>
    <t>Meals and Entertainment Exp</t>
  </si>
  <si>
    <t>Office Expense</t>
  </si>
  <si>
    <t>Parking Ticket</t>
  </si>
  <si>
    <t>Gift &amp; Donation</t>
  </si>
  <si>
    <t>Payroll Tax Expense</t>
  </si>
  <si>
    <t>Penalties and Fines Exp</t>
  </si>
  <si>
    <t>Other Taxes</t>
  </si>
  <si>
    <t>Postage Expense</t>
  </si>
  <si>
    <t>Rent or Lease Expense</t>
  </si>
  <si>
    <t>Electricity &amp; Diesel</t>
  </si>
  <si>
    <t>Repairs &amp; Maintenance</t>
  </si>
  <si>
    <t>Printing  Expense</t>
  </si>
  <si>
    <t>Stationery Expense</t>
  </si>
  <si>
    <t>Salaries Expense</t>
  </si>
  <si>
    <t>Staff Pension</t>
  </si>
  <si>
    <t>End of year bonus &amp; Leave Allo</t>
  </si>
  <si>
    <t>Industrial Training Fund</t>
  </si>
  <si>
    <t>Nig Social Insurance Trust Fun</t>
  </si>
  <si>
    <t>Wages Expense</t>
  </si>
  <si>
    <t>Staff Welfare</t>
  </si>
  <si>
    <t>Office telephone  Expense</t>
  </si>
  <si>
    <t>Business telephone  Expense</t>
  </si>
  <si>
    <t>Wth tax</t>
  </si>
  <si>
    <t>Storage Expenses</t>
  </si>
  <si>
    <t>Packaging And Branding</t>
  </si>
  <si>
    <t>Transportation</t>
  </si>
  <si>
    <t>Marketing expense- Mr Lateef</t>
  </si>
  <si>
    <t>Marketing expenses-Ajayi Temil</t>
  </si>
  <si>
    <t>Marketiing Exp- Mr Oladimeji</t>
  </si>
  <si>
    <t>Marketing Exp-Mr Femi Ogunmoku</t>
  </si>
  <si>
    <t>Marketing Expenses- Mrs Jegede</t>
  </si>
  <si>
    <t>Marketing expense- Mr Bankole</t>
  </si>
  <si>
    <t>Marketing expense - Mr Ayodele</t>
  </si>
  <si>
    <t>Marketing expense- Mr Vincent</t>
  </si>
  <si>
    <t>Marketing Expenses - Mr Isaac</t>
  </si>
  <si>
    <t>Marketing Expenses- Mr Sulymon</t>
  </si>
  <si>
    <t>Travelling Expenses</t>
  </si>
  <si>
    <t>Marketing Exp - Mr demilade</t>
  </si>
  <si>
    <t>Bad Debt</t>
  </si>
  <si>
    <t>Marketing expenses -Mr Kabir</t>
  </si>
  <si>
    <t>Purchase Disc-Expense Items</t>
  </si>
  <si>
    <t>Gain/Loss on Sale of Assets</t>
  </si>
  <si>
    <t>Deprec - Furnitur &amp; Fix</t>
  </si>
  <si>
    <t>Deprec - Office Equipment</t>
  </si>
  <si>
    <t>Deprec. Motor Vehicle</t>
  </si>
  <si>
    <t>Deprec. Plant &amp; Machinery</t>
  </si>
  <si>
    <t>Salaries &amp; Related Expenses</t>
  </si>
  <si>
    <t>Total Expenditures</t>
  </si>
  <si>
    <t>Excess Revenues Over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</si>
</sst>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* #,##0.00;\(&quot;$&quot;* #,##0.00\)"/>
    <numFmt numFmtId="165" formatCode="#,##0.00;\(#,##0.00\)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right" wrapText="1"/>
    </xf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/>
    </xf>
    <xf numFmtId="165" fontId="0" fillId="0" borderId="1" xfId="0" applyNumberFormat="1" applyBorder="1" applyAlignment="1">
      <alignment horizontal="right"/>
    </xf>
    <xf numFmtId="49" fontId="1" fillId="0" borderId="0" xfId="0" applyNumberFormat="1" applyFont="1" applyAlignment="1">
      <alignment horizontal="center"/>
    </xf>
    <xf numFmtId="49" fontId="0" fillId="0" borderId="2" xfId="0" applyNumberFormat="1" applyBorder="1" applyAlignment="1">
      <alignment horizontal="left"/>
    </xf>
    <xf numFmtId="165" fontId="0" fillId="0" borderId="3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BAF20-DB0C-4CF8-BD94-85BAB1DF39D0}">
  <dimension ref="A1:G195"/>
  <sheetViews>
    <sheetView tabSelected="1" workbookViewId="0">
      <pane ySplit="1" topLeftCell="A2" activePane="bottomLeft" state="frozenSplit"/>
      <selection pane="bottomLeft" activeCell="E8" sqref="E8"/>
    </sheetView>
  </sheetViews>
  <sheetFormatPr defaultRowHeight="13" x14ac:dyDescent="0.3"/>
  <cols>
    <col min="1" max="1" width="33.6328125" style="1" customWidth="1"/>
    <col min="2" max="3" width="13.6328125" style="1" customWidth="1"/>
    <col min="4" max="4" width="15.6328125" style="1" customWidth="1"/>
    <col min="5" max="6" width="13.6328125" style="1" customWidth="1"/>
    <col min="7" max="7" width="14.6328125" style="1" customWidth="1"/>
    <col min="8" max="16384" width="8.7265625" style="1"/>
  </cols>
  <sheetData>
    <row r="1" spans="1:7" ht="26" x14ac:dyDescent="0.3">
      <c r="A1" s="2" t="s">
        <v>0</v>
      </c>
      <c r="B1" s="3" t="s">
        <v>1</v>
      </c>
      <c r="C1" s="3" t="s">
        <v>1</v>
      </c>
      <c r="D1" s="3" t="s">
        <v>2</v>
      </c>
      <c r="E1" s="3" t="s">
        <v>3</v>
      </c>
      <c r="F1" s="3" t="s">
        <v>3</v>
      </c>
      <c r="G1" s="3" t="s">
        <v>3</v>
      </c>
    </row>
    <row r="2" spans="1:7" x14ac:dyDescent="0.3">
      <c r="A2" s="4" t="s">
        <v>4</v>
      </c>
    </row>
    <row r="3" spans="1:7" x14ac:dyDescent="0.3">
      <c r="A3" s="4" t="s">
        <v>5</v>
      </c>
      <c r="B3" s="5">
        <v>0</v>
      </c>
      <c r="C3" s="5">
        <v>0</v>
      </c>
      <c r="D3" s="6">
        <f>B3-C3</f>
        <v>0</v>
      </c>
      <c r="E3" s="5">
        <v>0</v>
      </c>
      <c r="F3" s="5">
        <v>0</v>
      </c>
      <c r="G3" s="6">
        <f>E3-F3</f>
        <v>0</v>
      </c>
    </row>
    <row r="4" spans="1:7" x14ac:dyDescent="0.3">
      <c r="A4" s="4" t="s">
        <v>6</v>
      </c>
      <c r="B4" s="6">
        <v>282225828.13999999</v>
      </c>
      <c r="C4" s="6">
        <v>0</v>
      </c>
      <c r="D4" s="6">
        <f>B4-C4</f>
        <v>282225828.13999999</v>
      </c>
      <c r="E4" s="6">
        <v>7662977</v>
      </c>
      <c r="F4" s="6">
        <v>0</v>
      </c>
      <c r="G4" s="6">
        <f>E4-F4</f>
        <v>7662977</v>
      </c>
    </row>
    <row r="5" spans="1:7" x14ac:dyDescent="0.3">
      <c r="A5" s="4" t="s">
        <v>7</v>
      </c>
      <c r="B5" s="6">
        <v>505644628.91000003</v>
      </c>
      <c r="C5" s="6">
        <v>0</v>
      </c>
      <c r="D5" s="6">
        <f>B5-C5</f>
        <v>505644628.91000003</v>
      </c>
      <c r="E5" s="6">
        <v>59708100.590000004</v>
      </c>
      <c r="F5" s="6">
        <v>0</v>
      </c>
      <c r="G5" s="6">
        <f>E5-F5</f>
        <v>59708100.590000004</v>
      </c>
    </row>
    <row r="6" spans="1:7" x14ac:dyDescent="0.3">
      <c r="A6" s="4" t="s">
        <v>8</v>
      </c>
      <c r="B6" s="6">
        <v>488674722</v>
      </c>
      <c r="C6" s="6">
        <v>0</v>
      </c>
      <c r="D6" s="6">
        <f>B6-C6</f>
        <v>488674722</v>
      </c>
      <c r="E6" s="6">
        <v>26983038</v>
      </c>
      <c r="F6" s="6">
        <v>0</v>
      </c>
      <c r="G6" s="6">
        <f>E6-F6</f>
        <v>26983038</v>
      </c>
    </row>
    <row r="7" spans="1:7" x14ac:dyDescent="0.3">
      <c r="A7" s="4" t="s">
        <v>9</v>
      </c>
      <c r="B7" s="6">
        <v>2000000</v>
      </c>
      <c r="C7" s="6">
        <v>0</v>
      </c>
      <c r="D7" s="6">
        <f>B7-C7</f>
        <v>2000000</v>
      </c>
      <c r="E7" s="6">
        <v>1325000</v>
      </c>
      <c r="F7" s="6">
        <v>0</v>
      </c>
      <c r="G7" s="6">
        <f>E7-F7</f>
        <v>1325000</v>
      </c>
    </row>
    <row r="8" spans="1:7" x14ac:dyDescent="0.3">
      <c r="A8" s="4" t="s">
        <v>10</v>
      </c>
      <c r="B8" s="6">
        <v>0</v>
      </c>
      <c r="C8" s="6">
        <v>0</v>
      </c>
      <c r="D8" s="6">
        <f>B8-C8</f>
        <v>0</v>
      </c>
      <c r="E8" s="6">
        <v>0</v>
      </c>
      <c r="F8" s="6">
        <v>0</v>
      </c>
      <c r="G8" s="6">
        <f>E8-F8</f>
        <v>0</v>
      </c>
    </row>
    <row r="9" spans="1:7" x14ac:dyDescent="0.3">
      <c r="A9" s="4" t="s">
        <v>11</v>
      </c>
      <c r="B9" s="6">
        <v>0</v>
      </c>
      <c r="C9" s="6">
        <v>0</v>
      </c>
      <c r="D9" s="6">
        <f>B9-C9</f>
        <v>0</v>
      </c>
      <c r="E9" s="6">
        <v>0</v>
      </c>
      <c r="F9" s="6">
        <v>0</v>
      </c>
      <c r="G9" s="6">
        <f>E9-F9</f>
        <v>0</v>
      </c>
    </row>
    <row r="10" spans="1:7" x14ac:dyDescent="0.3">
      <c r="A10" s="4" t="s">
        <v>12</v>
      </c>
      <c r="B10" s="6">
        <v>227878815.75999999</v>
      </c>
      <c r="C10" s="6">
        <v>0</v>
      </c>
      <c r="D10" s="6">
        <f>B10-C10</f>
        <v>227878815.75999999</v>
      </c>
      <c r="E10" s="6">
        <v>23642722.260000002</v>
      </c>
      <c r="F10" s="6">
        <v>0</v>
      </c>
      <c r="G10" s="6">
        <f>E10-F10</f>
        <v>23642722.260000002</v>
      </c>
    </row>
    <row r="11" spans="1:7" x14ac:dyDescent="0.3">
      <c r="A11" s="4" t="s">
        <v>13</v>
      </c>
      <c r="B11" s="6">
        <v>619784401.54999995</v>
      </c>
      <c r="C11" s="6">
        <v>0</v>
      </c>
      <c r="D11" s="6">
        <f>B11-C11</f>
        <v>619784401.54999995</v>
      </c>
      <c r="E11" s="6">
        <v>93593117</v>
      </c>
      <c r="F11" s="6">
        <v>0</v>
      </c>
      <c r="G11" s="6">
        <f>E11-F11</f>
        <v>93593117</v>
      </c>
    </row>
    <row r="12" spans="1:7" x14ac:dyDescent="0.3">
      <c r="A12" s="4" t="s">
        <v>14</v>
      </c>
      <c r="B12" s="6">
        <v>179277096</v>
      </c>
      <c r="C12" s="6">
        <v>0</v>
      </c>
      <c r="D12" s="6">
        <f>B12-C12</f>
        <v>179277096</v>
      </c>
      <c r="E12" s="6">
        <v>0</v>
      </c>
      <c r="F12" s="6">
        <v>0</v>
      </c>
      <c r="G12" s="6">
        <f>E12-F12</f>
        <v>0</v>
      </c>
    </row>
    <row r="13" spans="1:7" x14ac:dyDescent="0.3">
      <c r="A13" s="4" t="s">
        <v>15</v>
      </c>
      <c r="B13" s="6">
        <v>0</v>
      </c>
      <c r="C13" s="6">
        <v>0</v>
      </c>
      <c r="D13" s="6">
        <f>B13-C13</f>
        <v>0</v>
      </c>
      <c r="E13" s="6">
        <v>0</v>
      </c>
      <c r="F13" s="6">
        <v>0</v>
      </c>
      <c r="G13" s="6">
        <f>E13-F13</f>
        <v>0</v>
      </c>
    </row>
    <row r="14" spans="1:7" x14ac:dyDescent="0.3">
      <c r="A14" s="4" t="s">
        <v>16</v>
      </c>
      <c r="B14" s="6">
        <v>0</v>
      </c>
      <c r="C14" s="6">
        <v>0</v>
      </c>
      <c r="D14" s="6">
        <f>B14-C14</f>
        <v>0</v>
      </c>
      <c r="E14" s="6">
        <v>0</v>
      </c>
      <c r="F14" s="6">
        <v>0</v>
      </c>
      <c r="G14" s="6">
        <f>E14-F14</f>
        <v>0</v>
      </c>
    </row>
    <row r="15" spans="1:7" x14ac:dyDescent="0.3">
      <c r="A15" s="4" t="s">
        <v>17</v>
      </c>
      <c r="B15" s="6">
        <v>938965076.29999995</v>
      </c>
      <c r="C15" s="6">
        <v>0</v>
      </c>
      <c r="D15" s="6">
        <f>B15-C15</f>
        <v>938965076.29999995</v>
      </c>
      <c r="E15" s="6">
        <v>81113513</v>
      </c>
      <c r="F15" s="6">
        <v>0</v>
      </c>
      <c r="G15" s="6">
        <f>E15-F15</f>
        <v>81113513</v>
      </c>
    </row>
    <row r="16" spans="1:7" x14ac:dyDescent="0.3">
      <c r="A16" s="4" t="s">
        <v>18</v>
      </c>
      <c r="B16" s="6">
        <v>0</v>
      </c>
      <c r="C16" s="6">
        <v>0</v>
      </c>
      <c r="D16" s="6">
        <f>B16-C16</f>
        <v>0</v>
      </c>
      <c r="E16" s="6">
        <v>0</v>
      </c>
      <c r="F16" s="6">
        <v>0</v>
      </c>
      <c r="G16" s="6">
        <f>E16-F16</f>
        <v>0</v>
      </c>
    </row>
    <row r="17" spans="1:7" x14ac:dyDescent="0.3">
      <c r="A17" s="4" t="s">
        <v>19</v>
      </c>
      <c r="B17" s="6">
        <v>5005292</v>
      </c>
      <c r="C17" s="6">
        <v>0</v>
      </c>
      <c r="D17" s="6">
        <f>B17-C17</f>
        <v>5005292</v>
      </c>
      <c r="E17" s="6">
        <v>0</v>
      </c>
      <c r="F17" s="6">
        <v>0</v>
      </c>
      <c r="G17" s="6">
        <f>E17-F17</f>
        <v>0</v>
      </c>
    </row>
    <row r="18" spans="1:7" x14ac:dyDescent="0.3">
      <c r="A18" s="4" t="s">
        <v>20</v>
      </c>
      <c r="B18" s="6">
        <v>582639849.55999994</v>
      </c>
      <c r="C18" s="6">
        <v>0</v>
      </c>
      <c r="D18" s="6">
        <f>B18-C18</f>
        <v>582639849.55999994</v>
      </c>
      <c r="E18" s="6">
        <v>33852727</v>
      </c>
      <c r="F18" s="6">
        <v>0</v>
      </c>
      <c r="G18" s="6">
        <f>E18-F18</f>
        <v>33852727</v>
      </c>
    </row>
    <row r="19" spans="1:7" x14ac:dyDescent="0.3">
      <c r="A19" s="4" t="s">
        <v>21</v>
      </c>
      <c r="B19" s="6">
        <v>1840107.5</v>
      </c>
      <c r="C19" s="6">
        <v>0</v>
      </c>
      <c r="D19" s="6">
        <f>B19-C19</f>
        <v>1840107.5</v>
      </c>
      <c r="E19" s="6">
        <v>15000</v>
      </c>
      <c r="F19" s="6">
        <v>0</v>
      </c>
      <c r="G19" s="6">
        <f>E19-F19</f>
        <v>15000</v>
      </c>
    </row>
    <row r="20" spans="1:7" x14ac:dyDescent="0.3">
      <c r="A20" s="4" t="s">
        <v>22</v>
      </c>
      <c r="B20" s="6">
        <v>192486183.40000001</v>
      </c>
      <c r="C20" s="6">
        <v>0</v>
      </c>
      <c r="D20" s="6">
        <f>B20-C20</f>
        <v>192486183.40000001</v>
      </c>
      <c r="E20" s="6">
        <v>26988403</v>
      </c>
      <c r="F20" s="6">
        <v>0</v>
      </c>
      <c r="G20" s="6">
        <f>E20-F20</f>
        <v>26988403</v>
      </c>
    </row>
    <row r="21" spans="1:7" x14ac:dyDescent="0.3">
      <c r="A21" s="4" t="s">
        <v>23</v>
      </c>
      <c r="B21" s="6">
        <v>17318080.5</v>
      </c>
      <c r="C21" s="6">
        <v>0</v>
      </c>
      <c r="D21" s="6">
        <f>B21-C21</f>
        <v>17318080.5</v>
      </c>
      <c r="E21" s="6">
        <v>0</v>
      </c>
      <c r="F21" s="6">
        <v>0</v>
      </c>
      <c r="G21" s="6">
        <f>E21-F21</f>
        <v>0</v>
      </c>
    </row>
    <row r="22" spans="1:7" x14ac:dyDescent="0.3">
      <c r="A22" s="4" t="s">
        <v>24</v>
      </c>
      <c r="B22" s="6">
        <v>16646004.359999999</v>
      </c>
      <c r="C22" s="6">
        <v>0</v>
      </c>
      <c r="D22" s="6">
        <f>B22-C22</f>
        <v>16646004.359999999</v>
      </c>
      <c r="E22" s="6">
        <v>0</v>
      </c>
      <c r="F22" s="6">
        <v>0</v>
      </c>
      <c r="G22" s="6">
        <f>E22-F22</f>
        <v>0</v>
      </c>
    </row>
    <row r="23" spans="1:7" x14ac:dyDescent="0.3">
      <c r="A23" s="4" t="s">
        <v>25</v>
      </c>
      <c r="B23" s="6">
        <v>0</v>
      </c>
      <c r="C23" s="6">
        <v>0</v>
      </c>
      <c r="D23" s="6">
        <f>B23-C23</f>
        <v>0</v>
      </c>
      <c r="E23" s="6">
        <v>0</v>
      </c>
      <c r="F23" s="6">
        <v>0</v>
      </c>
      <c r="G23" s="6">
        <f>E23-F23</f>
        <v>0</v>
      </c>
    </row>
    <row r="24" spans="1:7" x14ac:dyDescent="0.3">
      <c r="A24" s="4" t="s">
        <v>26</v>
      </c>
      <c r="B24" s="6">
        <v>0</v>
      </c>
      <c r="C24" s="6">
        <v>0</v>
      </c>
      <c r="D24" s="6">
        <f>B24-C24</f>
        <v>0</v>
      </c>
      <c r="E24" s="6">
        <v>0</v>
      </c>
      <c r="F24" s="6">
        <v>0</v>
      </c>
      <c r="G24" s="6">
        <f>E24-F24</f>
        <v>0</v>
      </c>
    </row>
    <row r="25" spans="1:7" x14ac:dyDescent="0.3">
      <c r="A25" s="4" t="s">
        <v>27</v>
      </c>
      <c r="B25" s="6">
        <v>163869</v>
      </c>
      <c r="C25" s="6">
        <v>0</v>
      </c>
      <c r="D25" s="6">
        <f>B25-C25</f>
        <v>163869</v>
      </c>
      <c r="E25" s="6">
        <v>0</v>
      </c>
      <c r="F25" s="6">
        <v>0</v>
      </c>
      <c r="G25" s="6">
        <f>E25-F25</f>
        <v>0</v>
      </c>
    </row>
    <row r="26" spans="1:7" x14ac:dyDescent="0.3">
      <c r="A26" s="4" t="s">
        <v>28</v>
      </c>
      <c r="B26" s="6">
        <v>33323538.5</v>
      </c>
      <c r="C26" s="6">
        <v>0</v>
      </c>
      <c r="D26" s="6">
        <f>B26-C26</f>
        <v>33323538.5</v>
      </c>
      <c r="E26" s="6">
        <v>6999198</v>
      </c>
      <c r="F26" s="6">
        <v>0</v>
      </c>
      <c r="G26" s="6">
        <f>E26-F26</f>
        <v>6999198</v>
      </c>
    </row>
    <row r="27" spans="1:7" x14ac:dyDescent="0.3">
      <c r="A27" s="4" t="s">
        <v>29</v>
      </c>
      <c r="B27" s="6">
        <v>0</v>
      </c>
      <c r="C27" s="6">
        <v>0</v>
      </c>
      <c r="D27" s="6">
        <f>B27-C27</f>
        <v>0</v>
      </c>
      <c r="E27" s="6">
        <v>0</v>
      </c>
      <c r="F27" s="6">
        <v>0</v>
      </c>
      <c r="G27" s="6">
        <f>E27-F27</f>
        <v>0</v>
      </c>
    </row>
    <row r="28" spans="1:7" x14ac:dyDescent="0.3">
      <c r="A28" s="4" t="s">
        <v>30</v>
      </c>
      <c r="B28" s="6">
        <v>0</v>
      </c>
      <c r="C28" s="6">
        <v>0</v>
      </c>
      <c r="D28" s="6">
        <f>B28-C28</f>
        <v>0</v>
      </c>
      <c r="E28" s="6">
        <v>0</v>
      </c>
      <c r="F28" s="6">
        <v>0</v>
      </c>
      <c r="G28" s="6">
        <f>E28-F28</f>
        <v>0</v>
      </c>
    </row>
    <row r="29" spans="1:7" x14ac:dyDescent="0.3">
      <c r="A29" s="4" t="s">
        <v>31</v>
      </c>
      <c r="B29" s="6">
        <v>0</v>
      </c>
      <c r="C29" s="6">
        <v>0</v>
      </c>
      <c r="D29" s="6">
        <f>B29-C29</f>
        <v>0</v>
      </c>
      <c r="E29" s="6">
        <v>0</v>
      </c>
      <c r="F29" s="6">
        <v>0</v>
      </c>
      <c r="G29" s="6">
        <f>E29-F29</f>
        <v>0</v>
      </c>
    </row>
    <row r="30" spans="1:7" x14ac:dyDescent="0.3">
      <c r="A30" s="4" t="s">
        <v>32</v>
      </c>
      <c r="B30" s="6">
        <v>45015846.700000003</v>
      </c>
      <c r="C30" s="6">
        <v>0</v>
      </c>
      <c r="D30" s="6">
        <f>B30-C30</f>
        <v>45015846.700000003</v>
      </c>
      <c r="E30" s="6">
        <v>3669239</v>
      </c>
      <c r="F30" s="6">
        <v>0</v>
      </c>
      <c r="G30" s="6">
        <f>E30-F30</f>
        <v>3669239</v>
      </c>
    </row>
    <row r="31" spans="1:7" x14ac:dyDescent="0.3">
      <c r="A31" s="4" t="s">
        <v>33</v>
      </c>
      <c r="B31" s="6">
        <v>4341755.9800000004</v>
      </c>
      <c r="C31" s="6">
        <v>0</v>
      </c>
      <c r="D31" s="6">
        <f>B31-C31</f>
        <v>4341755.9800000004</v>
      </c>
      <c r="E31" s="6">
        <v>1507863.58</v>
      </c>
      <c r="F31" s="6">
        <v>0</v>
      </c>
      <c r="G31" s="6">
        <f>E31-F31</f>
        <v>1507863.58</v>
      </c>
    </row>
    <row r="32" spans="1:7" x14ac:dyDescent="0.3">
      <c r="A32" s="4" t="s">
        <v>34</v>
      </c>
      <c r="B32" s="6">
        <v>0</v>
      </c>
      <c r="C32" s="6">
        <v>0</v>
      </c>
      <c r="D32" s="6">
        <f>B32-C32</f>
        <v>0</v>
      </c>
      <c r="E32" s="6">
        <v>0</v>
      </c>
      <c r="F32" s="6">
        <v>0</v>
      </c>
      <c r="G32" s="6">
        <f>E32-F32</f>
        <v>0</v>
      </c>
    </row>
    <row r="33" spans="1:7" x14ac:dyDescent="0.3">
      <c r="A33" s="4" t="s">
        <v>35</v>
      </c>
      <c r="B33" s="6">
        <v>118786877.12</v>
      </c>
      <c r="C33" s="6">
        <v>0</v>
      </c>
      <c r="D33" s="6">
        <f>B33-C33</f>
        <v>118786877.12</v>
      </c>
      <c r="E33" s="6">
        <v>8767081.1199999992</v>
      </c>
      <c r="F33" s="6">
        <v>0</v>
      </c>
      <c r="G33" s="6">
        <f>E33-F33</f>
        <v>8767081.1199999992</v>
      </c>
    </row>
    <row r="34" spans="1:7" x14ac:dyDescent="0.3">
      <c r="A34" s="4" t="s">
        <v>36</v>
      </c>
      <c r="B34" s="6">
        <v>0</v>
      </c>
      <c r="C34" s="6">
        <v>0</v>
      </c>
      <c r="D34" s="6">
        <f>B34-C34</f>
        <v>0</v>
      </c>
      <c r="E34" s="6">
        <v>0</v>
      </c>
      <c r="F34" s="6">
        <v>0</v>
      </c>
      <c r="G34" s="6">
        <f>E34-F34</f>
        <v>0</v>
      </c>
    </row>
    <row r="35" spans="1:7" x14ac:dyDescent="0.3">
      <c r="A35" s="4" t="s">
        <v>37</v>
      </c>
      <c r="B35" s="6">
        <v>0</v>
      </c>
      <c r="C35" s="6">
        <v>0</v>
      </c>
      <c r="D35" s="6">
        <f>B35-C35</f>
        <v>0</v>
      </c>
      <c r="E35" s="6">
        <v>0</v>
      </c>
      <c r="F35" s="6">
        <v>0</v>
      </c>
      <c r="G35" s="6">
        <f>E35-F35</f>
        <v>0</v>
      </c>
    </row>
    <row r="36" spans="1:7" x14ac:dyDescent="0.3">
      <c r="A36" s="4" t="s">
        <v>38</v>
      </c>
      <c r="B36" s="6">
        <v>12142250</v>
      </c>
      <c r="C36" s="6">
        <v>0</v>
      </c>
      <c r="D36" s="6">
        <f>B36-C36</f>
        <v>12142250</v>
      </c>
      <c r="E36" s="6">
        <v>0</v>
      </c>
      <c r="F36" s="6">
        <v>0</v>
      </c>
      <c r="G36" s="6">
        <f>E36-F36</f>
        <v>0</v>
      </c>
    </row>
    <row r="37" spans="1:7" x14ac:dyDescent="0.3">
      <c r="A37" s="4" t="s">
        <v>39</v>
      </c>
      <c r="B37" s="6">
        <v>2674927</v>
      </c>
      <c r="C37" s="6">
        <v>0</v>
      </c>
      <c r="D37" s="6">
        <f>B37-C37</f>
        <v>2674927</v>
      </c>
      <c r="E37" s="6">
        <v>0</v>
      </c>
      <c r="F37" s="6">
        <v>0</v>
      </c>
      <c r="G37" s="6">
        <f>E37-F37</f>
        <v>0</v>
      </c>
    </row>
    <row r="38" spans="1:7" x14ac:dyDescent="0.3">
      <c r="A38" s="4" t="s">
        <v>40</v>
      </c>
      <c r="B38" s="6">
        <v>10590339.119999999</v>
      </c>
      <c r="C38" s="6">
        <v>0</v>
      </c>
      <c r="D38" s="6">
        <f>B38-C38</f>
        <v>10590339.119999999</v>
      </c>
      <c r="E38" s="6">
        <v>0</v>
      </c>
      <c r="F38" s="6">
        <v>0</v>
      </c>
      <c r="G38" s="6">
        <f>E38-F38</f>
        <v>0</v>
      </c>
    </row>
    <row r="39" spans="1:7" x14ac:dyDescent="0.3">
      <c r="A39" s="4" t="s">
        <v>41</v>
      </c>
      <c r="B39" s="6">
        <v>1881500</v>
      </c>
      <c r="C39" s="6">
        <v>0</v>
      </c>
      <c r="D39" s="6">
        <f>B39-C39</f>
        <v>1881500</v>
      </c>
      <c r="E39" s="6">
        <v>0</v>
      </c>
      <c r="F39" s="6">
        <v>0</v>
      </c>
      <c r="G39" s="6">
        <f>E39-F39</f>
        <v>0</v>
      </c>
    </row>
    <row r="40" spans="1:7" x14ac:dyDescent="0.3">
      <c r="A40" s="4" t="s">
        <v>42</v>
      </c>
      <c r="B40" s="6">
        <v>228207444.5</v>
      </c>
      <c r="C40" s="6">
        <v>0</v>
      </c>
      <c r="D40" s="6">
        <f>B40-C40</f>
        <v>228207444.5</v>
      </c>
      <c r="E40" s="6">
        <v>4283220</v>
      </c>
      <c r="F40" s="6">
        <v>0</v>
      </c>
      <c r="G40" s="6">
        <f>E40-F40</f>
        <v>4283220</v>
      </c>
    </row>
    <row r="41" spans="1:7" x14ac:dyDescent="0.3">
      <c r="A41" s="4" t="s">
        <v>43</v>
      </c>
      <c r="B41" s="6">
        <v>8330545</v>
      </c>
      <c r="C41" s="6">
        <v>0</v>
      </c>
      <c r="D41" s="6">
        <f>B41-C41</f>
        <v>8330545</v>
      </c>
      <c r="E41" s="6">
        <v>1166780</v>
      </c>
      <c r="F41" s="6">
        <v>0</v>
      </c>
      <c r="G41" s="6">
        <f>E41-F41</f>
        <v>1166780</v>
      </c>
    </row>
    <row r="42" spans="1:7" x14ac:dyDescent="0.3">
      <c r="A42" s="4" t="s">
        <v>44</v>
      </c>
      <c r="B42" s="6">
        <v>931292</v>
      </c>
      <c r="C42" s="6">
        <v>0</v>
      </c>
      <c r="D42" s="6">
        <f>B42-C42</f>
        <v>931292</v>
      </c>
      <c r="E42" s="6">
        <v>0</v>
      </c>
      <c r="F42" s="6">
        <v>0</v>
      </c>
      <c r="G42" s="6">
        <f>E42-F42</f>
        <v>0</v>
      </c>
    </row>
    <row r="43" spans="1:7" x14ac:dyDescent="0.3">
      <c r="A43" s="4" t="s">
        <v>45</v>
      </c>
      <c r="B43" s="6">
        <v>9327823</v>
      </c>
      <c r="C43" s="6">
        <v>0</v>
      </c>
      <c r="D43" s="6">
        <f>B43-C43</f>
        <v>9327823</v>
      </c>
      <c r="E43" s="6">
        <v>1850555</v>
      </c>
      <c r="F43" s="6">
        <v>0</v>
      </c>
      <c r="G43" s="6">
        <f>E43-F43</f>
        <v>1850555</v>
      </c>
    </row>
    <row r="44" spans="1:7" x14ac:dyDescent="0.3">
      <c r="A44" s="4" t="s">
        <v>46</v>
      </c>
      <c r="B44" s="6">
        <v>0</v>
      </c>
      <c r="C44" s="6">
        <v>0</v>
      </c>
      <c r="D44" s="6">
        <f>B44-C44</f>
        <v>0</v>
      </c>
      <c r="E44" s="6">
        <v>0</v>
      </c>
      <c r="F44" s="6">
        <v>0</v>
      </c>
      <c r="G44" s="6">
        <f>E44-F44</f>
        <v>0</v>
      </c>
    </row>
    <row r="45" spans="1:7" x14ac:dyDescent="0.3">
      <c r="A45" s="4" t="s">
        <v>47</v>
      </c>
      <c r="B45" s="6">
        <v>46503594</v>
      </c>
      <c r="C45" s="6">
        <v>0</v>
      </c>
      <c r="D45" s="6">
        <f>B45-C45</f>
        <v>46503594</v>
      </c>
      <c r="E45" s="6">
        <v>0</v>
      </c>
      <c r="F45" s="6">
        <v>0</v>
      </c>
      <c r="G45" s="6">
        <f>E45-F45</f>
        <v>0</v>
      </c>
    </row>
    <row r="46" spans="1:7" x14ac:dyDescent="0.3">
      <c r="A46" s="4" t="s">
        <v>48</v>
      </c>
      <c r="B46" s="6">
        <v>126807528.91</v>
      </c>
      <c r="C46" s="6">
        <v>0</v>
      </c>
      <c r="D46" s="6">
        <f>B46-C46</f>
        <v>126807528.91</v>
      </c>
      <c r="E46" s="6">
        <v>13657068</v>
      </c>
      <c r="F46" s="6">
        <v>0</v>
      </c>
      <c r="G46" s="6">
        <f>E46-F46</f>
        <v>13657068</v>
      </c>
    </row>
    <row r="47" spans="1:7" x14ac:dyDescent="0.3">
      <c r="A47" s="4" t="s">
        <v>49</v>
      </c>
      <c r="B47" s="6">
        <v>324054309.01999998</v>
      </c>
      <c r="C47" s="6">
        <v>0</v>
      </c>
      <c r="D47" s="6">
        <f>B47-C47</f>
        <v>324054309.01999998</v>
      </c>
      <c r="E47" s="6">
        <v>0</v>
      </c>
      <c r="F47" s="6">
        <v>0</v>
      </c>
      <c r="G47" s="6">
        <f>E47-F47</f>
        <v>0</v>
      </c>
    </row>
    <row r="48" spans="1:7" x14ac:dyDescent="0.3">
      <c r="A48" s="4" t="s">
        <v>50</v>
      </c>
      <c r="B48" s="6">
        <v>457067859.62</v>
      </c>
      <c r="C48" s="6">
        <v>0</v>
      </c>
      <c r="D48" s="6">
        <f>B48-C48</f>
        <v>457067859.62</v>
      </c>
      <c r="E48" s="6">
        <v>11358055</v>
      </c>
      <c r="F48" s="6">
        <v>0</v>
      </c>
      <c r="G48" s="6">
        <f>E48-F48</f>
        <v>11358055</v>
      </c>
    </row>
    <row r="49" spans="1:7" x14ac:dyDescent="0.3">
      <c r="A49" s="4" t="s">
        <v>51</v>
      </c>
      <c r="B49" s="6">
        <v>45745264.009999998</v>
      </c>
      <c r="C49" s="6">
        <v>0</v>
      </c>
      <c r="D49" s="6">
        <f>B49-C49</f>
        <v>45745264.009999998</v>
      </c>
      <c r="E49" s="6">
        <v>0</v>
      </c>
      <c r="F49" s="6">
        <v>0</v>
      </c>
      <c r="G49" s="6">
        <f>E49-F49</f>
        <v>0</v>
      </c>
    </row>
    <row r="50" spans="1:7" x14ac:dyDescent="0.3">
      <c r="A50" s="4" t="s">
        <v>52</v>
      </c>
      <c r="B50" s="6">
        <v>1356500</v>
      </c>
      <c r="C50" s="6">
        <v>0</v>
      </c>
      <c r="D50" s="6">
        <f>B50-C50</f>
        <v>1356500</v>
      </c>
      <c r="E50" s="6">
        <v>0</v>
      </c>
      <c r="F50" s="6">
        <v>0</v>
      </c>
      <c r="G50" s="6">
        <f>E50-F50</f>
        <v>0</v>
      </c>
    </row>
    <row r="51" spans="1:7" x14ac:dyDescent="0.3">
      <c r="A51" s="4" t="s">
        <v>53</v>
      </c>
      <c r="B51" s="6">
        <v>5562863</v>
      </c>
      <c r="C51" s="6">
        <v>0</v>
      </c>
      <c r="D51" s="6">
        <f>B51-C51</f>
        <v>5562863</v>
      </c>
      <c r="E51" s="6">
        <v>0</v>
      </c>
      <c r="F51" s="6">
        <v>0</v>
      </c>
      <c r="G51" s="6">
        <f>E51-F51</f>
        <v>0</v>
      </c>
    </row>
    <row r="52" spans="1:7" x14ac:dyDescent="0.3">
      <c r="A52" s="4" t="s">
        <v>54</v>
      </c>
      <c r="B52" s="6">
        <v>10799643</v>
      </c>
      <c r="C52" s="6">
        <v>0</v>
      </c>
      <c r="D52" s="6">
        <f>B52-C52</f>
        <v>10799643</v>
      </c>
      <c r="E52" s="6">
        <v>0</v>
      </c>
      <c r="F52" s="6">
        <v>0</v>
      </c>
      <c r="G52" s="6">
        <f>E52-F52</f>
        <v>0</v>
      </c>
    </row>
    <row r="53" spans="1:7" x14ac:dyDescent="0.3">
      <c r="A53" s="4" t="s">
        <v>55</v>
      </c>
      <c r="B53" s="6">
        <v>1754979.8</v>
      </c>
      <c r="C53" s="6">
        <v>0</v>
      </c>
      <c r="D53" s="6">
        <f>B53-C53</f>
        <v>1754979.8</v>
      </c>
      <c r="E53" s="6">
        <v>0</v>
      </c>
      <c r="F53" s="6">
        <v>0</v>
      </c>
      <c r="G53" s="6">
        <f>E53-F53</f>
        <v>0</v>
      </c>
    </row>
    <row r="54" spans="1:7" x14ac:dyDescent="0.3">
      <c r="A54" s="4" t="s">
        <v>56</v>
      </c>
      <c r="B54" s="6">
        <v>687265777.78999996</v>
      </c>
      <c r="C54" s="6">
        <v>0</v>
      </c>
      <c r="D54" s="6">
        <f>B54-C54</f>
        <v>687265777.78999996</v>
      </c>
      <c r="E54" s="6">
        <v>105745068.8</v>
      </c>
      <c r="F54" s="6">
        <v>0</v>
      </c>
      <c r="G54" s="6">
        <f>E54-F54</f>
        <v>105745068.8</v>
      </c>
    </row>
    <row r="55" spans="1:7" x14ac:dyDescent="0.3">
      <c r="A55" s="4" t="s">
        <v>57</v>
      </c>
      <c r="B55" s="6">
        <v>28796461</v>
      </c>
      <c r="C55" s="6">
        <v>0</v>
      </c>
      <c r="D55" s="6">
        <f>B55-C55</f>
        <v>28796461</v>
      </c>
      <c r="E55" s="6">
        <v>5148228</v>
      </c>
      <c r="F55" s="6">
        <v>0</v>
      </c>
      <c r="G55" s="6">
        <f>E55-F55</f>
        <v>5148228</v>
      </c>
    </row>
    <row r="56" spans="1:7" x14ac:dyDescent="0.3">
      <c r="A56" s="4" t="s">
        <v>58</v>
      </c>
      <c r="B56" s="6">
        <v>69098163.859999999</v>
      </c>
      <c r="C56" s="6">
        <v>0</v>
      </c>
      <c r="D56" s="6">
        <f>B56-C56</f>
        <v>69098163.859999999</v>
      </c>
      <c r="E56" s="6">
        <v>6159669.1799999997</v>
      </c>
      <c r="F56" s="6">
        <v>0</v>
      </c>
      <c r="G56" s="6">
        <f>E56-F56</f>
        <v>6159669.1799999997</v>
      </c>
    </row>
    <row r="57" spans="1:7" x14ac:dyDescent="0.3">
      <c r="A57" s="4" t="s">
        <v>59</v>
      </c>
      <c r="B57" s="6">
        <v>0</v>
      </c>
      <c r="C57" s="6">
        <v>0</v>
      </c>
      <c r="D57" s="6">
        <f>B57-C57</f>
        <v>0</v>
      </c>
      <c r="E57" s="6">
        <v>0</v>
      </c>
      <c r="F57" s="6">
        <v>0</v>
      </c>
      <c r="G57" s="6">
        <f>E57-F57</f>
        <v>0</v>
      </c>
    </row>
    <row r="58" spans="1:7" x14ac:dyDescent="0.3">
      <c r="A58" s="4" t="s">
        <v>60</v>
      </c>
      <c r="B58" s="6">
        <v>714609381.50999999</v>
      </c>
      <c r="C58" s="6">
        <v>0</v>
      </c>
      <c r="D58" s="6">
        <f>B58-C58</f>
        <v>714609381.50999999</v>
      </c>
      <c r="E58" s="6">
        <v>122704106</v>
      </c>
      <c r="F58" s="6">
        <v>0</v>
      </c>
      <c r="G58" s="6">
        <f>E58-F58</f>
        <v>122704106</v>
      </c>
    </row>
    <row r="59" spans="1:7" x14ac:dyDescent="0.3">
      <c r="A59" s="4" t="s">
        <v>61</v>
      </c>
      <c r="B59" s="6">
        <v>982282.42</v>
      </c>
      <c r="C59" s="6">
        <v>0</v>
      </c>
      <c r="D59" s="6">
        <f>B59-C59</f>
        <v>982282.42</v>
      </c>
      <c r="E59" s="6">
        <v>0</v>
      </c>
      <c r="F59" s="6">
        <v>0</v>
      </c>
      <c r="G59" s="6">
        <f>E59-F59</f>
        <v>0</v>
      </c>
    </row>
    <row r="60" spans="1:7" x14ac:dyDescent="0.3">
      <c r="A60" s="4" t="s">
        <v>62</v>
      </c>
      <c r="B60" s="6">
        <v>9499261</v>
      </c>
      <c r="C60" s="6">
        <v>0</v>
      </c>
      <c r="D60" s="6">
        <f>B60-C60</f>
        <v>9499261</v>
      </c>
      <c r="E60" s="6">
        <v>955500</v>
      </c>
      <c r="F60" s="6">
        <v>0</v>
      </c>
      <c r="G60" s="6">
        <f>E60-F60</f>
        <v>955500</v>
      </c>
    </row>
    <row r="61" spans="1:7" x14ac:dyDescent="0.3">
      <c r="A61" s="4" t="s">
        <v>7</v>
      </c>
      <c r="B61" s="6">
        <v>0</v>
      </c>
      <c r="C61" s="6">
        <v>0</v>
      </c>
      <c r="D61" s="6">
        <f>B61-C61</f>
        <v>0</v>
      </c>
      <c r="E61" s="6">
        <v>0</v>
      </c>
      <c r="F61" s="6">
        <v>0</v>
      </c>
      <c r="G61" s="6">
        <f>E61-F61</f>
        <v>0</v>
      </c>
    </row>
    <row r="62" spans="1:7" x14ac:dyDescent="0.3">
      <c r="A62" s="4" t="s">
        <v>63</v>
      </c>
      <c r="B62" s="6">
        <v>0</v>
      </c>
      <c r="C62" s="6">
        <v>0</v>
      </c>
      <c r="D62" s="6">
        <f>B62-C62</f>
        <v>0</v>
      </c>
      <c r="E62" s="6">
        <v>0</v>
      </c>
      <c r="F62" s="6">
        <v>0</v>
      </c>
      <c r="G62" s="6">
        <f>E62-F62</f>
        <v>0</v>
      </c>
    </row>
    <row r="63" spans="1:7" x14ac:dyDescent="0.3">
      <c r="A63" s="4" t="s">
        <v>64</v>
      </c>
      <c r="B63" s="6">
        <v>0</v>
      </c>
      <c r="C63" s="6">
        <v>0</v>
      </c>
      <c r="D63" s="6">
        <f>B63-C63</f>
        <v>0</v>
      </c>
      <c r="E63" s="6">
        <v>0</v>
      </c>
      <c r="F63" s="6">
        <v>0</v>
      </c>
      <c r="G63" s="6">
        <f>E63-F63</f>
        <v>0</v>
      </c>
    </row>
    <row r="64" spans="1:7" x14ac:dyDescent="0.3">
      <c r="A64" s="4" t="s">
        <v>65</v>
      </c>
      <c r="B64" s="6">
        <v>8000</v>
      </c>
      <c r="C64" s="6">
        <v>0</v>
      </c>
      <c r="D64" s="6">
        <f>B64-C64</f>
        <v>8000</v>
      </c>
      <c r="E64" s="6">
        <v>0</v>
      </c>
      <c r="F64" s="6">
        <v>0</v>
      </c>
      <c r="G64" s="6">
        <f>E64-F64</f>
        <v>0</v>
      </c>
    </row>
    <row r="65" spans="1:7" x14ac:dyDescent="0.3">
      <c r="A65" s="4" t="s">
        <v>66</v>
      </c>
      <c r="B65" s="6">
        <v>-14137678.91</v>
      </c>
      <c r="C65" s="6">
        <v>0</v>
      </c>
      <c r="D65" s="6">
        <f>B65-C65</f>
        <v>-14137678.91</v>
      </c>
      <c r="E65" s="6">
        <v>-1205618</v>
      </c>
      <c r="F65" s="6">
        <v>0</v>
      </c>
      <c r="G65" s="6">
        <f>E65-F65</f>
        <v>-1205618</v>
      </c>
    </row>
    <row r="66" spans="1:7" x14ac:dyDescent="0.3">
      <c r="A66" s="4" t="s">
        <v>67</v>
      </c>
      <c r="B66" s="6">
        <v>0</v>
      </c>
      <c r="C66" s="6">
        <v>0</v>
      </c>
      <c r="D66" s="6">
        <f>B66-C66</f>
        <v>0</v>
      </c>
      <c r="E66" s="6">
        <v>0</v>
      </c>
      <c r="F66" s="6">
        <v>0</v>
      </c>
      <c r="G66" s="6">
        <f>E66-F66</f>
        <v>0</v>
      </c>
    </row>
    <row r="67" spans="1:7" x14ac:dyDescent="0.3">
      <c r="A67" s="4" t="s">
        <v>68</v>
      </c>
      <c r="B67" s="6">
        <v>76190808.400000006</v>
      </c>
      <c r="C67" s="6">
        <v>0</v>
      </c>
      <c r="D67" s="6">
        <f>B67-C67</f>
        <v>76190808.400000006</v>
      </c>
      <c r="E67" s="6">
        <v>0</v>
      </c>
      <c r="F67" s="6">
        <v>0</v>
      </c>
      <c r="G67" s="6">
        <f>E67-F67</f>
        <v>0</v>
      </c>
    </row>
    <row r="68" spans="1:7" x14ac:dyDescent="0.3">
      <c r="A68" s="4" t="s">
        <v>69</v>
      </c>
      <c r="B68" s="6">
        <v>741955</v>
      </c>
      <c r="C68" s="6">
        <v>0</v>
      </c>
      <c r="D68" s="6">
        <f>B68-C68</f>
        <v>741955</v>
      </c>
      <c r="E68" s="6">
        <v>0</v>
      </c>
      <c r="F68" s="6">
        <v>0</v>
      </c>
      <c r="G68" s="6">
        <f>E68-F68</f>
        <v>0</v>
      </c>
    </row>
    <row r="69" spans="1:7" x14ac:dyDescent="0.3">
      <c r="A69" s="4" t="s">
        <v>70</v>
      </c>
      <c r="B69" s="6">
        <v>8000</v>
      </c>
      <c r="C69" s="6">
        <v>0</v>
      </c>
      <c r="D69" s="6">
        <f>B69-C69</f>
        <v>8000</v>
      </c>
      <c r="E69" s="6">
        <v>0</v>
      </c>
      <c r="F69" s="6">
        <v>0</v>
      </c>
      <c r="G69" s="6">
        <f>E69-F69</f>
        <v>0</v>
      </c>
    </row>
    <row r="70" spans="1:7" x14ac:dyDescent="0.3">
      <c r="A70" s="4" t="s">
        <v>71</v>
      </c>
      <c r="B70" s="6">
        <v>2800000</v>
      </c>
      <c r="C70" s="6">
        <v>0</v>
      </c>
      <c r="D70" s="6">
        <f>B70-C70</f>
        <v>2800000</v>
      </c>
      <c r="E70" s="6">
        <v>0</v>
      </c>
      <c r="F70" s="6">
        <v>0</v>
      </c>
      <c r="G70" s="6">
        <f>E70-F70</f>
        <v>0</v>
      </c>
    </row>
    <row r="71" spans="1:7" x14ac:dyDescent="0.3">
      <c r="A71" s="4" t="s">
        <v>72</v>
      </c>
      <c r="B71" s="6">
        <v>0</v>
      </c>
      <c r="C71" s="6">
        <v>0</v>
      </c>
      <c r="D71" s="6">
        <f>B71-C71</f>
        <v>0</v>
      </c>
      <c r="E71" s="6">
        <v>0</v>
      </c>
      <c r="F71" s="6">
        <v>0</v>
      </c>
      <c r="G71" s="6">
        <f>E71-F71</f>
        <v>0</v>
      </c>
    </row>
    <row r="72" spans="1:7" x14ac:dyDescent="0.3">
      <c r="A72" s="4" t="s">
        <v>73</v>
      </c>
      <c r="B72" s="6">
        <v>48954105.5</v>
      </c>
      <c r="C72" s="6">
        <v>0</v>
      </c>
      <c r="D72" s="6">
        <f>B72-C72</f>
        <v>48954105.5</v>
      </c>
      <c r="E72" s="6">
        <v>9134490</v>
      </c>
      <c r="F72" s="6">
        <v>0</v>
      </c>
      <c r="G72" s="6">
        <f>E72-F72</f>
        <v>9134490</v>
      </c>
    </row>
    <row r="73" spans="1:7" x14ac:dyDescent="0.3">
      <c r="A73" s="4" t="s">
        <v>74</v>
      </c>
      <c r="B73" s="6">
        <v>500000</v>
      </c>
      <c r="C73" s="6">
        <v>0</v>
      </c>
      <c r="D73" s="6">
        <f>B73-C73</f>
        <v>500000</v>
      </c>
      <c r="E73" s="6">
        <v>0</v>
      </c>
      <c r="F73" s="6">
        <v>0</v>
      </c>
      <c r="G73" s="6">
        <f>E73-F73</f>
        <v>0</v>
      </c>
    </row>
    <row r="74" spans="1:7" x14ac:dyDescent="0.3">
      <c r="A74" s="4" t="s">
        <v>75</v>
      </c>
      <c r="B74" s="6">
        <v>12929420</v>
      </c>
      <c r="C74" s="6">
        <v>0</v>
      </c>
      <c r="D74" s="6">
        <f>B74-C74</f>
        <v>12929420</v>
      </c>
      <c r="E74" s="6">
        <v>2438140</v>
      </c>
      <c r="F74" s="6">
        <v>0</v>
      </c>
      <c r="G74" s="6">
        <f>E74-F74</f>
        <v>2438140</v>
      </c>
    </row>
    <row r="75" spans="1:7" x14ac:dyDescent="0.3">
      <c r="A75" s="4" t="s">
        <v>76</v>
      </c>
      <c r="B75" s="6">
        <v>7032877</v>
      </c>
      <c r="C75" s="6">
        <v>0</v>
      </c>
      <c r="D75" s="6">
        <f>B75-C75</f>
        <v>7032877</v>
      </c>
      <c r="E75" s="6">
        <v>1788000</v>
      </c>
      <c r="F75" s="6">
        <v>0</v>
      </c>
      <c r="G75" s="6">
        <f>E75-F75</f>
        <v>1788000</v>
      </c>
    </row>
    <row r="76" spans="1:7" x14ac:dyDescent="0.3">
      <c r="A76" s="4" t="s">
        <v>77</v>
      </c>
      <c r="B76" s="6">
        <v>8514584</v>
      </c>
      <c r="C76" s="6">
        <v>0</v>
      </c>
      <c r="D76" s="6">
        <f>B76-C76</f>
        <v>8514584</v>
      </c>
      <c r="E76" s="6">
        <v>2185000</v>
      </c>
      <c r="F76" s="6">
        <v>0</v>
      </c>
      <c r="G76" s="6">
        <f>E76-F76</f>
        <v>2185000</v>
      </c>
    </row>
    <row r="77" spans="1:7" x14ac:dyDescent="0.3">
      <c r="A77" s="4" t="s">
        <v>78</v>
      </c>
      <c r="B77" s="6">
        <v>1875402</v>
      </c>
      <c r="C77" s="6">
        <v>0</v>
      </c>
      <c r="D77" s="6">
        <f>B77-C77</f>
        <v>1875402</v>
      </c>
      <c r="E77" s="6">
        <v>0</v>
      </c>
      <c r="F77" s="6">
        <v>0</v>
      </c>
      <c r="G77" s="6">
        <f>E77-F77</f>
        <v>0</v>
      </c>
    </row>
    <row r="78" spans="1:7" x14ac:dyDescent="0.3">
      <c r="A78" s="4" t="s">
        <v>79</v>
      </c>
      <c r="B78" s="6">
        <v>561950</v>
      </c>
      <c r="C78" s="6">
        <v>0</v>
      </c>
      <c r="D78" s="6">
        <f>B78-C78</f>
        <v>561950</v>
      </c>
      <c r="E78" s="6">
        <v>0</v>
      </c>
      <c r="F78" s="6">
        <v>0</v>
      </c>
      <c r="G78" s="6">
        <f>E78-F78</f>
        <v>0</v>
      </c>
    </row>
    <row r="79" spans="1:7" x14ac:dyDescent="0.3">
      <c r="A79" s="4" t="s">
        <v>5</v>
      </c>
      <c r="B79" s="6">
        <v>2000000</v>
      </c>
      <c r="C79" s="6">
        <v>0</v>
      </c>
      <c r="D79" s="6">
        <f>B79-C79</f>
        <v>2000000</v>
      </c>
      <c r="E79" s="6">
        <v>0</v>
      </c>
      <c r="F79" s="6">
        <v>0</v>
      </c>
      <c r="G79" s="6">
        <f>E79-F79</f>
        <v>0</v>
      </c>
    </row>
    <row r="80" spans="1:7" x14ac:dyDescent="0.3">
      <c r="A80" s="4" t="s">
        <v>80</v>
      </c>
      <c r="B80" s="6">
        <v>560572</v>
      </c>
      <c r="C80" s="6">
        <v>0</v>
      </c>
      <c r="D80" s="6">
        <f>B80-C80</f>
        <v>560572</v>
      </c>
      <c r="E80" s="6">
        <v>0</v>
      </c>
      <c r="F80" s="6">
        <v>0</v>
      </c>
      <c r="G80" s="6">
        <f>E80-F80</f>
        <v>0</v>
      </c>
    </row>
    <row r="81" spans="1:7" x14ac:dyDescent="0.3">
      <c r="A81" s="4" t="s">
        <v>81</v>
      </c>
      <c r="B81" s="6">
        <v>234558</v>
      </c>
      <c r="C81" s="6">
        <v>0</v>
      </c>
      <c r="D81" s="6">
        <f>B81-C81</f>
        <v>234558</v>
      </c>
      <c r="E81" s="6">
        <v>0</v>
      </c>
      <c r="F81" s="6">
        <v>0</v>
      </c>
      <c r="G81" s="6">
        <f>E81-F81</f>
        <v>0</v>
      </c>
    </row>
    <row r="82" spans="1:7" x14ac:dyDescent="0.3">
      <c r="A82" s="4" t="s">
        <v>82</v>
      </c>
      <c r="B82" s="6">
        <v>862970396.75</v>
      </c>
      <c r="C82" s="6">
        <v>0</v>
      </c>
      <c r="D82" s="6">
        <f>B82-C82</f>
        <v>862970396.75</v>
      </c>
      <c r="E82" s="6">
        <v>148954041.75</v>
      </c>
      <c r="F82" s="6">
        <v>0</v>
      </c>
      <c r="G82" s="6">
        <f>E82-F82</f>
        <v>148954041.75</v>
      </c>
    </row>
    <row r="83" spans="1:7" x14ac:dyDescent="0.3">
      <c r="A83" s="4" t="s">
        <v>83</v>
      </c>
      <c r="B83" s="6">
        <v>1595175</v>
      </c>
      <c r="C83" s="6">
        <v>0</v>
      </c>
      <c r="D83" s="6">
        <f>B83-C83</f>
        <v>1595175</v>
      </c>
      <c r="E83" s="6">
        <v>0</v>
      </c>
      <c r="F83" s="6">
        <v>0</v>
      </c>
      <c r="G83" s="6">
        <f>E83-F83</f>
        <v>0</v>
      </c>
    </row>
    <row r="84" spans="1:7" x14ac:dyDescent="0.3">
      <c r="A84" s="4" t="s">
        <v>67</v>
      </c>
      <c r="B84" s="6">
        <v>2836050</v>
      </c>
      <c r="C84" s="6">
        <v>0</v>
      </c>
      <c r="D84" s="6">
        <f>B84-C84</f>
        <v>2836050</v>
      </c>
      <c r="E84" s="6">
        <v>0</v>
      </c>
      <c r="F84" s="6">
        <v>0</v>
      </c>
      <c r="G84" s="6">
        <f>E84-F84</f>
        <v>0</v>
      </c>
    </row>
    <row r="85" spans="1:7" x14ac:dyDescent="0.3">
      <c r="A85" s="4" t="s">
        <v>84</v>
      </c>
      <c r="B85" s="6">
        <v>373000</v>
      </c>
      <c r="C85" s="6">
        <v>0</v>
      </c>
      <c r="D85" s="6">
        <f>B85-C85</f>
        <v>373000</v>
      </c>
      <c r="E85" s="6">
        <v>0</v>
      </c>
      <c r="F85" s="6">
        <v>0</v>
      </c>
      <c r="G85" s="6">
        <f>E85-F85</f>
        <v>0</v>
      </c>
    </row>
    <row r="86" spans="1:7" x14ac:dyDescent="0.3">
      <c r="A86" s="4" t="s">
        <v>85</v>
      </c>
      <c r="B86" s="6">
        <v>426000</v>
      </c>
      <c r="C86" s="6">
        <v>0</v>
      </c>
      <c r="D86" s="6">
        <f>B86-C86</f>
        <v>426000</v>
      </c>
      <c r="E86" s="6">
        <v>0</v>
      </c>
      <c r="F86" s="6">
        <v>0</v>
      </c>
      <c r="G86" s="6">
        <f>E86-F86</f>
        <v>0</v>
      </c>
    </row>
    <row r="87" spans="1:7" x14ac:dyDescent="0.3">
      <c r="A87" s="4" t="s">
        <v>86</v>
      </c>
      <c r="B87" s="6">
        <v>377000</v>
      </c>
      <c r="C87" s="6">
        <v>0</v>
      </c>
      <c r="D87" s="6">
        <f>B87-C87</f>
        <v>377000</v>
      </c>
      <c r="E87" s="6">
        <v>0</v>
      </c>
      <c r="F87" s="6">
        <v>0</v>
      </c>
      <c r="G87" s="6">
        <f>E87-F87</f>
        <v>0</v>
      </c>
    </row>
    <row r="88" spans="1:7" x14ac:dyDescent="0.3">
      <c r="A88" s="4" t="s">
        <v>87</v>
      </c>
      <c r="B88" s="6">
        <v>2331496</v>
      </c>
      <c r="C88" s="6">
        <v>0</v>
      </c>
      <c r="D88" s="6">
        <f>B88-C88</f>
        <v>2331496</v>
      </c>
      <c r="E88" s="6">
        <v>438770</v>
      </c>
      <c r="F88" s="6">
        <v>0</v>
      </c>
      <c r="G88" s="6">
        <f>E88-F88</f>
        <v>438770</v>
      </c>
    </row>
    <row r="89" spans="1:7" x14ac:dyDescent="0.3">
      <c r="A89" s="4" t="s">
        <v>88</v>
      </c>
      <c r="B89" s="6">
        <v>4930125</v>
      </c>
      <c r="C89" s="6">
        <v>0</v>
      </c>
      <c r="D89" s="6">
        <f>B89-C89</f>
        <v>4930125</v>
      </c>
      <c r="E89" s="6">
        <v>877250</v>
      </c>
      <c r="F89" s="6">
        <v>0</v>
      </c>
      <c r="G89" s="6">
        <f>E89-F89</f>
        <v>877250</v>
      </c>
    </row>
    <row r="90" spans="1:7" x14ac:dyDescent="0.3">
      <c r="A90" s="4" t="s">
        <v>89</v>
      </c>
      <c r="B90" s="6">
        <v>1123300</v>
      </c>
      <c r="C90" s="6">
        <v>0</v>
      </c>
      <c r="D90" s="6">
        <f>B90-C90</f>
        <v>1123300</v>
      </c>
      <c r="E90" s="6">
        <v>0</v>
      </c>
      <c r="F90" s="6">
        <v>0</v>
      </c>
      <c r="G90" s="6">
        <f>E90-F90</f>
        <v>0</v>
      </c>
    </row>
    <row r="91" spans="1:7" x14ac:dyDescent="0.3">
      <c r="A91" s="4" t="s">
        <v>90</v>
      </c>
      <c r="B91" s="6">
        <v>856464</v>
      </c>
      <c r="C91" s="6">
        <v>0</v>
      </c>
      <c r="D91" s="6">
        <f>B91-C91</f>
        <v>856464</v>
      </c>
      <c r="E91" s="6">
        <v>0</v>
      </c>
      <c r="F91" s="6">
        <v>0</v>
      </c>
      <c r="G91" s="6">
        <f>E91-F91</f>
        <v>0</v>
      </c>
    </row>
    <row r="92" spans="1:7" x14ac:dyDescent="0.3">
      <c r="A92" s="4" t="s">
        <v>91</v>
      </c>
      <c r="B92" s="6">
        <v>126063</v>
      </c>
      <c r="C92" s="6">
        <v>0</v>
      </c>
      <c r="D92" s="6">
        <f>B92-C92</f>
        <v>126063</v>
      </c>
      <c r="E92" s="6">
        <v>-182700</v>
      </c>
      <c r="F92" s="6">
        <v>0</v>
      </c>
      <c r="G92" s="6">
        <f>E92-F92</f>
        <v>-182700</v>
      </c>
    </row>
    <row r="93" spans="1:7" x14ac:dyDescent="0.3">
      <c r="A93" s="4" t="s">
        <v>92</v>
      </c>
      <c r="B93" s="6">
        <v>119660</v>
      </c>
      <c r="C93" s="6">
        <v>0</v>
      </c>
      <c r="D93" s="6">
        <f>B93-C93</f>
        <v>119660</v>
      </c>
      <c r="E93" s="6">
        <v>0</v>
      </c>
      <c r="F93" s="6">
        <v>0</v>
      </c>
      <c r="G93" s="6">
        <f>E93-F93</f>
        <v>0</v>
      </c>
    </row>
    <row r="94" spans="1:7" x14ac:dyDescent="0.3">
      <c r="A94" s="4" t="s">
        <v>93</v>
      </c>
      <c r="B94" s="6">
        <v>539970</v>
      </c>
      <c r="C94" s="6">
        <v>0</v>
      </c>
      <c r="D94" s="6">
        <f>B94-C94</f>
        <v>539970</v>
      </c>
      <c r="E94" s="6">
        <v>0</v>
      </c>
      <c r="F94" s="6">
        <v>0</v>
      </c>
      <c r="G94" s="6">
        <f>E94-F94</f>
        <v>0</v>
      </c>
    </row>
    <row r="95" spans="1:7" x14ac:dyDescent="0.3">
      <c r="A95" s="4" t="s">
        <v>94</v>
      </c>
      <c r="B95" s="6">
        <v>144500</v>
      </c>
      <c r="C95" s="6">
        <v>0</v>
      </c>
      <c r="D95" s="6">
        <f>B95-C95</f>
        <v>144500</v>
      </c>
      <c r="E95" s="6">
        <v>-127160</v>
      </c>
      <c r="F95" s="6">
        <v>0</v>
      </c>
      <c r="G95" s="6">
        <f>E95-F95</f>
        <v>-127160</v>
      </c>
    </row>
    <row r="96" spans="1:7" x14ac:dyDescent="0.3">
      <c r="A96" s="4" t="s">
        <v>95</v>
      </c>
      <c r="B96" s="6">
        <v>27975001</v>
      </c>
      <c r="C96" s="6">
        <v>0</v>
      </c>
      <c r="D96" s="6">
        <f>B96-C96</f>
        <v>27975001</v>
      </c>
      <c r="E96" s="6">
        <v>27975001</v>
      </c>
      <c r="F96" s="6">
        <v>0</v>
      </c>
      <c r="G96" s="6">
        <f>E96-F96</f>
        <v>27975001</v>
      </c>
    </row>
    <row r="97" spans="1:7" customFormat="1" ht="14.5" x14ac:dyDescent="0.35">
      <c r="A97" s="7"/>
      <c r="B97" s="8"/>
      <c r="C97" s="8"/>
      <c r="D97" s="8"/>
      <c r="E97" s="8"/>
      <c r="F97" s="8"/>
      <c r="G97" s="8"/>
    </row>
    <row r="98" spans="1:7" x14ac:dyDescent="0.3">
      <c r="A98" s="4" t="s">
        <v>96</v>
      </c>
      <c r="B98" s="6">
        <f>ROUND(SUBTOTAL(9, B2:B97), 5)</f>
        <v>8121506716.5799999</v>
      </c>
      <c r="C98" s="6">
        <f>ROUND(SUBTOTAL(9, C2:C97), 5)</f>
        <v>0</v>
      </c>
      <c r="D98" s="6">
        <f>B98-C98</f>
        <v>8121506716.5799999</v>
      </c>
      <c r="E98" s="6">
        <f>ROUND(SUBTOTAL(9, E2:E97), 5)</f>
        <v>841131444.27999997</v>
      </c>
      <c r="F98" s="6">
        <f>ROUND(SUBTOTAL(9, F2:F97), 5)</f>
        <v>0</v>
      </c>
      <c r="G98" s="6">
        <f>E98-F98</f>
        <v>841131444.27999997</v>
      </c>
    </row>
    <row r="99" spans="1:7" customFormat="1" ht="14.5" x14ac:dyDescent="0.35">
      <c r="A99" s="7"/>
      <c r="B99" s="8"/>
      <c r="C99" s="8"/>
      <c r="D99" s="8"/>
      <c r="E99" s="8"/>
      <c r="F99" s="8"/>
      <c r="G99" s="8"/>
    </row>
    <row r="100" spans="1:7" x14ac:dyDescent="0.3">
      <c r="A100" s="9" t="s">
        <v>97</v>
      </c>
    </row>
    <row r="101" spans="1:7" x14ac:dyDescent="0.3">
      <c r="A101" s="4" t="s">
        <v>98</v>
      </c>
    </row>
    <row r="102" spans="1:7" x14ac:dyDescent="0.3">
      <c r="A102" s="4" t="s">
        <v>99</v>
      </c>
      <c r="B102" s="6">
        <v>0</v>
      </c>
      <c r="C102" s="6">
        <v>0</v>
      </c>
      <c r="D102" s="6">
        <f>B102-C102</f>
        <v>0</v>
      </c>
      <c r="E102" s="6">
        <v>0</v>
      </c>
      <c r="F102" s="6">
        <v>0</v>
      </c>
      <c r="G102" s="6">
        <f>E102-F102</f>
        <v>0</v>
      </c>
    </row>
    <row r="103" spans="1:7" x14ac:dyDescent="0.3">
      <c r="A103" s="4" t="s">
        <v>100</v>
      </c>
      <c r="B103" s="6">
        <v>6515200</v>
      </c>
      <c r="C103" s="6">
        <v>0</v>
      </c>
      <c r="D103" s="6">
        <f>B103-C103</f>
        <v>6515200</v>
      </c>
      <c r="E103" s="6">
        <v>0</v>
      </c>
      <c r="F103" s="6">
        <v>0</v>
      </c>
      <c r="G103" s="6">
        <f>E103-F103</f>
        <v>0</v>
      </c>
    </row>
    <row r="104" spans="1:7" x14ac:dyDescent="0.3">
      <c r="A104" s="4" t="s">
        <v>101</v>
      </c>
      <c r="B104" s="6">
        <v>2358650</v>
      </c>
      <c r="C104" s="6">
        <v>0</v>
      </c>
      <c r="D104" s="6">
        <f>B104-C104</f>
        <v>2358650</v>
      </c>
      <c r="E104" s="6">
        <v>11000</v>
      </c>
      <c r="F104" s="6">
        <v>0</v>
      </c>
      <c r="G104" s="6">
        <f>E104-F104</f>
        <v>11000</v>
      </c>
    </row>
    <row r="105" spans="1:7" x14ac:dyDescent="0.3">
      <c r="A105" s="4" t="s">
        <v>102</v>
      </c>
      <c r="B105" s="6">
        <v>0</v>
      </c>
      <c r="C105" s="6">
        <v>0</v>
      </c>
      <c r="D105" s="6">
        <f>B105-C105</f>
        <v>0</v>
      </c>
      <c r="E105" s="6">
        <v>0</v>
      </c>
      <c r="F105" s="6">
        <v>0</v>
      </c>
      <c r="G105" s="6">
        <f>E105-F105</f>
        <v>0</v>
      </c>
    </row>
    <row r="106" spans="1:7" x14ac:dyDescent="0.3">
      <c r="A106" s="4" t="s">
        <v>103</v>
      </c>
      <c r="B106" s="6">
        <v>0</v>
      </c>
      <c r="C106" s="6">
        <v>0</v>
      </c>
      <c r="D106" s="6">
        <f>B106-C106</f>
        <v>0</v>
      </c>
      <c r="E106" s="6">
        <v>0</v>
      </c>
      <c r="F106" s="6">
        <v>0</v>
      </c>
      <c r="G106" s="6">
        <f>E106-F106</f>
        <v>0</v>
      </c>
    </row>
    <row r="107" spans="1:7" x14ac:dyDescent="0.3">
      <c r="A107" s="4" t="s">
        <v>104</v>
      </c>
      <c r="B107" s="6">
        <v>27978050</v>
      </c>
      <c r="C107" s="6">
        <v>0</v>
      </c>
      <c r="D107" s="6">
        <f>B107-C107</f>
        <v>27978050</v>
      </c>
      <c r="E107" s="6">
        <v>1767500</v>
      </c>
      <c r="F107" s="6">
        <v>0</v>
      </c>
      <c r="G107" s="6">
        <f>E107-F107</f>
        <v>1767500</v>
      </c>
    </row>
    <row r="108" spans="1:7" x14ac:dyDescent="0.3">
      <c r="A108" s="4" t="s">
        <v>105</v>
      </c>
      <c r="B108" s="6">
        <v>5154035</v>
      </c>
      <c r="C108" s="6">
        <v>0</v>
      </c>
      <c r="D108" s="6">
        <f>B108-C108</f>
        <v>5154035</v>
      </c>
      <c r="E108" s="6">
        <v>202250</v>
      </c>
      <c r="F108" s="6">
        <v>0</v>
      </c>
      <c r="G108" s="6">
        <f>E108-F108</f>
        <v>202250</v>
      </c>
    </row>
    <row r="109" spans="1:7" x14ac:dyDescent="0.3">
      <c r="A109" s="4" t="s">
        <v>106</v>
      </c>
      <c r="B109" s="6">
        <v>0</v>
      </c>
      <c r="C109" s="6">
        <v>0</v>
      </c>
      <c r="D109" s="6">
        <f>B109-C109</f>
        <v>0</v>
      </c>
      <c r="E109" s="6">
        <v>0</v>
      </c>
      <c r="F109" s="6">
        <v>0</v>
      </c>
      <c r="G109" s="6">
        <f>E109-F109</f>
        <v>0</v>
      </c>
    </row>
    <row r="110" spans="1:7" x14ac:dyDescent="0.3">
      <c r="A110" s="4" t="s">
        <v>107</v>
      </c>
      <c r="B110" s="6">
        <v>15645506.16</v>
      </c>
      <c r="C110" s="6">
        <v>0</v>
      </c>
      <c r="D110" s="6">
        <f>B110-C110</f>
        <v>15645506.16</v>
      </c>
      <c r="E110" s="6">
        <v>0</v>
      </c>
      <c r="F110" s="6">
        <v>0</v>
      </c>
      <c r="G110" s="6">
        <f>E110-F110</f>
        <v>0</v>
      </c>
    </row>
    <row r="111" spans="1:7" x14ac:dyDescent="0.3">
      <c r="A111" s="4" t="s">
        <v>108</v>
      </c>
      <c r="B111" s="6">
        <v>949789.68</v>
      </c>
      <c r="C111" s="6">
        <v>0</v>
      </c>
      <c r="D111" s="6">
        <f>B111-C111</f>
        <v>949789.68</v>
      </c>
      <c r="E111" s="6">
        <v>18975.349999999999</v>
      </c>
      <c r="F111" s="6">
        <v>0</v>
      </c>
      <c r="G111" s="6">
        <f>E111-F111</f>
        <v>18975.349999999999</v>
      </c>
    </row>
    <row r="112" spans="1:7" x14ac:dyDescent="0.3">
      <c r="A112" s="4" t="s">
        <v>109</v>
      </c>
      <c r="B112" s="6">
        <v>31735.040000000001</v>
      </c>
      <c r="C112" s="6">
        <v>0</v>
      </c>
      <c r="D112" s="6">
        <f>B112-C112</f>
        <v>31735.040000000001</v>
      </c>
      <c r="E112" s="6">
        <v>0</v>
      </c>
      <c r="F112" s="6">
        <v>0</v>
      </c>
      <c r="G112" s="6">
        <f>E112-F112</f>
        <v>0</v>
      </c>
    </row>
    <row r="113" spans="1:7" x14ac:dyDescent="0.3">
      <c r="A113" s="4" t="s">
        <v>110</v>
      </c>
      <c r="B113" s="6">
        <v>1222882.03</v>
      </c>
      <c r="C113" s="6">
        <v>0</v>
      </c>
      <c r="D113" s="6">
        <f>B113-C113</f>
        <v>1222882.03</v>
      </c>
      <c r="E113" s="6">
        <v>25598.35</v>
      </c>
      <c r="F113" s="6">
        <v>0</v>
      </c>
      <c r="G113" s="6">
        <f>E113-F113</f>
        <v>25598.35</v>
      </c>
    </row>
    <row r="114" spans="1:7" x14ac:dyDescent="0.3">
      <c r="A114" s="4" t="s">
        <v>111</v>
      </c>
      <c r="B114" s="6">
        <v>5000</v>
      </c>
      <c r="C114" s="6">
        <v>0</v>
      </c>
      <c r="D114" s="6">
        <f>B114-C114</f>
        <v>5000</v>
      </c>
      <c r="E114" s="6">
        <v>0</v>
      </c>
      <c r="F114" s="6">
        <v>0</v>
      </c>
      <c r="G114" s="6">
        <f>E114-F114</f>
        <v>0</v>
      </c>
    </row>
    <row r="115" spans="1:7" x14ac:dyDescent="0.3">
      <c r="A115" s="4" t="s">
        <v>112</v>
      </c>
      <c r="B115" s="6">
        <v>53.75</v>
      </c>
      <c r="C115" s="6">
        <v>0</v>
      </c>
      <c r="D115" s="6">
        <f>B115-C115</f>
        <v>53.75</v>
      </c>
      <c r="E115" s="6">
        <v>0</v>
      </c>
      <c r="F115" s="6">
        <v>0</v>
      </c>
      <c r="G115" s="6">
        <f>E115-F115</f>
        <v>0</v>
      </c>
    </row>
    <row r="116" spans="1:7" x14ac:dyDescent="0.3">
      <c r="A116" s="4" t="s">
        <v>113</v>
      </c>
      <c r="B116" s="6">
        <v>0</v>
      </c>
      <c r="C116" s="6">
        <v>0</v>
      </c>
      <c r="D116" s="6">
        <f>B116-C116</f>
        <v>0</v>
      </c>
      <c r="E116" s="6">
        <v>0</v>
      </c>
      <c r="F116" s="6">
        <v>0</v>
      </c>
      <c r="G116" s="6">
        <f>E116-F116</f>
        <v>0</v>
      </c>
    </row>
    <row r="117" spans="1:7" x14ac:dyDescent="0.3">
      <c r="A117" s="4" t="s">
        <v>114</v>
      </c>
      <c r="B117" s="6">
        <v>0</v>
      </c>
      <c r="C117" s="6">
        <v>0</v>
      </c>
      <c r="D117" s="6">
        <f>B117-C117</f>
        <v>0</v>
      </c>
      <c r="E117" s="6">
        <v>0</v>
      </c>
      <c r="F117" s="6">
        <v>0</v>
      </c>
      <c r="G117" s="6">
        <f>E117-F117</f>
        <v>0</v>
      </c>
    </row>
    <row r="118" spans="1:7" x14ac:dyDescent="0.3">
      <c r="A118" s="4" t="s">
        <v>115</v>
      </c>
      <c r="B118" s="6">
        <v>3304400</v>
      </c>
      <c r="C118" s="6">
        <v>0</v>
      </c>
      <c r="D118" s="6">
        <f>B118-C118</f>
        <v>3304400</v>
      </c>
      <c r="E118" s="6">
        <v>0</v>
      </c>
      <c r="F118" s="6">
        <v>0</v>
      </c>
      <c r="G118" s="6">
        <f>E118-F118</f>
        <v>0</v>
      </c>
    </row>
    <row r="119" spans="1:7" x14ac:dyDescent="0.3">
      <c r="A119" s="4" t="s">
        <v>116</v>
      </c>
      <c r="B119" s="6">
        <v>11594630</v>
      </c>
      <c r="C119" s="6">
        <v>0</v>
      </c>
      <c r="D119" s="6">
        <f>B119-C119</f>
        <v>11594630</v>
      </c>
      <c r="E119" s="6">
        <v>572600</v>
      </c>
      <c r="F119" s="6">
        <v>0</v>
      </c>
      <c r="G119" s="6">
        <f>E119-F119</f>
        <v>572600</v>
      </c>
    </row>
    <row r="120" spans="1:7" x14ac:dyDescent="0.3">
      <c r="A120" s="4" t="s">
        <v>117</v>
      </c>
      <c r="B120" s="6">
        <v>0</v>
      </c>
      <c r="C120" s="6">
        <v>0</v>
      </c>
      <c r="D120" s="6">
        <f>B120-C120</f>
        <v>0</v>
      </c>
      <c r="E120" s="6">
        <v>0</v>
      </c>
      <c r="F120" s="6">
        <v>0</v>
      </c>
      <c r="G120" s="6">
        <f>E120-F120</f>
        <v>0</v>
      </c>
    </row>
    <row r="121" spans="1:7" x14ac:dyDescent="0.3">
      <c r="A121" s="4" t="s">
        <v>118</v>
      </c>
      <c r="B121" s="6">
        <v>312025</v>
      </c>
      <c r="C121" s="6">
        <v>0</v>
      </c>
      <c r="D121" s="6">
        <f>B121-C121</f>
        <v>312025</v>
      </c>
      <c r="E121" s="6">
        <v>0</v>
      </c>
      <c r="F121" s="6">
        <v>0</v>
      </c>
      <c r="G121" s="6">
        <f>E121-F121</f>
        <v>0</v>
      </c>
    </row>
    <row r="122" spans="1:7" x14ac:dyDescent="0.3">
      <c r="A122" s="4" t="s">
        <v>119</v>
      </c>
      <c r="B122" s="6">
        <v>1190000</v>
      </c>
      <c r="C122" s="6">
        <v>0</v>
      </c>
      <c r="D122" s="6">
        <f>B122-C122</f>
        <v>1190000</v>
      </c>
      <c r="E122" s="6">
        <v>0</v>
      </c>
      <c r="F122" s="6">
        <v>0</v>
      </c>
      <c r="G122" s="6">
        <f>E122-F122</f>
        <v>0</v>
      </c>
    </row>
    <row r="123" spans="1:7" x14ac:dyDescent="0.3">
      <c r="A123" s="4" t="s">
        <v>120</v>
      </c>
      <c r="B123" s="6">
        <v>0</v>
      </c>
      <c r="C123" s="6">
        <v>0</v>
      </c>
      <c r="D123" s="6">
        <f>B123-C123</f>
        <v>0</v>
      </c>
      <c r="E123" s="6">
        <v>0</v>
      </c>
      <c r="F123" s="6">
        <v>0</v>
      </c>
      <c r="G123" s="6">
        <f>E123-F123</f>
        <v>0</v>
      </c>
    </row>
    <row r="124" spans="1:7" x14ac:dyDescent="0.3">
      <c r="A124" s="4" t="s">
        <v>121</v>
      </c>
      <c r="B124" s="6">
        <v>40941.800000000003</v>
      </c>
      <c r="C124" s="6">
        <v>0</v>
      </c>
      <c r="D124" s="6">
        <f>B124-C124</f>
        <v>40941.800000000003</v>
      </c>
      <c r="E124" s="6">
        <v>0</v>
      </c>
      <c r="F124" s="6">
        <v>0</v>
      </c>
      <c r="G124" s="6">
        <f>E124-F124</f>
        <v>0</v>
      </c>
    </row>
    <row r="125" spans="1:7" x14ac:dyDescent="0.3">
      <c r="A125" s="4" t="s">
        <v>122</v>
      </c>
      <c r="B125" s="6">
        <v>3045000</v>
      </c>
      <c r="C125" s="6">
        <v>0</v>
      </c>
      <c r="D125" s="6">
        <f>B125-C125</f>
        <v>3045000</v>
      </c>
      <c r="E125" s="6">
        <v>0</v>
      </c>
      <c r="F125" s="6">
        <v>0</v>
      </c>
      <c r="G125" s="6">
        <f>E125-F125</f>
        <v>0</v>
      </c>
    </row>
    <row r="126" spans="1:7" x14ac:dyDescent="0.3">
      <c r="A126" s="4" t="s">
        <v>123</v>
      </c>
      <c r="B126" s="6">
        <v>74000</v>
      </c>
      <c r="C126" s="6">
        <v>0</v>
      </c>
      <c r="D126" s="6">
        <f>B126-C126</f>
        <v>74000</v>
      </c>
      <c r="E126" s="6">
        <v>0</v>
      </c>
      <c r="F126" s="6">
        <v>0</v>
      </c>
      <c r="G126" s="6">
        <f>E126-F126</f>
        <v>0</v>
      </c>
    </row>
    <row r="127" spans="1:7" x14ac:dyDescent="0.3">
      <c r="A127" s="4" t="s">
        <v>124</v>
      </c>
      <c r="B127" s="6">
        <v>1466680</v>
      </c>
      <c r="C127" s="6">
        <v>0</v>
      </c>
      <c r="D127" s="6">
        <f>B127-C127</f>
        <v>1466680</v>
      </c>
      <c r="E127" s="6">
        <v>427180</v>
      </c>
      <c r="F127" s="6">
        <v>0</v>
      </c>
      <c r="G127" s="6">
        <f>E127-F127</f>
        <v>427180</v>
      </c>
    </row>
    <row r="128" spans="1:7" x14ac:dyDescent="0.3">
      <c r="A128" s="4" t="s">
        <v>125</v>
      </c>
      <c r="B128" s="6">
        <v>12484342</v>
      </c>
      <c r="C128" s="6">
        <v>0</v>
      </c>
      <c r="D128" s="6">
        <f>B128-C128</f>
        <v>12484342</v>
      </c>
      <c r="E128" s="6">
        <v>82600</v>
      </c>
      <c r="F128" s="6">
        <v>0</v>
      </c>
      <c r="G128" s="6">
        <f>E128-F128</f>
        <v>82600</v>
      </c>
    </row>
    <row r="129" spans="1:7" x14ac:dyDescent="0.3">
      <c r="A129" s="4" t="s">
        <v>126</v>
      </c>
      <c r="B129" s="6">
        <v>0</v>
      </c>
      <c r="C129" s="6">
        <v>0</v>
      </c>
      <c r="D129" s="6">
        <f>B129-C129</f>
        <v>0</v>
      </c>
      <c r="E129" s="6">
        <v>0</v>
      </c>
      <c r="F129" s="6">
        <v>0</v>
      </c>
      <c r="G129" s="6">
        <f>E129-F129</f>
        <v>0</v>
      </c>
    </row>
    <row r="130" spans="1:7" x14ac:dyDescent="0.3">
      <c r="A130" s="4" t="s">
        <v>127</v>
      </c>
      <c r="B130" s="6">
        <v>731000</v>
      </c>
      <c r="C130" s="6">
        <v>0</v>
      </c>
      <c r="D130" s="6">
        <f>B130-C130</f>
        <v>731000</v>
      </c>
      <c r="E130" s="6">
        <v>0</v>
      </c>
      <c r="F130" s="6">
        <v>0</v>
      </c>
      <c r="G130" s="6">
        <f>E130-F130</f>
        <v>0</v>
      </c>
    </row>
    <row r="131" spans="1:7" x14ac:dyDescent="0.3">
      <c r="A131" s="4" t="s">
        <v>128</v>
      </c>
      <c r="B131" s="6">
        <v>436100.2</v>
      </c>
      <c r="C131" s="6">
        <v>0</v>
      </c>
      <c r="D131" s="6">
        <f>B131-C131</f>
        <v>436100.2</v>
      </c>
      <c r="E131" s="6">
        <v>0</v>
      </c>
      <c r="F131" s="6">
        <v>0</v>
      </c>
      <c r="G131" s="6">
        <f>E131-F131</f>
        <v>0</v>
      </c>
    </row>
    <row r="132" spans="1:7" x14ac:dyDescent="0.3">
      <c r="A132" s="4" t="s">
        <v>129</v>
      </c>
      <c r="B132" s="6">
        <v>1450000</v>
      </c>
      <c r="C132" s="6">
        <v>0</v>
      </c>
      <c r="D132" s="6">
        <f>B132-C132</f>
        <v>1450000</v>
      </c>
      <c r="E132" s="6">
        <v>0</v>
      </c>
      <c r="F132" s="6">
        <v>0</v>
      </c>
      <c r="G132" s="6">
        <f>E132-F132</f>
        <v>0</v>
      </c>
    </row>
    <row r="133" spans="1:7" x14ac:dyDescent="0.3">
      <c r="A133" s="4" t="s">
        <v>130</v>
      </c>
      <c r="B133" s="6">
        <v>6714552.2599999998</v>
      </c>
      <c r="C133" s="6">
        <v>0</v>
      </c>
      <c r="D133" s="6">
        <f>B133-C133</f>
        <v>6714552.2599999998</v>
      </c>
      <c r="E133" s="6">
        <v>47509.08</v>
      </c>
      <c r="F133" s="6">
        <v>0</v>
      </c>
      <c r="G133" s="6">
        <f>E133-F133</f>
        <v>47509.08</v>
      </c>
    </row>
    <row r="134" spans="1:7" x14ac:dyDescent="0.3">
      <c r="A134" s="4" t="s">
        <v>131</v>
      </c>
      <c r="B134" s="6">
        <v>0</v>
      </c>
      <c r="C134" s="6">
        <v>0</v>
      </c>
      <c r="D134" s="6">
        <f>B134-C134</f>
        <v>0</v>
      </c>
      <c r="E134" s="6">
        <v>0</v>
      </c>
      <c r="F134" s="6">
        <v>0</v>
      </c>
      <c r="G134" s="6">
        <f>E134-F134</f>
        <v>0</v>
      </c>
    </row>
    <row r="135" spans="1:7" x14ac:dyDescent="0.3">
      <c r="A135" s="4" t="s">
        <v>132</v>
      </c>
      <c r="B135" s="6">
        <v>50000</v>
      </c>
      <c r="C135" s="6">
        <v>0</v>
      </c>
      <c r="D135" s="6">
        <f>B135-C135</f>
        <v>50000</v>
      </c>
      <c r="E135" s="6">
        <v>0</v>
      </c>
      <c r="F135" s="6">
        <v>0</v>
      </c>
      <c r="G135" s="6">
        <f>E135-F135</f>
        <v>0</v>
      </c>
    </row>
    <row r="136" spans="1:7" x14ac:dyDescent="0.3">
      <c r="A136" s="4" t="s">
        <v>133</v>
      </c>
      <c r="B136" s="6">
        <v>1125000</v>
      </c>
      <c r="C136" s="6">
        <v>0</v>
      </c>
      <c r="D136" s="6">
        <f>B136-C136</f>
        <v>1125000</v>
      </c>
      <c r="E136" s="6">
        <v>0</v>
      </c>
      <c r="F136" s="6">
        <v>0</v>
      </c>
      <c r="G136" s="6">
        <f>E136-F136</f>
        <v>0</v>
      </c>
    </row>
    <row r="137" spans="1:7" x14ac:dyDescent="0.3">
      <c r="A137" s="4" t="s">
        <v>134</v>
      </c>
      <c r="B137" s="6">
        <v>12953550.5</v>
      </c>
      <c r="C137" s="6">
        <v>0</v>
      </c>
      <c r="D137" s="6">
        <f>B137-C137</f>
        <v>12953550.5</v>
      </c>
      <c r="E137" s="6">
        <v>726900</v>
      </c>
      <c r="F137" s="6">
        <v>0</v>
      </c>
      <c r="G137" s="6">
        <f>E137-F137</f>
        <v>726900</v>
      </c>
    </row>
    <row r="138" spans="1:7" x14ac:dyDescent="0.3">
      <c r="A138" s="4" t="s">
        <v>135</v>
      </c>
      <c r="B138" s="6">
        <v>507000</v>
      </c>
      <c r="C138" s="6">
        <v>0</v>
      </c>
      <c r="D138" s="6">
        <f>B138-C138</f>
        <v>507000</v>
      </c>
      <c r="E138" s="6">
        <v>50000</v>
      </c>
      <c r="F138" s="6">
        <v>0</v>
      </c>
      <c r="G138" s="6">
        <f>E138-F138</f>
        <v>50000</v>
      </c>
    </row>
    <row r="139" spans="1:7" x14ac:dyDescent="0.3">
      <c r="A139" s="4" t="s">
        <v>136</v>
      </c>
      <c r="B139" s="6">
        <v>31715.49</v>
      </c>
      <c r="C139" s="6">
        <v>0</v>
      </c>
      <c r="D139" s="6">
        <f>B139-C139</f>
        <v>31715.49</v>
      </c>
      <c r="E139" s="6">
        <v>0</v>
      </c>
      <c r="F139" s="6">
        <v>0</v>
      </c>
      <c r="G139" s="6">
        <f>E139-F139</f>
        <v>0</v>
      </c>
    </row>
    <row r="140" spans="1:7" x14ac:dyDescent="0.3">
      <c r="A140" s="4" t="s">
        <v>137</v>
      </c>
      <c r="B140" s="6">
        <v>1549000</v>
      </c>
      <c r="C140" s="6">
        <v>0</v>
      </c>
      <c r="D140" s="6">
        <f>B140-C140</f>
        <v>1549000</v>
      </c>
      <c r="E140" s="6">
        <v>43000</v>
      </c>
      <c r="F140" s="6">
        <v>0</v>
      </c>
      <c r="G140" s="6">
        <f>E140-F140</f>
        <v>43000</v>
      </c>
    </row>
    <row r="141" spans="1:7" x14ac:dyDescent="0.3">
      <c r="A141" s="4" t="s">
        <v>138</v>
      </c>
      <c r="B141" s="6">
        <v>2785960</v>
      </c>
      <c r="C141" s="6">
        <v>0</v>
      </c>
      <c r="D141" s="6">
        <f>B141-C141</f>
        <v>2785960</v>
      </c>
      <c r="E141" s="6">
        <v>113500</v>
      </c>
      <c r="F141" s="6">
        <v>0</v>
      </c>
      <c r="G141" s="6">
        <f>E141-F141</f>
        <v>113500</v>
      </c>
    </row>
    <row r="142" spans="1:7" x14ac:dyDescent="0.3">
      <c r="A142" s="4" t="s">
        <v>139</v>
      </c>
      <c r="B142" s="6">
        <v>0</v>
      </c>
      <c r="C142" s="6">
        <v>0</v>
      </c>
      <c r="D142" s="6">
        <f>B142-C142</f>
        <v>0</v>
      </c>
      <c r="E142" s="6">
        <v>0</v>
      </c>
      <c r="F142" s="6">
        <v>0</v>
      </c>
      <c r="G142" s="6">
        <f>E142-F142</f>
        <v>0</v>
      </c>
    </row>
    <row r="143" spans="1:7" x14ac:dyDescent="0.3">
      <c r="A143" s="4" t="s">
        <v>140</v>
      </c>
      <c r="B143" s="6">
        <v>51500</v>
      </c>
      <c r="C143" s="6">
        <v>0</v>
      </c>
      <c r="D143" s="6">
        <f>B143-C143</f>
        <v>51500</v>
      </c>
      <c r="E143" s="6">
        <v>0</v>
      </c>
      <c r="F143" s="6">
        <v>0</v>
      </c>
      <c r="G143" s="6">
        <f>E143-F143</f>
        <v>0</v>
      </c>
    </row>
    <row r="144" spans="1:7" x14ac:dyDescent="0.3">
      <c r="A144" s="4" t="s">
        <v>141</v>
      </c>
      <c r="B144" s="6">
        <v>3574560</v>
      </c>
      <c r="C144" s="6">
        <v>0</v>
      </c>
      <c r="D144" s="6">
        <f>B144-C144</f>
        <v>3574560</v>
      </c>
      <c r="E144" s="6">
        <v>9500</v>
      </c>
      <c r="F144" s="6">
        <v>0</v>
      </c>
      <c r="G144" s="6">
        <f>E144-F144</f>
        <v>9500</v>
      </c>
    </row>
    <row r="145" spans="1:7" x14ac:dyDescent="0.3">
      <c r="A145" s="4" t="s">
        <v>142</v>
      </c>
      <c r="B145" s="6">
        <v>3118610</v>
      </c>
      <c r="C145" s="6">
        <v>0</v>
      </c>
      <c r="D145" s="6">
        <f>B145-C145</f>
        <v>3118610</v>
      </c>
      <c r="E145" s="6">
        <v>204300</v>
      </c>
      <c r="F145" s="6">
        <v>0</v>
      </c>
      <c r="G145" s="6">
        <f>E145-F145</f>
        <v>204300</v>
      </c>
    </row>
    <row r="146" spans="1:7" x14ac:dyDescent="0.3">
      <c r="A146" s="4" t="s">
        <v>143</v>
      </c>
      <c r="B146" s="6">
        <v>63700</v>
      </c>
      <c r="C146" s="6">
        <v>0</v>
      </c>
      <c r="D146" s="6">
        <f>B146-C146</f>
        <v>63700</v>
      </c>
      <c r="E146" s="6">
        <v>8400</v>
      </c>
      <c r="F146" s="6">
        <v>0</v>
      </c>
      <c r="G146" s="6">
        <f>E146-F146</f>
        <v>8400</v>
      </c>
    </row>
    <row r="147" spans="1:7" x14ac:dyDescent="0.3">
      <c r="A147" s="4" t="s">
        <v>144</v>
      </c>
      <c r="B147" s="6">
        <v>83733073</v>
      </c>
      <c r="C147" s="6">
        <v>0</v>
      </c>
      <c r="D147" s="6">
        <f>B147-C147</f>
        <v>83733073</v>
      </c>
      <c r="E147" s="6">
        <v>1448840</v>
      </c>
      <c r="F147" s="6">
        <v>0</v>
      </c>
      <c r="G147" s="6">
        <f>E147-F147</f>
        <v>1448840</v>
      </c>
    </row>
    <row r="148" spans="1:7" x14ac:dyDescent="0.3">
      <c r="A148" s="4" t="s">
        <v>145</v>
      </c>
      <c r="B148" s="6">
        <v>5998961.5300000003</v>
      </c>
      <c r="C148" s="6">
        <v>0</v>
      </c>
      <c r="D148" s="6">
        <f>B148-C148</f>
        <v>5998961.5300000003</v>
      </c>
      <c r="E148" s="6">
        <v>438134</v>
      </c>
      <c r="F148" s="6">
        <v>0</v>
      </c>
      <c r="G148" s="6">
        <f>E148-F148</f>
        <v>438134</v>
      </c>
    </row>
    <row r="149" spans="1:7" x14ac:dyDescent="0.3">
      <c r="A149" s="4" t="s">
        <v>146</v>
      </c>
      <c r="B149" s="6">
        <v>176500</v>
      </c>
      <c r="C149" s="6">
        <v>0</v>
      </c>
      <c r="D149" s="6">
        <f>B149-C149</f>
        <v>176500</v>
      </c>
      <c r="E149" s="6">
        <v>0</v>
      </c>
      <c r="F149" s="6">
        <v>0</v>
      </c>
      <c r="G149" s="6">
        <f>E149-F149</f>
        <v>0</v>
      </c>
    </row>
    <row r="150" spans="1:7" x14ac:dyDescent="0.3">
      <c r="A150" s="4" t="s">
        <v>147</v>
      </c>
      <c r="B150" s="6">
        <v>16741882.890000001</v>
      </c>
      <c r="C150" s="6">
        <v>0</v>
      </c>
      <c r="D150" s="6">
        <f>B150-C150</f>
        <v>16741882.890000001</v>
      </c>
      <c r="E150" s="6">
        <v>50000</v>
      </c>
      <c r="F150" s="6">
        <v>0</v>
      </c>
      <c r="G150" s="6">
        <f>E150-F150</f>
        <v>50000</v>
      </c>
    </row>
    <row r="151" spans="1:7" x14ac:dyDescent="0.3">
      <c r="A151" s="4" t="s">
        <v>148</v>
      </c>
      <c r="B151" s="6">
        <v>0</v>
      </c>
      <c r="C151" s="6">
        <v>0</v>
      </c>
      <c r="D151" s="6">
        <f>B151-C151</f>
        <v>0</v>
      </c>
      <c r="E151" s="6">
        <v>0</v>
      </c>
      <c r="F151" s="6">
        <v>0</v>
      </c>
      <c r="G151" s="6">
        <f>E151-F151</f>
        <v>0</v>
      </c>
    </row>
    <row r="152" spans="1:7" x14ac:dyDescent="0.3">
      <c r="A152" s="4" t="s">
        <v>149</v>
      </c>
      <c r="B152" s="6">
        <v>675000</v>
      </c>
      <c r="C152" s="6">
        <v>0</v>
      </c>
      <c r="D152" s="6">
        <f>B152-C152</f>
        <v>675000</v>
      </c>
      <c r="E152" s="6">
        <v>0</v>
      </c>
      <c r="F152" s="6">
        <v>0</v>
      </c>
      <c r="G152" s="6">
        <f>E152-F152</f>
        <v>0</v>
      </c>
    </row>
    <row r="153" spans="1:7" x14ac:dyDescent="0.3">
      <c r="A153" s="4" t="s">
        <v>150</v>
      </c>
      <c r="B153" s="6">
        <v>28358356.690000001</v>
      </c>
      <c r="C153" s="6">
        <v>0</v>
      </c>
      <c r="D153" s="6">
        <f>B153-C153</f>
        <v>28358356.690000001</v>
      </c>
      <c r="E153" s="6">
        <v>2478750</v>
      </c>
      <c r="F153" s="6">
        <v>0</v>
      </c>
      <c r="G153" s="6">
        <f>E153-F153</f>
        <v>2478750</v>
      </c>
    </row>
    <row r="154" spans="1:7" x14ac:dyDescent="0.3">
      <c r="A154" s="4" t="s">
        <v>151</v>
      </c>
      <c r="B154" s="6">
        <v>15731027.18</v>
      </c>
      <c r="C154" s="6">
        <v>0</v>
      </c>
      <c r="D154" s="6">
        <f>B154-C154</f>
        <v>15731027.18</v>
      </c>
      <c r="E154" s="6">
        <v>984000</v>
      </c>
      <c r="F154" s="6">
        <v>0</v>
      </c>
      <c r="G154" s="6">
        <f>E154-F154</f>
        <v>984000</v>
      </c>
    </row>
    <row r="155" spans="1:7" x14ac:dyDescent="0.3">
      <c r="A155" s="4" t="s">
        <v>152</v>
      </c>
      <c r="B155" s="6">
        <v>7673660</v>
      </c>
      <c r="C155" s="6">
        <v>0</v>
      </c>
      <c r="D155" s="6">
        <f>B155-C155</f>
        <v>7673660</v>
      </c>
      <c r="E155" s="6">
        <v>362500</v>
      </c>
      <c r="F155" s="6">
        <v>0</v>
      </c>
      <c r="G155" s="6">
        <f>E155-F155</f>
        <v>362500</v>
      </c>
    </row>
    <row r="156" spans="1:7" x14ac:dyDescent="0.3">
      <c r="A156" s="4" t="s">
        <v>153</v>
      </c>
      <c r="B156" s="6">
        <v>1760100</v>
      </c>
      <c r="C156" s="6">
        <v>0</v>
      </c>
      <c r="D156" s="6">
        <f>B156-C156</f>
        <v>1760100</v>
      </c>
      <c r="E156" s="6">
        <v>90100</v>
      </c>
      <c r="F156" s="6">
        <v>0</v>
      </c>
      <c r="G156" s="6">
        <f>E156-F156</f>
        <v>90100</v>
      </c>
    </row>
    <row r="157" spans="1:7" x14ac:dyDescent="0.3">
      <c r="A157" s="4" t="s">
        <v>154</v>
      </c>
      <c r="B157" s="6">
        <v>110498497.56999999</v>
      </c>
      <c r="C157" s="6">
        <v>0</v>
      </c>
      <c r="D157" s="6">
        <f>B157-C157</f>
        <v>110498497.56999999</v>
      </c>
      <c r="E157" s="6">
        <v>6191046</v>
      </c>
      <c r="F157" s="6">
        <v>0</v>
      </c>
      <c r="G157" s="6">
        <f>E157-F157</f>
        <v>6191046</v>
      </c>
    </row>
    <row r="158" spans="1:7" x14ac:dyDescent="0.3">
      <c r="A158" s="4" t="s">
        <v>155</v>
      </c>
      <c r="B158" s="6">
        <v>4290840</v>
      </c>
      <c r="C158" s="6">
        <v>0</v>
      </c>
      <c r="D158" s="6">
        <f>B158-C158</f>
        <v>4290840</v>
      </c>
      <c r="E158" s="6">
        <v>0</v>
      </c>
      <c r="F158" s="6">
        <v>0</v>
      </c>
      <c r="G158" s="6">
        <f>E158-F158</f>
        <v>0</v>
      </c>
    </row>
    <row r="159" spans="1:7" x14ac:dyDescent="0.3">
      <c r="A159" s="4" t="s">
        <v>156</v>
      </c>
      <c r="B159" s="6">
        <v>15070165</v>
      </c>
      <c r="C159" s="6">
        <v>0</v>
      </c>
      <c r="D159" s="6">
        <f>B159-C159</f>
        <v>15070165</v>
      </c>
      <c r="E159" s="6">
        <v>1700000</v>
      </c>
      <c r="F159" s="6">
        <v>0</v>
      </c>
      <c r="G159" s="6">
        <f>E159-F159</f>
        <v>1700000</v>
      </c>
    </row>
    <row r="160" spans="1:7" x14ac:dyDescent="0.3">
      <c r="A160" s="4" t="s">
        <v>157</v>
      </c>
      <c r="B160" s="6">
        <v>1412204.74</v>
      </c>
      <c r="C160" s="6">
        <v>0</v>
      </c>
      <c r="D160" s="6">
        <f>B160-C160</f>
        <v>1412204.74</v>
      </c>
      <c r="E160" s="6">
        <v>0</v>
      </c>
      <c r="F160" s="6">
        <v>0</v>
      </c>
      <c r="G160" s="6">
        <f>E160-F160</f>
        <v>0</v>
      </c>
    </row>
    <row r="161" spans="1:7" x14ac:dyDescent="0.3">
      <c r="A161" s="4" t="s">
        <v>158</v>
      </c>
      <c r="B161" s="6">
        <v>534730.43000000005</v>
      </c>
      <c r="C161" s="6">
        <v>0</v>
      </c>
      <c r="D161" s="6">
        <f>B161-C161</f>
        <v>534730.43000000005</v>
      </c>
      <c r="E161" s="6">
        <v>0</v>
      </c>
      <c r="F161" s="6">
        <v>0</v>
      </c>
      <c r="G161" s="6">
        <f>E161-F161</f>
        <v>0</v>
      </c>
    </row>
    <row r="162" spans="1:7" x14ac:dyDescent="0.3">
      <c r="A162" s="4" t="s">
        <v>159</v>
      </c>
      <c r="B162" s="6">
        <v>0</v>
      </c>
      <c r="C162" s="6">
        <v>0</v>
      </c>
      <c r="D162" s="6">
        <f>B162-C162</f>
        <v>0</v>
      </c>
      <c r="E162" s="6">
        <v>0</v>
      </c>
      <c r="F162" s="6">
        <v>0</v>
      </c>
      <c r="G162" s="6">
        <f>E162-F162</f>
        <v>0</v>
      </c>
    </row>
    <row r="163" spans="1:7" x14ac:dyDescent="0.3">
      <c r="A163" s="4" t="s">
        <v>160</v>
      </c>
      <c r="B163" s="6">
        <v>500000</v>
      </c>
      <c r="C163" s="6">
        <v>0</v>
      </c>
      <c r="D163" s="6">
        <f>B163-C163</f>
        <v>500000</v>
      </c>
      <c r="E163" s="6">
        <v>0</v>
      </c>
      <c r="F163" s="6">
        <v>0</v>
      </c>
      <c r="G163" s="6">
        <f>E163-F163</f>
        <v>0</v>
      </c>
    </row>
    <row r="164" spans="1:7" x14ac:dyDescent="0.3">
      <c r="A164" s="4" t="s">
        <v>161</v>
      </c>
      <c r="B164" s="6">
        <v>1123400</v>
      </c>
      <c r="C164" s="6">
        <v>0</v>
      </c>
      <c r="D164" s="6">
        <f>B164-C164</f>
        <v>1123400</v>
      </c>
      <c r="E164" s="6">
        <v>64500</v>
      </c>
      <c r="F164" s="6">
        <v>0</v>
      </c>
      <c r="G164" s="6">
        <f>E164-F164</f>
        <v>64500</v>
      </c>
    </row>
    <row r="165" spans="1:7" x14ac:dyDescent="0.3">
      <c r="A165" s="4" t="s">
        <v>162</v>
      </c>
      <c r="B165" s="6">
        <v>804300</v>
      </c>
      <c r="C165" s="6">
        <v>0</v>
      </c>
      <c r="D165" s="6">
        <f>B165-C165</f>
        <v>804300</v>
      </c>
      <c r="E165" s="6">
        <v>0</v>
      </c>
      <c r="F165" s="6">
        <v>0</v>
      </c>
      <c r="G165" s="6">
        <f>E165-F165</f>
        <v>0</v>
      </c>
    </row>
    <row r="166" spans="1:7" x14ac:dyDescent="0.3">
      <c r="A166" s="4" t="s">
        <v>163</v>
      </c>
      <c r="B166" s="6">
        <v>47322859.770000003</v>
      </c>
      <c r="C166" s="6">
        <v>0</v>
      </c>
      <c r="D166" s="6">
        <f>B166-C166</f>
        <v>47322859.770000003</v>
      </c>
      <c r="E166" s="6">
        <v>1392325.08</v>
      </c>
      <c r="F166" s="6">
        <v>0</v>
      </c>
      <c r="G166" s="6">
        <f>E166-F166</f>
        <v>1392325.08</v>
      </c>
    </row>
    <row r="167" spans="1:7" x14ac:dyDescent="0.3">
      <c r="A167" s="4" t="s">
        <v>164</v>
      </c>
      <c r="B167" s="6">
        <v>0</v>
      </c>
      <c r="C167" s="6">
        <v>0</v>
      </c>
      <c r="D167" s="6">
        <f>B167-C167</f>
        <v>0</v>
      </c>
      <c r="E167" s="6">
        <v>0</v>
      </c>
      <c r="F167" s="6">
        <v>0</v>
      </c>
      <c r="G167" s="6">
        <f>E167-F167</f>
        <v>0</v>
      </c>
    </row>
    <row r="168" spans="1:7" x14ac:dyDescent="0.3">
      <c r="A168" s="4" t="s">
        <v>165</v>
      </c>
      <c r="B168" s="6">
        <v>566550</v>
      </c>
      <c r="C168" s="6">
        <v>0</v>
      </c>
      <c r="D168" s="6">
        <f>B168-C168</f>
        <v>566550</v>
      </c>
      <c r="E168" s="6">
        <v>30000</v>
      </c>
      <c r="F168" s="6">
        <v>0</v>
      </c>
      <c r="G168" s="6">
        <f>E168-F168</f>
        <v>30000</v>
      </c>
    </row>
    <row r="169" spans="1:7" x14ac:dyDescent="0.3">
      <c r="A169" s="4" t="s">
        <v>166</v>
      </c>
      <c r="B169" s="6">
        <v>1558630</v>
      </c>
      <c r="C169" s="6">
        <v>0</v>
      </c>
      <c r="D169" s="6">
        <f>B169-C169</f>
        <v>1558630</v>
      </c>
      <c r="E169" s="6">
        <v>136100</v>
      </c>
      <c r="F169" s="6">
        <v>0</v>
      </c>
      <c r="G169" s="6">
        <f>E169-F169</f>
        <v>136100</v>
      </c>
    </row>
    <row r="170" spans="1:7" x14ac:dyDescent="0.3">
      <c r="A170" s="4" t="s">
        <v>167</v>
      </c>
      <c r="B170" s="6">
        <v>0</v>
      </c>
      <c r="C170" s="6">
        <v>0</v>
      </c>
      <c r="D170" s="6">
        <f>B170-C170</f>
        <v>0</v>
      </c>
      <c r="E170" s="6">
        <v>0</v>
      </c>
      <c r="F170" s="6">
        <v>0</v>
      </c>
      <c r="G170" s="6">
        <f>E170-F170</f>
        <v>0</v>
      </c>
    </row>
    <row r="171" spans="1:7" x14ac:dyDescent="0.3">
      <c r="A171" s="4" t="s">
        <v>168</v>
      </c>
      <c r="B171" s="6">
        <v>31800</v>
      </c>
      <c r="C171" s="6">
        <v>0</v>
      </c>
      <c r="D171" s="6">
        <f>B171-C171</f>
        <v>31800</v>
      </c>
      <c r="E171" s="6">
        <v>0</v>
      </c>
      <c r="F171" s="6">
        <v>0</v>
      </c>
      <c r="G171" s="6">
        <f>E171-F171</f>
        <v>0</v>
      </c>
    </row>
    <row r="172" spans="1:7" x14ac:dyDescent="0.3">
      <c r="A172" s="4" t="s">
        <v>169</v>
      </c>
      <c r="B172" s="6">
        <v>289350</v>
      </c>
      <c r="C172" s="6">
        <v>0</v>
      </c>
      <c r="D172" s="6">
        <f>B172-C172</f>
        <v>289350</v>
      </c>
      <c r="E172" s="6">
        <v>0</v>
      </c>
      <c r="F172" s="6">
        <v>0</v>
      </c>
      <c r="G172" s="6">
        <f>E172-F172</f>
        <v>0</v>
      </c>
    </row>
    <row r="173" spans="1:7" x14ac:dyDescent="0.3">
      <c r="A173" s="4" t="s">
        <v>170</v>
      </c>
      <c r="B173" s="6">
        <v>9273080</v>
      </c>
      <c r="C173" s="6">
        <v>0</v>
      </c>
      <c r="D173" s="6">
        <f>B173-C173</f>
        <v>9273080</v>
      </c>
      <c r="E173" s="6">
        <v>1622700</v>
      </c>
      <c r="F173" s="6">
        <v>0</v>
      </c>
      <c r="G173" s="6">
        <f>E173-F173</f>
        <v>1622700</v>
      </c>
    </row>
    <row r="174" spans="1:7" x14ac:dyDescent="0.3">
      <c r="A174" s="4" t="s">
        <v>171</v>
      </c>
      <c r="B174" s="6">
        <v>318700</v>
      </c>
      <c r="C174" s="6">
        <v>0</v>
      </c>
      <c r="D174" s="6">
        <f>B174-C174</f>
        <v>318700</v>
      </c>
      <c r="E174" s="6">
        <v>0</v>
      </c>
      <c r="F174" s="6">
        <v>0</v>
      </c>
      <c r="G174" s="6">
        <f>E174-F174</f>
        <v>0</v>
      </c>
    </row>
    <row r="175" spans="1:7" x14ac:dyDescent="0.3">
      <c r="A175" s="4" t="s">
        <v>172</v>
      </c>
      <c r="B175" s="6">
        <v>0</v>
      </c>
      <c r="C175" s="6">
        <v>0</v>
      </c>
      <c r="D175" s="6">
        <f>B175-C175</f>
        <v>0</v>
      </c>
      <c r="E175" s="6">
        <v>0</v>
      </c>
      <c r="F175" s="6">
        <v>0</v>
      </c>
      <c r="G175" s="6">
        <f>E175-F175</f>
        <v>0</v>
      </c>
    </row>
    <row r="176" spans="1:7" x14ac:dyDescent="0.3">
      <c r="A176" s="4" t="s">
        <v>173</v>
      </c>
      <c r="B176" s="6">
        <v>98000</v>
      </c>
      <c r="C176" s="6">
        <v>0</v>
      </c>
      <c r="D176" s="6">
        <f>B176-C176</f>
        <v>98000</v>
      </c>
      <c r="E176" s="6">
        <v>0</v>
      </c>
      <c r="F176" s="6">
        <v>0</v>
      </c>
      <c r="G176" s="6">
        <f>E176-F176</f>
        <v>0</v>
      </c>
    </row>
    <row r="177" spans="1:7" x14ac:dyDescent="0.3">
      <c r="A177" s="4" t="s">
        <v>174</v>
      </c>
      <c r="B177" s="6">
        <v>0</v>
      </c>
      <c r="C177" s="6">
        <v>0</v>
      </c>
      <c r="D177" s="6">
        <f>B177-C177</f>
        <v>0</v>
      </c>
      <c r="E177" s="6">
        <v>0</v>
      </c>
      <c r="F177" s="6">
        <v>0</v>
      </c>
      <c r="G177" s="6">
        <f>E177-F177</f>
        <v>0</v>
      </c>
    </row>
    <row r="178" spans="1:7" x14ac:dyDescent="0.3">
      <c r="A178" s="4" t="s">
        <v>175</v>
      </c>
      <c r="B178" s="6">
        <v>7369150</v>
      </c>
      <c r="C178" s="6">
        <v>0</v>
      </c>
      <c r="D178" s="6">
        <f>B178-C178</f>
        <v>7369150</v>
      </c>
      <c r="E178" s="6">
        <v>763000</v>
      </c>
      <c r="F178" s="6">
        <v>0</v>
      </c>
      <c r="G178" s="6">
        <f>E178-F178</f>
        <v>763000</v>
      </c>
    </row>
    <row r="179" spans="1:7" x14ac:dyDescent="0.3">
      <c r="A179" s="4" t="s">
        <v>176</v>
      </c>
      <c r="B179" s="6">
        <v>542800</v>
      </c>
      <c r="C179" s="6">
        <v>0</v>
      </c>
      <c r="D179" s="6">
        <f>B179-C179</f>
        <v>542800</v>
      </c>
      <c r="E179" s="6">
        <v>0</v>
      </c>
      <c r="F179" s="6">
        <v>0</v>
      </c>
      <c r="G179" s="6">
        <f>E179-F179</f>
        <v>0</v>
      </c>
    </row>
    <row r="180" spans="1:7" x14ac:dyDescent="0.3">
      <c r="A180" s="4" t="s">
        <v>177</v>
      </c>
      <c r="B180" s="6">
        <v>17250959.940000001</v>
      </c>
      <c r="C180" s="6">
        <v>0</v>
      </c>
      <c r="D180" s="6">
        <f>B180-C180</f>
        <v>17250959.940000001</v>
      </c>
      <c r="E180" s="6">
        <v>763438</v>
      </c>
      <c r="F180" s="6">
        <v>0</v>
      </c>
      <c r="G180" s="6">
        <f>E180-F180</f>
        <v>763438</v>
      </c>
    </row>
    <row r="181" spans="1:7" x14ac:dyDescent="0.3">
      <c r="A181" s="4" t="s">
        <v>178</v>
      </c>
      <c r="B181" s="6">
        <v>1724050</v>
      </c>
      <c r="C181" s="6">
        <v>0</v>
      </c>
      <c r="D181" s="6">
        <f>B181-C181</f>
        <v>1724050</v>
      </c>
      <c r="E181" s="6">
        <v>193600</v>
      </c>
      <c r="F181" s="6">
        <v>0</v>
      </c>
      <c r="G181" s="6">
        <f>E181-F181</f>
        <v>193600</v>
      </c>
    </row>
    <row r="182" spans="1:7" x14ac:dyDescent="0.3">
      <c r="A182" s="4" t="s">
        <v>179</v>
      </c>
      <c r="B182" s="6">
        <v>0</v>
      </c>
      <c r="C182" s="6">
        <v>0</v>
      </c>
      <c r="D182" s="6">
        <f>B182-C182</f>
        <v>0</v>
      </c>
      <c r="E182" s="6">
        <v>0</v>
      </c>
      <c r="F182" s="6">
        <v>0</v>
      </c>
      <c r="G182" s="6">
        <f>E182-F182</f>
        <v>0</v>
      </c>
    </row>
    <row r="183" spans="1:7" x14ac:dyDescent="0.3">
      <c r="A183" s="4" t="s">
        <v>180</v>
      </c>
      <c r="B183" s="6">
        <v>183500</v>
      </c>
      <c r="C183" s="6">
        <v>0</v>
      </c>
      <c r="D183" s="6">
        <f>B183-C183</f>
        <v>183500</v>
      </c>
      <c r="E183" s="6">
        <v>0</v>
      </c>
      <c r="F183" s="6">
        <v>0</v>
      </c>
      <c r="G183" s="6">
        <f>E183-F183</f>
        <v>0</v>
      </c>
    </row>
    <row r="184" spans="1:7" x14ac:dyDescent="0.3">
      <c r="A184" s="4" t="s">
        <v>181</v>
      </c>
      <c r="B184" s="6">
        <v>0</v>
      </c>
      <c r="C184" s="6">
        <v>0</v>
      </c>
      <c r="D184" s="6">
        <f>B184-C184</f>
        <v>0</v>
      </c>
      <c r="E184" s="6">
        <v>0</v>
      </c>
      <c r="F184" s="6">
        <v>0</v>
      </c>
      <c r="G184" s="6">
        <f>E184-F184</f>
        <v>0</v>
      </c>
    </row>
    <row r="185" spans="1:7" x14ac:dyDescent="0.3">
      <c r="A185" s="4" t="s">
        <v>182</v>
      </c>
      <c r="B185" s="6">
        <v>52000</v>
      </c>
      <c r="C185" s="6">
        <v>0</v>
      </c>
      <c r="D185" s="6">
        <f>B185-C185</f>
        <v>52000</v>
      </c>
      <c r="E185" s="6">
        <v>0</v>
      </c>
      <c r="F185" s="6">
        <v>0</v>
      </c>
      <c r="G185" s="6">
        <f>E185-F185</f>
        <v>0</v>
      </c>
    </row>
    <row r="186" spans="1:7" x14ac:dyDescent="0.3">
      <c r="A186" s="4" t="s">
        <v>183</v>
      </c>
      <c r="B186" s="6">
        <v>1144440.5900000001</v>
      </c>
      <c r="C186" s="6">
        <v>0</v>
      </c>
      <c r="D186" s="6">
        <f>B186-C186</f>
        <v>1144440.5900000001</v>
      </c>
      <c r="E186" s="6">
        <v>0</v>
      </c>
      <c r="F186" s="6">
        <v>0</v>
      </c>
      <c r="G186" s="6">
        <f>E186-F186</f>
        <v>0</v>
      </c>
    </row>
    <row r="187" spans="1:7" x14ac:dyDescent="0.3">
      <c r="A187" s="4" t="s">
        <v>184</v>
      </c>
      <c r="B187" s="6">
        <v>22644081.75</v>
      </c>
      <c r="C187" s="6">
        <v>0</v>
      </c>
      <c r="D187" s="6">
        <f>B187-C187</f>
        <v>22644081.75</v>
      </c>
      <c r="E187" s="6">
        <v>0</v>
      </c>
      <c r="F187" s="6">
        <v>0</v>
      </c>
      <c r="G187" s="6">
        <f>E187-F187</f>
        <v>0</v>
      </c>
    </row>
    <row r="188" spans="1:7" x14ac:dyDescent="0.3">
      <c r="A188" s="4" t="s">
        <v>185</v>
      </c>
      <c r="B188" s="6">
        <v>44857692.020000003</v>
      </c>
      <c r="C188" s="6">
        <v>0</v>
      </c>
      <c r="D188" s="6">
        <f>B188-C188</f>
        <v>44857692.020000003</v>
      </c>
      <c r="E188" s="6">
        <v>0</v>
      </c>
      <c r="F188" s="6">
        <v>0</v>
      </c>
      <c r="G188" s="6">
        <f>E188-F188</f>
        <v>0</v>
      </c>
    </row>
    <row r="189" spans="1:7" x14ac:dyDescent="0.3">
      <c r="A189" s="4" t="s">
        <v>186</v>
      </c>
      <c r="B189" s="6">
        <v>1659990</v>
      </c>
      <c r="C189" s="6">
        <v>0</v>
      </c>
      <c r="D189" s="6">
        <f>B189-C189</f>
        <v>1659990</v>
      </c>
      <c r="E189" s="6">
        <v>0</v>
      </c>
      <c r="F189" s="6">
        <v>0</v>
      </c>
      <c r="G189" s="6">
        <f>E189-F189</f>
        <v>0</v>
      </c>
    </row>
    <row r="190" spans="1:7" x14ac:dyDescent="0.3">
      <c r="A190" s="4" t="s">
        <v>187</v>
      </c>
      <c r="B190" s="6">
        <v>6713626954.8900003</v>
      </c>
      <c r="C190" s="6">
        <v>0</v>
      </c>
      <c r="D190" s="6">
        <f>B190-C190</f>
        <v>6713626954.8900003</v>
      </c>
      <c r="E190" s="6">
        <v>724072776.69000006</v>
      </c>
      <c r="F190" s="6">
        <v>0</v>
      </c>
      <c r="G190" s="6">
        <f>E190-F190</f>
        <v>724072776.69000006</v>
      </c>
    </row>
    <row r="191" spans="1:7" customFormat="1" ht="14.5" x14ac:dyDescent="0.35">
      <c r="A191" s="7"/>
      <c r="B191" s="8"/>
      <c r="C191" s="8"/>
      <c r="D191" s="8"/>
      <c r="E191" s="8"/>
      <c r="F191" s="8"/>
      <c r="G191" s="8"/>
    </row>
    <row r="192" spans="1:7" x14ac:dyDescent="0.3">
      <c r="A192" s="4" t="s">
        <v>188</v>
      </c>
      <c r="B192" s="6">
        <f>ROUND(SUBTOTAL(9, B100:B191), 5)</f>
        <v>7294112456.8999996</v>
      </c>
      <c r="C192" s="6">
        <f>ROUND(SUBTOTAL(9, C100:C191), 5)</f>
        <v>0</v>
      </c>
      <c r="D192" s="6">
        <f>B192-C192</f>
        <v>7294112456.8999996</v>
      </c>
      <c r="E192" s="6">
        <f>ROUND(SUBTOTAL(9, E100:E191), 5)</f>
        <v>747092622.54999995</v>
      </c>
      <c r="F192" s="6">
        <f>ROUND(SUBTOTAL(9, F100:F191), 5)</f>
        <v>0</v>
      </c>
      <c r="G192" s="6">
        <f>E192-F192</f>
        <v>747092622.54999995</v>
      </c>
    </row>
    <row r="193" spans="1:7" customFormat="1" ht="14.5" x14ac:dyDescent="0.35">
      <c r="A193" s="7"/>
      <c r="B193" s="8"/>
      <c r="C193" s="8"/>
      <c r="D193" s="8"/>
      <c r="E193" s="8"/>
      <c r="F193" s="8"/>
      <c r="G193" s="8"/>
    </row>
    <row r="194" spans="1:7" ht="13.5" thickBot="1" x14ac:dyDescent="0.35">
      <c r="A194" s="4" t="s">
        <v>189</v>
      </c>
      <c r="B194" s="5">
        <f>-(ROUND(-B98+B192, 5))</f>
        <v>827394259.67999995</v>
      </c>
      <c r="C194" s="5">
        <f>-(ROUND(-C98+C192, 5))</f>
        <v>0</v>
      </c>
      <c r="D194" s="6">
        <f>B194-C194</f>
        <v>827394259.67999995</v>
      </c>
      <c r="E194" s="5">
        <f>-(ROUND(-E98+E192, 5))</f>
        <v>94038821.730000004</v>
      </c>
      <c r="F194" s="5">
        <f>-(ROUND(-F98+F192, 5))</f>
        <v>0</v>
      </c>
      <c r="G194" s="6">
        <f>E194-F194</f>
        <v>94038821.730000004</v>
      </c>
    </row>
    <row r="195" spans="1:7" customFormat="1" ht="15.5" thickTop="1" thickBot="1" x14ac:dyDescent="0.4">
      <c r="A195" s="10"/>
      <c r="B195" s="11"/>
      <c r="C195" s="11"/>
      <c r="D195" s="11"/>
      <c r="E195" s="11"/>
      <c r="F195" s="11"/>
      <c r="G195" s="11"/>
    </row>
  </sheetData>
  <pageMargins left="0.7" right="0.7" top="1.375" bottom="0.65277777777777779" header="0.3" footer="0.3"/>
  <pageSetup orientation="landscape" r:id="rId1"/>
  <headerFooter>
    <oddHeader xml:space="preserve">&amp;C&amp;"Times New Roman"&amp;8
&amp;10PLACEWARE NIGERIA LIMITED
Budgeted Statement of Revenues and Expenditures
For the Six Months Ending June 30, 2026
&amp;L&amp;"Times New Roman"&amp;8
&amp;10
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Stmt Rev-Exp Budget</vt:lpstr>
      <vt:lpstr>'Stmt Rev-Exp Budget'!Print_Titles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2026-07-05T18:12:50Z</dcterms:created>
  <dcterms:modified xsi:type="dcterms:W3CDTF">2026-07-05T18:13:32Z</dcterms:modified>
</cp:coreProperties>
</file>