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Moe\Chat Assisant  placeware x1\data-assimilation\sage-exports\"/>
    </mc:Choice>
  </mc:AlternateContent>
  <xr:revisionPtr revIDLastSave="0" documentId="8_{FEB538B1-4A2E-4048-B9A7-11082AF47598}" xr6:coauthVersionLast="47" xr6:coauthVersionMax="47" xr10:uidLastSave="{00000000-0000-0000-0000-000000000000}"/>
  <bookViews>
    <workbookView xWindow="-110" yWindow="-110" windowWidth="19420" windowHeight="10300" xr2:uid="{88EE21E1-4F28-4120-8246-6C73C82E0ACD}"/>
  </bookViews>
  <sheets>
    <sheet name="Income - 12 Period" sheetId="1" r:id="rId1"/>
  </sheets>
  <definedNames>
    <definedName name="_xlnm.Print_Titles" localSheetId="0">'Income - 12 Period'!$1:$1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91" i="1" l="1"/>
  <c r="L291" i="1"/>
  <c r="K291" i="1"/>
  <c r="J291" i="1"/>
  <c r="I291" i="1"/>
  <c r="H291" i="1"/>
  <c r="G291" i="1"/>
  <c r="F291" i="1"/>
  <c r="E291" i="1"/>
  <c r="D291" i="1"/>
  <c r="C291" i="1"/>
  <c r="B291" i="1"/>
  <c r="M289" i="1"/>
  <c r="L289" i="1"/>
  <c r="K289" i="1"/>
  <c r="J289" i="1"/>
  <c r="I289" i="1"/>
  <c r="H289" i="1"/>
  <c r="G289" i="1"/>
  <c r="F289" i="1"/>
  <c r="E289" i="1"/>
  <c r="D289" i="1"/>
  <c r="C289" i="1"/>
  <c r="B289" i="1"/>
  <c r="M197" i="1"/>
  <c r="L197" i="1"/>
  <c r="K197" i="1"/>
  <c r="J197" i="1"/>
  <c r="I197" i="1"/>
  <c r="H197" i="1"/>
  <c r="G197" i="1"/>
  <c r="F197" i="1"/>
  <c r="E197" i="1"/>
  <c r="D197" i="1"/>
  <c r="C197" i="1"/>
  <c r="B197" i="1"/>
  <c r="M195" i="1"/>
  <c r="L195" i="1"/>
  <c r="K195" i="1"/>
  <c r="J195" i="1"/>
  <c r="I195" i="1"/>
  <c r="H195" i="1"/>
  <c r="G195" i="1"/>
  <c r="F195" i="1"/>
  <c r="E195" i="1"/>
  <c r="D195" i="1"/>
  <c r="C195" i="1"/>
  <c r="B195" i="1"/>
  <c r="M98" i="1"/>
  <c r="L98" i="1"/>
  <c r="K98" i="1"/>
  <c r="J98" i="1"/>
  <c r="I98" i="1"/>
  <c r="H98" i="1"/>
  <c r="G98" i="1"/>
  <c r="F98" i="1"/>
  <c r="E98" i="1"/>
  <c r="D98" i="1"/>
  <c r="C98" i="1"/>
  <c r="B98" i="1"/>
</calcChain>
</file>

<file path=xl/sharedStrings.xml><?xml version="1.0" encoding="utf-8"?>
<sst xmlns="http://schemas.openxmlformats.org/spreadsheetml/2006/main" count="295" uniqueCount="218">
  <si>
    <t>Period 1</t>
  </si>
  <si>
    <t>Period 2</t>
  </si>
  <si>
    <t>Period 3</t>
  </si>
  <si>
    <t>Period 4</t>
  </si>
  <si>
    <t>Period 5</t>
  </si>
  <si>
    <t>Period 6</t>
  </si>
  <si>
    <t>Period 7</t>
  </si>
  <si>
    <t>Period 8</t>
  </si>
  <si>
    <t>Period 9</t>
  </si>
  <si>
    <t>Period 10</t>
  </si>
  <si>
    <t>Period 11</t>
  </si>
  <si>
    <t>Period 12</t>
  </si>
  <si>
    <t>Revenues</t>
  </si>
  <si>
    <t>Thymoglobulin 25mg/5ml</t>
  </si>
  <si>
    <t>Hepatitis B Vaccine</t>
  </si>
  <si>
    <t>Hepatitis A Vaccine</t>
  </si>
  <si>
    <t>Cervarix Vaccines</t>
  </si>
  <si>
    <t>Gardasil 4</t>
  </si>
  <si>
    <t>Haemohpilus Influenzae Type B</t>
  </si>
  <si>
    <t>Priorix Tetra 1D</t>
  </si>
  <si>
    <t>Typhoid Fever Vaccine</t>
  </si>
  <si>
    <t>Measles,Mumps&amp;Rubella Vaccine</t>
  </si>
  <si>
    <t>Chicken Pox Vaccine</t>
  </si>
  <si>
    <t>Dipthtera,Teta,Pertusis(w),hep</t>
  </si>
  <si>
    <t>Dipth,Tetan,pertu(w),HepB&amp;Hib</t>
  </si>
  <si>
    <t>Meningitis Vaccine</t>
  </si>
  <si>
    <t>Chronic Hep BTreat(lamivudine</t>
  </si>
  <si>
    <t>Antibiotics</t>
  </si>
  <si>
    <t>Rotavirus</t>
  </si>
  <si>
    <t>Synflorix</t>
  </si>
  <si>
    <t>Prevenar 13</t>
  </si>
  <si>
    <t>Pentaxim</t>
  </si>
  <si>
    <t>Verorab</t>
  </si>
  <si>
    <t>Pneumo - 23</t>
  </si>
  <si>
    <t>Insulatard 40  I.U</t>
  </si>
  <si>
    <t>Insulatard 100  I.U</t>
  </si>
  <si>
    <t>Actrapid 100 i.u</t>
  </si>
  <si>
    <t>Mixtard 30 HM 40 i.u</t>
  </si>
  <si>
    <t>Mixtard 30 Penfill 100 i.u</t>
  </si>
  <si>
    <t>Actrapid HM 40 i.u</t>
  </si>
  <si>
    <t>Mixtard 30 HM 100 i.u</t>
  </si>
  <si>
    <t>Stamaril 1 vial</t>
  </si>
  <si>
    <t>Dultavax 0.5ml</t>
  </si>
  <si>
    <t>Novomix 30 Flexpen</t>
  </si>
  <si>
    <t>Insulatard Penfil 100  I.U</t>
  </si>
  <si>
    <t>Actrapid Penfill 100 I.U</t>
  </si>
  <si>
    <t>Polprotec Vaccines</t>
  </si>
  <si>
    <t>NovoTwist Needles</t>
  </si>
  <si>
    <t>Special Order</t>
  </si>
  <si>
    <t>Pentavalent</t>
  </si>
  <si>
    <t>Chicken Pox Vaccine(Zolon)</t>
  </si>
  <si>
    <t>Tetanus Toxoid</t>
  </si>
  <si>
    <t>Tetraxim</t>
  </si>
  <si>
    <t>Anti Rabis</t>
  </si>
  <si>
    <t>Rhogam (Anti - D)</t>
  </si>
  <si>
    <t>Victoza</t>
  </si>
  <si>
    <t>Sanofi Insulin</t>
  </si>
  <si>
    <t>Cholera Vaccines</t>
  </si>
  <si>
    <t>Clexane</t>
  </si>
  <si>
    <t>Anti-biotics</t>
  </si>
  <si>
    <t>Yellow Fever</t>
  </si>
  <si>
    <t>Anti- Hypertensive</t>
  </si>
  <si>
    <t>Amaryl Tabs</t>
  </si>
  <si>
    <t>Apidra</t>
  </si>
  <si>
    <t>Flu Vaccines</t>
  </si>
  <si>
    <t>Tresiba</t>
  </si>
  <si>
    <t>Adacel Polio Tdap/Ipv</t>
  </si>
  <si>
    <t>RHOCLONE</t>
  </si>
  <si>
    <t>Hexaxim</t>
  </si>
  <si>
    <t>Interest Income</t>
  </si>
  <si>
    <t>Other Income</t>
  </si>
  <si>
    <t>Finance Charge Income</t>
  </si>
  <si>
    <t>Shipping Charges Reimbursed</t>
  </si>
  <si>
    <t>Sales Returns and Allowances</t>
  </si>
  <si>
    <t>Sales Discounts</t>
  </si>
  <si>
    <t>ACRETIN 0.05%</t>
  </si>
  <si>
    <t>Discounts Received</t>
  </si>
  <si>
    <t>Lilly(CHI) Insulin</t>
  </si>
  <si>
    <t>Actrapid Flexpen 100IU</t>
  </si>
  <si>
    <t>Taxotere</t>
  </si>
  <si>
    <t>Epilim</t>
  </si>
  <si>
    <t>Tavanic</t>
  </si>
  <si>
    <t>Tetglob inj 250iu</t>
  </si>
  <si>
    <t>Nucard  160mg</t>
  </si>
  <si>
    <t>Nucard 80mg</t>
  </si>
  <si>
    <t>Androgel 1.62% Pump</t>
  </si>
  <si>
    <t>AVSAR 160/10mg Tab</t>
  </si>
  <si>
    <t>RECORMON 400IU</t>
  </si>
  <si>
    <t>XPLENDED 10MG</t>
  </si>
  <si>
    <t>Utrogestan 100Mg Cap Oral</t>
  </si>
  <si>
    <t>VARIRID</t>
  </si>
  <si>
    <t>ACRETIN 0.025%</t>
  </si>
  <si>
    <t>EVOFIX CAP 400MG</t>
  </si>
  <si>
    <t>EVOFIX SUSP 100MG</t>
  </si>
  <si>
    <t>UNI FRESH 30UD</t>
  </si>
  <si>
    <t>NOVOFINE NEEDLE 32G</t>
  </si>
  <si>
    <t>tetanus dipthteria</t>
  </si>
  <si>
    <t>FUSIBACT 15G</t>
  </si>
  <si>
    <t>ELICASAL OINTMENT</t>
  </si>
  <si>
    <t>LOXTRA</t>
  </si>
  <si>
    <t>OPTIFLOX OPTH</t>
  </si>
  <si>
    <t>FUSIBACT OINTMENT</t>
  </si>
  <si>
    <t>FUSIBACT CREAM 15G (A)</t>
  </si>
  <si>
    <t>Euvichol - S</t>
  </si>
  <si>
    <t>Total Revenues</t>
  </si>
  <si>
    <t/>
  </si>
  <si>
    <t>Cost of Sales</t>
  </si>
  <si>
    <t>Measles.Mumps &amp; Rubella Vac</t>
  </si>
  <si>
    <t>Dipthteria,Tetanu,Pertus(w),He</t>
  </si>
  <si>
    <t>Dipth,Tetan,Pertu(w),HepB&amp;Hib</t>
  </si>
  <si>
    <t>Chronic Hep B treat(Lamivudine</t>
  </si>
  <si>
    <t>Stamaril 1 Vial</t>
  </si>
  <si>
    <t>Novomix 30 Flexpen 100u</t>
  </si>
  <si>
    <t>Chicken Pox Vaccine(zolon)</t>
  </si>
  <si>
    <t>Cost of Sales-notions</t>
  </si>
  <si>
    <t>Cost of Sales-accessories</t>
  </si>
  <si>
    <t>Cost of Sales-Salaries and Wag</t>
  </si>
  <si>
    <t>Cost of Sales-Freight</t>
  </si>
  <si>
    <t>Cost of Sales-Other</t>
  </si>
  <si>
    <t>Inventory Adjustments</t>
  </si>
  <si>
    <t>Purchase Returns and Allowance</t>
  </si>
  <si>
    <t>Purchase Discounts</t>
  </si>
  <si>
    <t>Actrapid Flexpen</t>
  </si>
  <si>
    <t>Nucard 160mg</t>
  </si>
  <si>
    <t>Tetanus dipthteria multiple</t>
  </si>
  <si>
    <t>Total Cost of Sales</t>
  </si>
  <si>
    <t>Gross Profit</t>
  </si>
  <si>
    <t>Expenses</t>
  </si>
  <si>
    <t>Default Purchase Expense</t>
  </si>
  <si>
    <t>Advertising Expense</t>
  </si>
  <si>
    <t>Marketing expense-Local</t>
  </si>
  <si>
    <t>Marketing exp-International</t>
  </si>
  <si>
    <t>Amortization Expense</t>
  </si>
  <si>
    <t>Motor Repairs/Maintainance</t>
  </si>
  <si>
    <t>Power Bike Repairs/Maintain</t>
  </si>
  <si>
    <t>Motor oil/ fuel</t>
  </si>
  <si>
    <t>Bad Debt Expense</t>
  </si>
  <si>
    <t>Bank Charges (ZIB)</t>
  </si>
  <si>
    <t>Bank Charges (Diamond)</t>
  </si>
  <si>
    <t>Bank Charges (Fidelity)</t>
  </si>
  <si>
    <t>Business Premises</t>
  </si>
  <si>
    <t>Cash Over and Short</t>
  </si>
  <si>
    <t>Cash Lost</t>
  </si>
  <si>
    <t>Charitable Contributions Exp</t>
  </si>
  <si>
    <t>Commissions and Fees Exp</t>
  </si>
  <si>
    <t>Delivery Expense</t>
  </si>
  <si>
    <t>Depreciation Expense</t>
  </si>
  <si>
    <t>Dues and Subscriptions Exp</t>
  </si>
  <si>
    <t>Legal Fees Exp</t>
  </si>
  <si>
    <t>DSTV exp</t>
  </si>
  <si>
    <t>Discount Allowed</t>
  </si>
  <si>
    <t>Employee Benefit  Exp</t>
  </si>
  <si>
    <t>Employee Welfare &amp; Gift</t>
  </si>
  <si>
    <t>Traning and Development</t>
  </si>
  <si>
    <t>Staff Medical</t>
  </si>
  <si>
    <t>Freight Expense</t>
  </si>
  <si>
    <t>Public relations Expense</t>
  </si>
  <si>
    <t>Income Tax Expense</t>
  </si>
  <si>
    <t>Audit fee</t>
  </si>
  <si>
    <t>Insurance Expense</t>
  </si>
  <si>
    <t>Interest Expense</t>
  </si>
  <si>
    <t>Consultancy  Expense</t>
  </si>
  <si>
    <t>Accounting/auditing expense</t>
  </si>
  <si>
    <t>Registration &amp;Licenses Expense</t>
  </si>
  <si>
    <t>Lawma</t>
  </si>
  <si>
    <t>Land Use Charge</t>
  </si>
  <si>
    <t>Computer repairs/maintainance</t>
  </si>
  <si>
    <t>Internet Expenses</t>
  </si>
  <si>
    <t>General Office Expenses</t>
  </si>
  <si>
    <t>Contract Expenses</t>
  </si>
  <si>
    <t>Meals and Entertainment Exp</t>
  </si>
  <si>
    <t>Office Expense</t>
  </si>
  <si>
    <t>Parking Ticket</t>
  </si>
  <si>
    <t>Gift &amp; Donation</t>
  </si>
  <si>
    <t>Payroll Tax Expense</t>
  </si>
  <si>
    <t>Penalties and Fines Exp</t>
  </si>
  <si>
    <t>Other Taxes</t>
  </si>
  <si>
    <t>Postage Expense</t>
  </si>
  <si>
    <t>Rent or Lease Expense</t>
  </si>
  <si>
    <t>Electricity &amp; Diesel</t>
  </si>
  <si>
    <t>Repairs &amp; Maintenance</t>
  </si>
  <si>
    <t>Printing  Expense</t>
  </si>
  <si>
    <t>Stationery Expense</t>
  </si>
  <si>
    <t>Salaries Expense</t>
  </si>
  <si>
    <t>Staff Pension</t>
  </si>
  <si>
    <t>End of year bonus &amp; Leave Allo</t>
  </si>
  <si>
    <t>Industrial Training Fund</t>
  </si>
  <si>
    <t>Nig Social Insurance Trust Fun</t>
  </si>
  <si>
    <t>Wages Expense</t>
  </si>
  <si>
    <t>Staff Welfare</t>
  </si>
  <si>
    <t>Office telephone  Expense</t>
  </si>
  <si>
    <t>Business telephone  Expense</t>
  </si>
  <si>
    <t>Wth tax</t>
  </si>
  <si>
    <t>Storage Expenses</t>
  </si>
  <si>
    <t>Packaging And Branding</t>
  </si>
  <si>
    <t>Transportation</t>
  </si>
  <si>
    <t>Marketing expense- Mr Lateef</t>
  </si>
  <si>
    <t>Marketing expenses-Ajayi Temil</t>
  </si>
  <si>
    <t>Marketiing Exp- Mr Oladimeji</t>
  </si>
  <si>
    <t>Marketing Exp-Mr Femi Ogunmoku</t>
  </si>
  <si>
    <t>Marketing Expenses- Mrs Jegede</t>
  </si>
  <si>
    <t>Marketing expense- Mr Bankole</t>
  </si>
  <si>
    <t>Marketing expense - Mr Ayodele</t>
  </si>
  <si>
    <t>Marketing expense- Mr Vincent</t>
  </si>
  <si>
    <t>Marketing Expenses - Mr Isaac</t>
  </si>
  <si>
    <t>Marketing Expenses- Mr Sulymon</t>
  </si>
  <si>
    <t>Travelling Expenses</t>
  </si>
  <si>
    <t>Marketing Exp - Mr demilade</t>
  </si>
  <si>
    <t>Bad Debt</t>
  </si>
  <si>
    <t>Marketing expenses -Mr Kabir</t>
  </si>
  <si>
    <t>Purchase Disc-Expense Items</t>
  </si>
  <si>
    <t>Gain/Loss on Sale of Assets</t>
  </si>
  <si>
    <t>Deprec - Furnitur &amp; Fix</t>
  </si>
  <si>
    <t>Deprec - Office Equipment</t>
  </si>
  <si>
    <t>Deprec. Motor Vehicle</t>
  </si>
  <si>
    <t>Deprec. Plant &amp; Machinery</t>
  </si>
  <si>
    <t>Total Expenses</t>
  </si>
  <si>
    <t>Net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</si>
</sst>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* #,##0.00;\(&quot;$&quot;* #,##0.00\)"/>
    <numFmt numFmtId="165" formatCode="#,##0.00;\(#,##0.00\)"/>
  </numFmts>
  <fonts count="2" x14ac:knownFonts="1">
    <font>
      <sz val="11"/>
      <color theme="1"/>
      <name val="Aptos Narrow"/>
      <family val="2"/>
      <scheme val="minor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/>
    </xf>
    <xf numFmtId="49" fontId="0" fillId="0" borderId="0" xfId="0" applyNumberFormat="1" applyAlignment="1">
      <alignment horizontal="left"/>
    </xf>
    <xf numFmtId="165" fontId="0" fillId="0" borderId="1" xfId="0" applyNumberFormat="1" applyBorder="1" applyAlignment="1">
      <alignment horizontal="right"/>
    </xf>
    <xf numFmtId="49" fontId="0" fillId="0" borderId="2" xfId="0" applyNumberFormat="1" applyBorder="1" applyAlignment="1">
      <alignment horizontal="left"/>
    </xf>
    <xf numFmtId="165" fontId="0" fillId="0" borderId="3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6F3D1-D6DD-4B0D-801D-EF55C1C8A7F7}">
  <dimension ref="A1:M292"/>
  <sheetViews>
    <sheetView tabSelected="1" workbookViewId="0">
      <pane ySplit="1" topLeftCell="A2" activePane="bottomLeft" state="frozenSplit"/>
      <selection pane="bottomLeft"/>
    </sheetView>
  </sheetViews>
  <sheetFormatPr defaultRowHeight="13" x14ac:dyDescent="0.3"/>
  <cols>
    <col min="1" max="1" width="33.6328125" style="1" customWidth="1"/>
    <col min="2" max="13" width="14.6328125" style="1" customWidth="1"/>
    <col min="14" max="16384" width="8.7265625" style="1"/>
  </cols>
  <sheetData>
    <row r="1" spans="1:13" x14ac:dyDescent="0.3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</row>
    <row r="2" spans="1:13" x14ac:dyDescent="0.3">
      <c r="A2" s="3" t="s">
        <v>12</v>
      </c>
    </row>
    <row r="3" spans="1:13" x14ac:dyDescent="0.3">
      <c r="A3" s="3" t="s">
        <v>13</v>
      </c>
      <c r="B3" s="4">
        <v>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</row>
    <row r="4" spans="1:13" x14ac:dyDescent="0.3">
      <c r="A4" s="3" t="s">
        <v>14</v>
      </c>
      <c r="B4" s="5">
        <v>2052962</v>
      </c>
      <c r="C4" s="5">
        <v>2205550</v>
      </c>
      <c r="D4" s="5">
        <v>2472357</v>
      </c>
      <c r="E4" s="5">
        <v>424165</v>
      </c>
      <c r="F4" s="5">
        <v>81798</v>
      </c>
      <c r="G4" s="5">
        <v>426145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spans="1:13" x14ac:dyDescent="0.3">
      <c r="A5" s="3" t="s">
        <v>15</v>
      </c>
      <c r="B5" s="5">
        <v>6368698.5499999998</v>
      </c>
      <c r="C5" s="5">
        <v>11579310</v>
      </c>
      <c r="D5" s="5">
        <v>6326265.2699999996</v>
      </c>
      <c r="E5" s="5">
        <v>14090540.619999999</v>
      </c>
      <c r="F5" s="5">
        <v>11920940.15</v>
      </c>
      <c r="G5" s="5">
        <v>9422346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spans="1:13" x14ac:dyDescent="0.3">
      <c r="A6" s="3" t="s">
        <v>16</v>
      </c>
      <c r="B6" s="5">
        <v>4197516</v>
      </c>
      <c r="C6" s="5">
        <v>3677044</v>
      </c>
      <c r="D6" s="5">
        <v>6685970</v>
      </c>
      <c r="E6" s="5">
        <v>4850513</v>
      </c>
      <c r="F6" s="5">
        <v>3832529</v>
      </c>
      <c r="G6" s="5">
        <v>3739466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spans="1:13" x14ac:dyDescent="0.3">
      <c r="A7" s="3" t="s">
        <v>17</v>
      </c>
      <c r="B7" s="5">
        <v>175000</v>
      </c>
      <c r="C7" s="5">
        <v>375000</v>
      </c>
      <c r="D7" s="5">
        <v>200000</v>
      </c>
      <c r="E7" s="5">
        <v>75000</v>
      </c>
      <c r="F7" s="5">
        <v>125000</v>
      </c>
      <c r="G7" s="5">
        <v>375000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spans="1:13" x14ac:dyDescent="0.3">
      <c r="A8" s="3" t="s">
        <v>18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spans="1:13" x14ac:dyDescent="0.3">
      <c r="A9" s="3" t="s">
        <v>19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spans="1:13" x14ac:dyDescent="0.3">
      <c r="A10" s="3" t="s">
        <v>20</v>
      </c>
      <c r="B10" s="5">
        <v>3930358</v>
      </c>
      <c r="C10" s="5">
        <v>2639532</v>
      </c>
      <c r="D10" s="5">
        <v>3981825.01</v>
      </c>
      <c r="E10" s="5">
        <v>4681283.25</v>
      </c>
      <c r="F10" s="5">
        <v>2062034</v>
      </c>
      <c r="G10" s="5">
        <v>6347690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</row>
    <row r="11" spans="1:13" x14ac:dyDescent="0.3">
      <c r="A11" s="3" t="s">
        <v>21</v>
      </c>
      <c r="B11" s="5">
        <v>7263101</v>
      </c>
      <c r="C11" s="5">
        <v>9478287</v>
      </c>
      <c r="D11" s="5">
        <v>19808168</v>
      </c>
      <c r="E11" s="5">
        <v>19058341</v>
      </c>
      <c r="F11" s="5">
        <v>7400528</v>
      </c>
      <c r="G11" s="5">
        <v>30584692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</row>
    <row r="12" spans="1:13" x14ac:dyDescent="0.3">
      <c r="A12" s="3" t="s">
        <v>22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</row>
    <row r="13" spans="1:13" x14ac:dyDescent="0.3">
      <c r="A13" s="3" t="s">
        <v>23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</row>
    <row r="14" spans="1:13" x14ac:dyDescent="0.3">
      <c r="A14" s="3" t="s">
        <v>24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</row>
    <row r="15" spans="1:13" x14ac:dyDescent="0.3">
      <c r="A15" s="3" t="s">
        <v>25</v>
      </c>
      <c r="B15" s="5">
        <v>2770776</v>
      </c>
      <c r="C15" s="5">
        <v>15607840</v>
      </c>
      <c r="D15" s="5">
        <v>11266572</v>
      </c>
      <c r="E15" s="5">
        <v>24374038</v>
      </c>
      <c r="F15" s="5">
        <v>6631066</v>
      </c>
      <c r="G15" s="5">
        <v>20463221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</row>
    <row r="16" spans="1:13" x14ac:dyDescent="0.3">
      <c r="A16" s="3" t="s">
        <v>26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</row>
    <row r="17" spans="1:13" x14ac:dyDescent="0.3">
      <c r="A17" s="3" t="s">
        <v>27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</row>
    <row r="18" spans="1:13" x14ac:dyDescent="0.3">
      <c r="A18" s="3" t="s">
        <v>28</v>
      </c>
      <c r="B18" s="5">
        <v>9399010</v>
      </c>
      <c r="C18" s="5">
        <v>10725332</v>
      </c>
      <c r="D18" s="5">
        <v>4411280</v>
      </c>
      <c r="E18" s="5">
        <v>4843205</v>
      </c>
      <c r="F18" s="5">
        <v>2727010</v>
      </c>
      <c r="G18" s="5">
        <v>1746890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</row>
    <row r="19" spans="1:13" x14ac:dyDescent="0.3">
      <c r="A19" s="3" t="s">
        <v>29</v>
      </c>
      <c r="B19" s="5">
        <v>0</v>
      </c>
      <c r="C19" s="5">
        <v>15000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</row>
    <row r="20" spans="1:13" x14ac:dyDescent="0.3">
      <c r="A20" s="3" t="s">
        <v>30</v>
      </c>
      <c r="B20" s="5">
        <v>3126968</v>
      </c>
      <c r="C20" s="5">
        <v>5403320</v>
      </c>
      <c r="D20" s="5">
        <v>3461781</v>
      </c>
      <c r="E20" s="5">
        <v>7350191</v>
      </c>
      <c r="F20" s="5">
        <v>2551352</v>
      </c>
      <c r="G20" s="5">
        <v>5094791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</row>
    <row r="21" spans="1:13" x14ac:dyDescent="0.3">
      <c r="A21" s="3" t="s">
        <v>31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</row>
    <row r="22" spans="1:13" x14ac:dyDescent="0.3">
      <c r="A22" s="3" t="s">
        <v>32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</row>
    <row r="23" spans="1:13" x14ac:dyDescent="0.3">
      <c r="A23" s="3" t="s">
        <v>33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</row>
    <row r="24" spans="1:13" x14ac:dyDescent="0.3">
      <c r="A24" s="3" t="s">
        <v>34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</row>
    <row r="25" spans="1:13" x14ac:dyDescent="0.3">
      <c r="A25" s="3" t="s">
        <v>35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</row>
    <row r="26" spans="1:13" x14ac:dyDescent="0.3">
      <c r="A26" s="3" t="s">
        <v>36</v>
      </c>
      <c r="B26" s="5">
        <v>1261895</v>
      </c>
      <c r="C26" s="5">
        <v>715453</v>
      </c>
      <c r="D26" s="5">
        <v>1446123</v>
      </c>
      <c r="E26" s="5">
        <v>906762</v>
      </c>
      <c r="F26" s="5">
        <v>1204456</v>
      </c>
      <c r="G26" s="5">
        <v>1464509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</row>
    <row r="27" spans="1:13" x14ac:dyDescent="0.3">
      <c r="A27" s="3" t="s">
        <v>37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</row>
    <row r="28" spans="1:13" x14ac:dyDescent="0.3">
      <c r="A28" s="3" t="s">
        <v>38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</row>
    <row r="29" spans="1:13" x14ac:dyDescent="0.3">
      <c r="A29" s="3" t="s">
        <v>39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</row>
    <row r="30" spans="1:13" x14ac:dyDescent="0.3">
      <c r="A30" s="3" t="s">
        <v>40</v>
      </c>
      <c r="B30" s="5">
        <v>645232</v>
      </c>
      <c r="C30" s="5">
        <v>692794</v>
      </c>
      <c r="D30" s="5">
        <v>362925</v>
      </c>
      <c r="E30" s="5">
        <v>847343</v>
      </c>
      <c r="F30" s="5">
        <v>560433</v>
      </c>
      <c r="G30" s="5">
        <v>560512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</row>
    <row r="31" spans="1:13" x14ac:dyDescent="0.3">
      <c r="A31" s="3" t="s">
        <v>41</v>
      </c>
      <c r="B31" s="5">
        <v>42040</v>
      </c>
      <c r="C31" s="5">
        <v>63060</v>
      </c>
      <c r="D31" s="5">
        <v>337968.52</v>
      </c>
      <c r="E31" s="5">
        <v>238299.01</v>
      </c>
      <c r="F31" s="5">
        <v>144540.03</v>
      </c>
      <c r="G31" s="5">
        <v>681956.02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</row>
    <row r="32" spans="1:13" x14ac:dyDescent="0.3">
      <c r="A32" s="3" t="s">
        <v>42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</row>
    <row r="33" spans="1:13" x14ac:dyDescent="0.3">
      <c r="A33" s="3" t="s">
        <v>43</v>
      </c>
      <c r="B33" s="5">
        <v>1691206</v>
      </c>
      <c r="C33" s="5">
        <v>1050588</v>
      </c>
      <c r="D33" s="5">
        <v>749952</v>
      </c>
      <c r="E33" s="5">
        <v>1145262</v>
      </c>
      <c r="F33" s="5">
        <v>2224198.12</v>
      </c>
      <c r="G33" s="5">
        <v>1905875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</row>
    <row r="34" spans="1:13" x14ac:dyDescent="0.3">
      <c r="A34" s="3" t="s">
        <v>44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</row>
    <row r="35" spans="1:13" x14ac:dyDescent="0.3">
      <c r="A35" s="3" t="s">
        <v>45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</row>
    <row r="36" spans="1:13" x14ac:dyDescent="0.3">
      <c r="A36" s="3" t="s">
        <v>46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</row>
    <row r="37" spans="1:13" x14ac:dyDescent="0.3">
      <c r="A37" s="3" t="s">
        <v>47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</row>
    <row r="38" spans="1:13" x14ac:dyDescent="0.3">
      <c r="A38" s="3" t="s">
        <v>48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</row>
    <row r="39" spans="1:13" x14ac:dyDescent="0.3">
      <c r="A39" s="3" t="s">
        <v>49</v>
      </c>
      <c r="B39" s="5">
        <v>0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</row>
    <row r="40" spans="1:13" x14ac:dyDescent="0.3">
      <c r="A40" s="3" t="s">
        <v>50</v>
      </c>
      <c r="B40" s="5">
        <v>626850</v>
      </c>
      <c r="C40" s="5">
        <v>1760050</v>
      </c>
      <c r="D40" s="5">
        <v>725490</v>
      </c>
      <c r="E40" s="5">
        <v>144430</v>
      </c>
      <c r="F40" s="5">
        <v>238800</v>
      </c>
      <c r="G40" s="5">
        <v>787600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</row>
    <row r="41" spans="1:13" x14ac:dyDescent="0.3">
      <c r="A41" s="3" t="s">
        <v>51</v>
      </c>
      <c r="B41" s="5">
        <v>0</v>
      </c>
      <c r="C41" s="5">
        <v>194510</v>
      </c>
      <c r="D41" s="5">
        <v>358730</v>
      </c>
      <c r="E41" s="5">
        <v>272610</v>
      </c>
      <c r="F41" s="5">
        <v>142200</v>
      </c>
      <c r="G41" s="5">
        <v>198730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</row>
    <row r="42" spans="1:13" x14ac:dyDescent="0.3">
      <c r="A42" s="3" t="s">
        <v>52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</row>
    <row r="43" spans="1:13" x14ac:dyDescent="0.3">
      <c r="A43" s="3" t="s">
        <v>53</v>
      </c>
      <c r="B43" s="5">
        <v>510950</v>
      </c>
      <c r="C43" s="5">
        <v>787705</v>
      </c>
      <c r="D43" s="5">
        <v>547125</v>
      </c>
      <c r="E43" s="5">
        <v>-848345</v>
      </c>
      <c r="F43" s="5">
        <v>273135</v>
      </c>
      <c r="G43" s="5">
        <v>579985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</row>
    <row r="44" spans="1:13" x14ac:dyDescent="0.3">
      <c r="A44" s="3" t="s">
        <v>54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</row>
    <row r="45" spans="1:13" x14ac:dyDescent="0.3">
      <c r="A45" s="3" t="s">
        <v>55</v>
      </c>
      <c r="B45" s="5">
        <v>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</row>
    <row r="46" spans="1:13" x14ac:dyDescent="0.3">
      <c r="A46" s="3" t="s">
        <v>56</v>
      </c>
      <c r="B46" s="5">
        <v>1777464</v>
      </c>
      <c r="C46" s="5">
        <v>2096928</v>
      </c>
      <c r="D46" s="5">
        <v>2020464</v>
      </c>
      <c r="E46" s="5">
        <v>2089152</v>
      </c>
      <c r="F46" s="5">
        <v>3320352</v>
      </c>
      <c r="G46" s="5">
        <v>2352708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</row>
    <row r="47" spans="1:13" x14ac:dyDescent="0.3">
      <c r="A47" s="3" t="s">
        <v>57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</row>
    <row r="48" spans="1:13" x14ac:dyDescent="0.3">
      <c r="A48" s="3" t="s">
        <v>58</v>
      </c>
      <c r="B48" s="5">
        <v>2572645</v>
      </c>
      <c r="C48" s="5">
        <v>2508900</v>
      </c>
      <c r="D48" s="5">
        <v>466327</v>
      </c>
      <c r="E48" s="5">
        <v>1918460</v>
      </c>
      <c r="F48" s="5">
        <v>1388596</v>
      </c>
      <c r="G48" s="5">
        <v>2503127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</row>
    <row r="49" spans="1:13" x14ac:dyDescent="0.3">
      <c r="A49" s="3" t="s">
        <v>59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</row>
    <row r="50" spans="1:13" x14ac:dyDescent="0.3">
      <c r="A50" s="3" t="s">
        <v>60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</row>
    <row r="51" spans="1:13" x14ac:dyDescent="0.3">
      <c r="A51" s="3" t="s">
        <v>61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</row>
    <row r="52" spans="1:13" x14ac:dyDescent="0.3">
      <c r="A52" s="3" t="s">
        <v>62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</row>
    <row r="53" spans="1:13" x14ac:dyDescent="0.3">
      <c r="A53" s="3" t="s">
        <v>63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</row>
    <row r="54" spans="1:13" x14ac:dyDescent="0.3">
      <c r="A54" s="3" t="s">
        <v>64</v>
      </c>
      <c r="B54" s="5">
        <v>17338672</v>
      </c>
      <c r="C54" s="5">
        <v>14764984</v>
      </c>
      <c r="D54" s="5">
        <v>15612429</v>
      </c>
      <c r="E54" s="5">
        <v>31987980.300000001</v>
      </c>
      <c r="F54" s="5">
        <v>14399298.300000001</v>
      </c>
      <c r="G54" s="5">
        <v>11641705.199999999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</row>
    <row r="55" spans="1:13" x14ac:dyDescent="0.3">
      <c r="A55" s="3" t="s">
        <v>65</v>
      </c>
      <c r="B55" s="5">
        <v>677435</v>
      </c>
      <c r="C55" s="5">
        <v>510007</v>
      </c>
      <c r="D55" s="5">
        <v>779960</v>
      </c>
      <c r="E55" s="5">
        <v>1173364</v>
      </c>
      <c r="F55" s="5">
        <v>802654</v>
      </c>
      <c r="G55" s="5">
        <v>1204808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</row>
    <row r="56" spans="1:13" x14ac:dyDescent="0.3">
      <c r="A56" s="3" t="s">
        <v>66</v>
      </c>
      <c r="B56" s="5">
        <v>1295717.58</v>
      </c>
      <c r="C56" s="5">
        <v>518477.64</v>
      </c>
      <c r="D56" s="5">
        <v>746711</v>
      </c>
      <c r="E56" s="5">
        <v>1418662.74</v>
      </c>
      <c r="F56" s="5">
        <v>1733813.22</v>
      </c>
      <c r="G56" s="5">
        <v>446287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</row>
    <row r="57" spans="1:13" x14ac:dyDescent="0.3">
      <c r="A57" s="3" t="s">
        <v>67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</row>
    <row r="58" spans="1:13" x14ac:dyDescent="0.3">
      <c r="A58" s="3" t="s">
        <v>68</v>
      </c>
      <c r="B58" s="5">
        <v>19295893.600000001</v>
      </c>
      <c r="C58" s="5">
        <v>16015850.91</v>
      </c>
      <c r="D58" s="5">
        <v>25400186.879999999</v>
      </c>
      <c r="E58" s="5">
        <v>21838060.359999999</v>
      </c>
      <c r="F58" s="5">
        <v>13054066.25</v>
      </c>
      <c r="G58" s="5">
        <v>27100048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</row>
    <row r="59" spans="1:13" x14ac:dyDescent="0.3">
      <c r="A59" s="3" t="s">
        <v>69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</row>
    <row r="60" spans="1:13" x14ac:dyDescent="0.3">
      <c r="A60" s="3" t="s">
        <v>70</v>
      </c>
      <c r="B60" s="5">
        <v>131500</v>
      </c>
      <c r="C60" s="5">
        <v>144000</v>
      </c>
      <c r="D60" s="5">
        <v>195000</v>
      </c>
      <c r="E60" s="5">
        <v>260500</v>
      </c>
      <c r="F60" s="5">
        <v>89500</v>
      </c>
      <c r="G60" s="5">
        <v>135000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</row>
    <row r="61" spans="1:13" x14ac:dyDescent="0.3">
      <c r="A61" s="3" t="s">
        <v>15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</row>
    <row r="62" spans="1:13" x14ac:dyDescent="0.3">
      <c r="A62" s="3" t="s">
        <v>71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</row>
    <row r="63" spans="1:13" x14ac:dyDescent="0.3">
      <c r="A63" s="3" t="s">
        <v>72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</row>
    <row r="64" spans="1:13" x14ac:dyDescent="0.3">
      <c r="A64" s="3" t="s">
        <v>73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</row>
    <row r="65" spans="1:13" x14ac:dyDescent="0.3">
      <c r="A65" s="3" t="s">
        <v>74</v>
      </c>
      <c r="B65" s="5">
        <v>-5200</v>
      </c>
      <c r="C65" s="5">
        <v>0</v>
      </c>
      <c r="D65" s="5">
        <v>-329500</v>
      </c>
      <c r="E65" s="5">
        <v>0</v>
      </c>
      <c r="F65" s="5">
        <v>-275190</v>
      </c>
      <c r="G65" s="5">
        <v>-595728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</row>
    <row r="66" spans="1:13" x14ac:dyDescent="0.3">
      <c r="A66" s="3" t="s">
        <v>75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</row>
    <row r="67" spans="1:13" x14ac:dyDescent="0.3">
      <c r="A67" s="3" t="s">
        <v>76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</row>
    <row r="68" spans="1:13" x14ac:dyDescent="0.3">
      <c r="A68" s="3" t="s">
        <v>77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</row>
    <row r="69" spans="1:13" x14ac:dyDescent="0.3">
      <c r="A69" s="3" t="s">
        <v>78</v>
      </c>
      <c r="B69" s="5">
        <v>0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</row>
    <row r="70" spans="1:13" x14ac:dyDescent="0.3">
      <c r="A70" s="3" t="s">
        <v>79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</row>
    <row r="71" spans="1:13" x14ac:dyDescent="0.3">
      <c r="A71" s="3" t="s">
        <v>80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</row>
    <row r="72" spans="1:13" x14ac:dyDescent="0.3">
      <c r="A72" s="3" t="s">
        <v>81</v>
      </c>
      <c r="B72" s="5">
        <v>1544735</v>
      </c>
      <c r="C72" s="5">
        <v>640365</v>
      </c>
      <c r="D72" s="5">
        <v>2855020</v>
      </c>
      <c r="E72" s="5">
        <v>2041110</v>
      </c>
      <c r="F72" s="5">
        <v>1133490</v>
      </c>
      <c r="G72" s="5">
        <v>919770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</row>
    <row r="73" spans="1:13" x14ac:dyDescent="0.3">
      <c r="A73" s="3" t="s">
        <v>82</v>
      </c>
      <c r="B73" s="5">
        <v>0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</row>
    <row r="74" spans="1:13" x14ac:dyDescent="0.3">
      <c r="A74" s="3" t="s">
        <v>83</v>
      </c>
      <c r="B74" s="5">
        <v>0</v>
      </c>
      <c r="C74" s="5">
        <v>227400</v>
      </c>
      <c r="D74" s="5">
        <v>530600</v>
      </c>
      <c r="E74" s="5">
        <v>286340</v>
      </c>
      <c r="F74" s="5">
        <v>787400</v>
      </c>
      <c r="G74" s="5">
        <v>606400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</row>
    <row r="75" spans="1:13" x14ac:dyDescent="0.3">
      <c r="A75" s="3" t="s">
        <v>84</v>
      </c>
      <c r="B75" s="5">
        <v>0</v>
      </c>
      <c r="C75" s="5">
        <v>393250</v>
      </c>
      <c r="D75" s="5">
        <v>242000</v>
      </c>
      <c r="E75" s="5">
        <v>90750</v>
      </c>
      <c r="F75" s="5">
        <v>511450</v>
      </c>
      <c r="G75" s="5">
        <v>550550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</row>
    <row r="76" spans="1:13" x14ac:dyDescent="0.3">
      <c r="A76" s="3" t="s">
        <v>85</v>
      </c>
      <c r="B76" s="5">
        <v>0</v>
      </c>
      <c r="C76" s="5">
        <v>1179900</v>
      </c>
      <c r="D76" s="5">
        <v>1005100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</row>
    <row r="77" spans="1:13" x14ac:dyDescent="0.3">
      <c r="A77" s="3" t="s">
        <v>86</v>
      </c>
      <c r="B77" s="5">
        <v>0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</row>
    <row r="78" spans="1:13" x14ac:dyDescent="0.3">
      <c r="A78" s="3" t="s">
        <v>87</v>
      </c>
      <c r="B78" s="5">
        <v>0</v>
      </c>
      <c r="C78" s="5">
        <v>0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</row>
    <row r="79" spans="1:13" x14ac:dyDescent="0.3">
      <c r="A79" s="3" t="s">
        <v>13</v>
      </c>
      <c r="B79" s="5">
        <v>0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</row>
    <row r="80" spans="1:13" x14ac:dyDescent="0.3">
      <c r="A80" s="3" t="s">
        <v>88</v>
      </c>
      <c r="B80" s="5">
        <v>0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</row>
    <row r="81" spans="1:13" x14ac:dyDescent="0.3">
      <c r="A81" s="3" t="s">
        <v>89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</row>
    <row r="82" spans="1:13" x14ac:dyDescent="0.3">
      <c r="A82" s="3" t="s">
        <v>90</v>
      </c>
      <c r="B82" s="5">
        <v>21199830</v>
      </c>
      <c r="C82" s="5">
        <v>7377405</v>
      </c>
      <c r="D82" s="5">
        <v>39574005</v>
      </c>
      <c r="E82" s="5">
        <v>13960500</v>
      </c>
      <c r="F82" s="5">
        <v>24388775</v>
      </c>
      <c r="G82" s="5">
        <v>42453526.75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</row>
    <row r="83" spans="1:13" x14ac:dyDescent="0.3">
      <c r="A83" s="3" t="s">
        <v>91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</row>
    <row r="84" spans="1:13" x14ac:dyDescent="0.3">
      <c r="A84" s="3" t="s">
        <v>75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  <c r="I84" s="5">
        <v>0</v>
      </c>
      <c r="J84" s="5">
        <v>0</v>
      </c>
      <c r="K84" s="5">
        <v>0</v>
      </c>
      <c r="L84" s="5">
        <v>0</v>
      </c>
      <c r="M84" s="5">
        <v>0</v>
      </c>
    </row>
    <row r="85" spans="1:13" x14ac:dyDescent="0.3">
      <c r="A85" s="3" t="s">
        <v>92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</row>
    <row r="86" spans="1:13" x14ac:dyDescent="0.3">
      <c r="A86" s="3" t="s">
        <v>93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  <c r="H86" s="5">
        <v>0</v>
      </c>
      <c r="I86" s="5">
        <v>0</v>
      </c>
      <c r="J86" s="5">
        <v>0</v>
      </c>
      <c r="K86" s="5">
        <v>0</v>
      </c>
      <c r="L86" s="5">
        <v>0</v>
      </c>
      <c r="M86" s="5">
        <v>0</v>
      </c>
    </row>
    <row r="87" spans="1:13" x14ac:dyDescent="0.3">
      <c r="A87" s="3" t="s">
        <v>94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</row>
    <row r="88" spans="1:13" x14ac:dyDescent="0.3">
      <c r="A88" s="3" t="s">
        <v>95</v>
      </c>
      <c r="B88" s="5">
        <v>0</v>
      </c>
      <c r="C88" s="5">
        <v>36565</v>
      </c>
      <c r="D88" s="5">
        <v>0</v>
      </c>
      <c r="E88" s="5">
        <v>36565</v>
      </c>
      <c r="F88" s="5">
        <v>0</v>
      </c>
      <c r="G88" s="5">
        <v>365640</v>
      </c>
      <c r="H88" s="5">
        <v>0</v>
      </c>
      <c r="I88" s="5">
        <v>0</v>
      </c>
      <c r="J88" s="5">
        <v>0</v>
      </c>
      <c r="K88" s="5">
        <v>0</v>
      </c>
      <c r="L88" s="5">
        <v>0</v>
      </c>
      <c r="M88" s="5">
        <v>0</v>
      </c>
    </row>
    <row r="89" spans="1:13" x14ac:dyDescent="0.3">
      <c r="A89" s="3" t="s">
        <v>96</v>
      </c>
      <c r="B89" s="5">
        <v>0</v>
      </c>
      <c r="C89" s="5">
        <v>6500</v>
      </c>
      <c r="D89" s="5">
        <v>303750</v>
      </c>
      <c r="E89" s="5">
        <v>0</v>
      </c>
      <c r="F89" s="5">
        <v>0</v>
      </c>
      <c r="G89" s="5">
        <v>567000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</row>
    <row r="90" spans="1:13" x14ac:dyDescent="0.3">
      <c r="A90" s="3" t="s">
        <v>97</v>
      </c>
      <c r="B90" s="5">
        <v>0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  <c r="I90" s="5">
        <v>0</v>
      </c>
      <c r="J90" s="5">
        <v>0</v>
      </c>
      <c r="K90" s="5">
        <v>0</v>
      </c>
      <c r="L90" s="5">
        <v>0</v>
      </c>
      <c r="M90" s="5">
        <v>0</v>
      </c>
    </row>
    <row r="91" spans="1:13" x14ac:dyDescent="0.3">
      <c r="A91" s="3" t="s">
        <v>98</v>
      </c>
      <c r="B91" s="5">
        <v>0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  <c r="H91" s="5">
        <v>0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</row>
    <row r="92" spans="1:13" x14ac:dyDescent="0.3">
      <c r="A92" s="3" t="s">
        <v>99</v>
      </c>
      <c r="B92" s="5">
        <v>0</v>
      </c>
      <c r="C92" s="5">
        <v>0</v>
      </c>
      <c r="D92" s="5">
        <v>0</v>
      </c>
      <c r="E92" s="5">
        <v>-182700</v>
      </c>
      <c r="F92" s="5">
        <v>0</v>
      </c>
      <c r="G92" s="5">
        <v>0</v>
      </c>
      <c r="H92" s="5">
        <v>0</v>
      </c>
      <c r="I92" s="5">
        <v>0</v>
      </c>
      <c r="J92" s="5">
        <v>0</v>
      </c>
      <c r="K92" s="5">
        <v>0</v>
      </c>
      <c r="L92" s="5">
        <v>0</v>
      </c>
      <c r="M92" s="5">
        <v>0</v>
      </c>
    </row>
    <row r="93" spans="1:13" x14ac:dyDescent="0.3">
      <c r="A93" s="3" t="s">
        <v>100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</row>
    <row r="94" spans="1:13" x14ac:dyDescent="0.3">
      <c r="A94" s="3" t="s">
        <v>101</v>
      </c>
      <c r="B94" s="5">
        <v>0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  <c r="H94" s="5">
        <v>0</v>
      </c>
      <c r="I94" s="5">
        <v>0</v>
      </c>
      <c r="J94" s="5">
        <v>0</v>
      </c>
      <c r="K94" s="5">
        <v>0</v>
      </c>
      <c r="L94" s="5">
        <v>0</v>
      </c>
      <c r="M94" s="5">
        <v>0</v>
      </c>
    </row>
    <row r="95" spans="1:13" x14ac:dyDescent="0.3">
      <c r="A95" s="3" t="s">
        <v>102</v>
      </c>
      <c r="B95" s="5">
        <v>0</v>
      </c>
      <c r="C95" s="5">
        <v>0</v>
      </c>
      <c r="D95" s="5">
        <v>0</v>
      </c>
      <c r="E95" s="5">
        <v>-127160</v>
      </c>
      <c r="F95" s="5">
        <v>0</v>
      </c>
      <c r="G95" s="5">
        <v>0</v>
      </c>
      <c r="H95" s="5">
        <v>0</v>
      </c>
      <c r="I95" s="5">
        <v>0</v>
      </c>
      <c r="J95" s="5">
        <v>0</v>
      </c>
      <c r="K95" s="5">
        <v>0</v>
      </c>
      <c r="L95" s="5">
        <v>0</v>
      </c>
      <c r="M95" s="5">
        <v>0</v>
      </c>
    </row>
    <row r="96" spans="1:13" x14ac:dyDescent="0.3">
      <c r="A96" s="3" t="s">
        <v>103</v>
      </c>
      <c r="B96" s="5">
        <v>0</v>
      </c>
      <c r="C96" s="5">
        <v>4440988</v>
      </c>
      <c r="D96" s="5">
        <v>4342703</v>
      </c>
      <c r="E96" s="5">
        <v>9460495</v>
      </c>
      <c r="F96" s="5">
        <v>4044925</v>
      </c>
      <c r="G96" s="5">
        <v>5685890</v>
      </c>
      <c r="H96" s="5">
        <v>0</v>
      </c>
      <c r="I96" s="5">
        <v>0</v>
      </c>
      <c r="J96" s="5">
        <v>0</v>
      </c>
      <c r="K96" s="5">
        <v>0</v>
      </c>
      <c r="L96" s="5">
        <v>0</v>
      </c>
      <c r="M96" s="5">
        <v>0</v>
      </c>
    </row>
    <row r="97" spans="1:13" customFormat="1" ht="14.5" x14ac:dyDescent="0.35">
      <c r="A97" s="6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</row>
    <row r="98" spans="1:13" x14ac:dyDescent="0.3">
      <c r="A98" s="3" t="s">
        <v>104</v>
      </c>
      <c r="B98" s="5">
        <f>ROUND(SUBTOTAL(9, B2:B97), 5)</f>
        <v>109891254.73</v>
      </c>
      <c r="C98" s="5">
        <f>ROUND(SUBTOTAL(9, C2:C97), 5)</f>
        <v>117831895.55</v>
      </c>
      <c r="D98" s="5">
        <f>ROUND(SUBTOTAL(9, D2:D97), 5)</f>
        <v>156887287.68000001</v>
      </c>
      <c r="E98" s="5">
        <f>ROUND(SUBTOTAL(9, E2:E97), 5)</f>
        <v>168705717.28</v>
      </c>
      <c r="F98" s="5">
        <f>ROUND(SUBTOTAL(9, F2:F97), 5)</f>
        <v>107499149.06999999</v>
      </c>
      <c r="G98" s="5">
        <f>ROUND(SUBTOTAL(9, G2:G97), 5)</f>
        <v>180316139.97</v>
      </c>
      <c r="H98" s="5">
        <f>ROUND(SUBTOTAL(9, H2:H97), 5)</f>
        <v>0</v>
      </c>
      <c r="I98" s="5">
        <f>ROUND(SUBTOTAL(9, I2:I97), 5)</f>
        <v>0</v>
      </c>
      <c r="J98" s="5">
        <f>ROUND(SUBTOTAL(9, J2:J97), 5)</f>
        <v>0</v>
      </c>
      <c r="K98" s="5">
        <f>ROUND(SUBTOTAL(9, K2:K97), 5)</f>
        <v>0</v>
      </c>
      <c r="L98" s="5">
        <f>ROUND(SUBTOTAL(9, L2:L97), 5)</f>
        <v>0</v>
      </c>
      <c r="M98" s="5">
        <f>ROUND(SUBTOTAL(9, M2:M97), 5)</f>
        <v>0</v>
      </c>
    </row>
    <row r="99" spans="1:13" customFormat="1" ht="14.5" x14ac:dyDescent="0.35">
      <c r="A99" s="6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</row>
    <row r="100" spans="1:13" x14ac:dyDescent="0.3">
      <c r="A100" s="2" t="s">
        <v>105</v>
      </c>
    </row>
    <row r="101" spans="1:13" x14ac:dyDescent="0.3">
      <c r="A101" s="3" t="s">
        <v>106</v>
      </c>
    </row>
    <row r="102" spans="1:13" x14ac:dyDescent="0.3">
      <c r="A102" s="3" t="s">
        <v>14</v>
      </c>
      <c r="B102" s="5">
        <v>1402850</v>
      </c>
      <c r="C102" s="5">
        <v>1593650</v>
      </c>
      <c r="D102" s="5">
        <v>-7137800</v>
      </c>
      <c r="E102" s="5">
        <v>71976</v>
      </c>
      <c r="F102" s="5">
        <v>-57570</v>
      </c>
      <c r="G102" s="5">
        <v>98470</v>
      </c>
      <c r="H102" s="5">
        <v>0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</row>
    <row r="103" spans="1:13" x14ac:dyDescent="0.3">
      <c r="A103" s="3" t="s">
        <v>15</v>
      </c>
      <c r="B103" s="5">
        <v>4826634</v>
      </c>
      <c r="C103" s="5">
        <v>9459616</v>
      </c>
      <c r="D103" s="5">
        <v>4788102</v>
      </c>
      <c r="E103" s="5">
        <v>11932526.66</v>
      </c>
      <c r="F103" s="5">
        <v>9319885.9900000002</v>
      </c>
      <c r="G103" s="5">
        <v>7391982.4400000004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</row>
    <row r="104" spans="1:13" x14ac:dyDescent="0.3">
      <c r="A104" s="3" t="s">
        <v>16</v>
      </c>
      <c r="B104" s="5">
        <v>3675390</v>
      </c>
      <c r="C104" s="5">
        <v>3341670</v>
      </c>
      <c r="D104" s="5">
        <v>6025320</v>
      </c>
      <c r="E104" s="5">
        <v>4358700</v>
      </c>
      <c r="F104" s="5">
        <v>3341670</v>
      </c>
      <c r="G104" s="5">
        <v>3293240</v>
      </c>
      <c r="H104" s="5">
        <v>0</v>
      </c>
      <c r="I104" s="5">
        <v>0</v>
      </c>
      <c r="J104" s="5">
        <v>0</v>
      </c>
      <c r="K104" s="5">
        <v>0</v>
      </c>
      <c r="L104" s="5">
        <v>0</v>
      </c>
      <c r="M104" s="5">
        <v>0</v>
      </c>
    </row>
    <row r="105" spans="1:13" x14ac:dyDescent="0.3">
      <c r="A105" s="3" t="s">
        <v>17</v>
      </c>
      <c r="B105" s="5">
        <v>140000</v>
      </c>
      <c r="C105" s="5">
        <v>300000</v>
      </c>
      <c r="D105" s="5">
        <v>160000</v>
      </c>
      <c r="E105" s="5">
        <v>60000</v>
      </c>
      <c r="F105" s="5">
        <v>100000</v>
      </c>
      <c r="G105" s="5">
        <v>300000</v>
      </c>
      <c r="H105" s="5">
        <v>0</v>
      </c>
      <c r="I105" s="5">
        <v>0</v>
      </c>
      <c r="J105" s="5">
        <v>0</v>
      </c>
      <c r="K105" s="5">
        <v>0</v>
      </c>
      <c r="L105" s="5">
        <v>0</v>
      </c>
      <c r="M105" s="5">
        <v>0</v>
      </c>
    </row>
    <row r="106" spans="1:13" x14ac:dyDescent="0.3">
      <c r="A106" s="3" t="s">
        <v>18</v>
      </c>
      <c r="B106" s="5">
        <v>0</v>
      </c>
      <c r="C106" s="5">
        <v>0</v>
      </c>
      <c r="D106" s="5">
        <v>0</v>
      </c>
      <c r="E106" s="5">
        <v>0</v>
      </c>
      <c r="F106" s="5">
        <v>0</v>
      </c>
      <c r="G106" s="5">
        <v>0</v>
      </c>
      <c r="H106" s="5">
        <v>0</v>
      </c>
      <c r="I106" s="5">
        <v>0</v>
      </c>
      <c r="J106" s="5">
        <v>0</v>
      </c>
      <c r="K106" s="5">
        <v>0</v>
      </c>
      <c r="L106" s="5">
        <v>0</v>
      </c>
      <c r="M106" s="5">
        <v>0</v>
      </c>
    </row>
    <row r="107" spans="1:13" x14ac:dyDescent="0.3">
      <c r="A107" s="3" t="s">
        <v>19</v>
      </c>
      <c r="B107" s="5">
        <v>0</v>
      </c>
      <c r="C107" s="5">
        <v>0</v>
      </c>
      <c r="D107" s="5">
        <v>0</v>
      </c>
      <c r="E107" s="5">
        <v>0</v>
      </c>
      <c r="F107" s="5">
        <v>0</v>
      </c>
      <c r="G107" s="5">
        <v>0</v>
      </c>
      <c r="H107" s="5">
        <v>0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</row>
    <row r="108" spans="1:13" x14ac:dyDescent="0.3">
      <c r="A108" s="3" t="s">
        <v>20</v>
      </c>
      <c r="B108" s="5">
        <v>2918232</v>
      </c>
      <c r="C108" s="5">
        <v>2076048</v>
      </c>
      <c r="D108" s="5">
        <v>3067248</v>
      </c>
      <c r="E108" s="5">
        <v>3653126</v>
      </c>
      <c r="F108" s="5">
        <v>1507838</v>
      </c>
      <c r="G108" s="5">
        <v>5022018</v>
      </c>
      <c r="H108" s="5">
        <v>0</v>
      </c>
      <c r="I108" s="5">
        <v>0</v>
      </c>
      <c r="J108" s="5">
        <v>0</v>
      </c>
      <c r="K108" s="5">
        <v>0</v>
      </c>
      <c r="L108" s="5">
        <v>0</v>
      </c>
      <c r="M108" s="5">
        <v>0</v>
      </c>
    </row>
    <row r="109" spans="1:13" x14ac:dyDescent="0.3">
      <c r="A109" s="3" t="s">
        <v>107</v>
      </c>
      <c r="B109" s="5">
        <v>6530346.4000000004</v>
      </c>
      <c r="C109" s="5">
        <v>8732845.1999999993</v>
      </c>
      <c r="D109" s="5">
        <v>18520834</v>
      </c>
      <c r="E109" s="5">
        <v>17748932</v>
      </c>
      <c r="F109" s="5">
        <v>6844600</v>
      </c>
      <c r="G109" s="5">
        <v>7947516</v>
      </c>
      <c r="H109" s="5">
        <v>0</v>
      </c>
      <c r="I109" s="5">
        <v>0</v>
      </c>
      <c r="J109" s="5">
        <v>0</v>
      </c>
      <c r="K109" s="5">
        <v>0</v>
      </c>
      <c r="L109" s="5">
        <v>0</v>
      </c>
      <c r="M109" s="5">
        <v>0</v>
      </c>
    </row>
    <row r="110" spans="1:13" x14ac:dyDescent="0.3">
      <c r="A110" s="3" t="s">
        <v>22</v>
      </c>
      <c r="B110" s="5">
        <v>0</v>
      </c>
      <c r="C110" s="5">
        <v>0</v>
      </c>
      <c r="D110" s="5">
        <v>0</v>
      </c>
      <c r="E110" s="5">
        <v>0</v>
      </c>
      <c r="F110" s="5">
        <v>0</v>
      </c>
      <c r="G110" s="5">
        <v>0</v>
      </c>
      <c r="H110" s="5">
        <v>0</v>
      </c>
      <c r="I110" s="5">
        <v>0</v>
      </c>
      <c r="J110" s="5">
        <v>0</v>
      </c>
      <c r="K110" s="5">
        <v>0</v>
      </c>
      <c r="L110" s="5">
        <v>0</v>
      </c>
      <c r="M110" s="5">
        <v>0</v>
      </c>
    </row>
    <row r="111" spans="1:13" x14ac:dyDescent="0.3">
      <c r="A111" s="3" t="s">
        <v>108</v>
      </c>
      <c r="B111" s="5">
        <v>0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0</v>
      </c>
      <c r="M111" s="5">
        <v>0</v>
      </c>
    </row>
    <row r="112" spans="1:13" x14ac:dyDescent="0.3">
      <c r="A112" s="3" t="s">
        <v>109</v>
      </c>
      <c r="B112" s="5">
        <v>0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  <c r="H112" s="5">
        <v>0</v>
      </c>
      <c r="I112" s="5">
        <v>0</v>
      </c>
      <c r="J112" s="5">
        <v>0</v>
      </c>
      <c r="K112" s="5">
        <v>0</v>
      </c>
      <c r="L112" s="5">
        <v>0</v>
      </c>
      <c r="M112" s="5">
        <v>0</v>
      </c>
    </row>
    <row r="113" spans="1:13" x14ac:dyDescent="0.3">
      <c r="A113" s="3" t="s">
        <v>25</v>
      </c>
      <c r="B113" s="5">
        <v>34058000</v>
      </c>
      <c r="C113" s="5">
        <v>17450800</v>
      </c>
      <c r="D113" s="5">
        <v>9947000</v>
      </c>
      <c r="E113" s="5">
        <v>22466500</v>
      </c>
      <c r="F113" s="5">
        <v>5782000</v>
      </c>
      <c r="G113" s="5">
        <v>19600000</v>
      </c>
      <c r="H113" s="5">
        <v>0</v>
      </c>
      <c r="I113" s="5">
        <v>0</v>
      </c>
      <c r="J113" s="5">
        <v>0</v>
      </c>
      <c r="K113" s="5">
        <v>0</v>
      </c>
      <c r="L113" s="5">
        <v>0</v>
      </c>
      <c r="M113" s="5">
        <v>0</v>
      </c>
    </row>
    <row r="114" spans="1:13" x14ac:dyDescent="0.3">
      <c r="A114" s="3" t="s">
        <v>110</v>
      </c>
      <c r="B114" s="5">
        <v>0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  <c r="H114" s="5">
        <v>0</v>
      </c>
      <c r="I114" s="5">
        <v>0</v>
      </c>
      <c r="J114" s="5">
        <v>0</v>
      </c>
      <c r="K114" s="5">
        <v>0</v>
      </c>
      <c r="L114" s="5">
        <v>0</v>
      </c>
      <c r="M114" s="5">
        <v>0</v>
      </c>
    </row>
    <row r="115" spans="1:13" x14ac:dyDescent="0.3">
      <c r="A115" s="3" t="s">
        <v>27</v>
      </c>
      <c r="B115" s="5">
        <v>0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  <c r="I115" s="5">
        <v>0</v>
      </c>
      <c r="J115" s="5">
        <v>0</v>
      </c>
      <c r="K115" s="5">
        <v>0</v>
      </c>
      <c r="L115" s="5">
        <v>0</v>
      </c>
      <c r="M115" s="5">
        <v>0</v>
      </c>
    </row>
    <row r="116" spans="1:13" x14ac:dyDescent="0.3">
      <c r="A116" s="3" t="s">
        <v>28</v>
      </c>
      <c r="B116" s="5">
        <v>8217482</v>
      </c>
      <c r="C116" s="5">
        <v>9150141</v>
      </c>
      <c r="D116" s="5">
        <v>3730636</v>
      </c>
      <c r="E116" s="5">
        <v>4083534</v>
      </c>
      <c r="F116" s="5">
        <v>2319044</v>
      </c>
      <c r="G116" s="5">
        <v>1487213</v>
      </c>
      <c r="H116" s="5">
        <v>0</v>
      </c>
      <c r="I116" s="5">
        <v>0</v>
      </c>
      <c r="J116" s="5">
        <v>0</v>
      </c>
      <c r="K116" s="5">
        <v>0</v>
      </c>
      <c r="L116" s="5">
        <v>0</v>
      </c>
      <c r="M116" s="5">
        <v>0</v>
      </c>
    </row>
    <row r="117" spans="1:13" x14ac:dyDescent="0.3">
      <c r="A117" s="3" t="s">
        <v>29</v>
      </c>
      <c r="B117" s="5">
        <v>0</v>
      </c>
      <c r="C117" s="5">
        <v>7000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I117" s="5">
        <v>0</v>
      </c>
      <c r="J117" s="5">
        <v>0</v>
      </c>
      <c r="K117" s="5">
        <v>0</v>
      </c>
      <c r="L117" s="5">
        <v>0</v>
      </c>
      <c r="M117" s="5">
        <v>0</v>
      </c>
    </row>
    <row r="118" spans="1:13" x14ac:dyDescent="0.3">
      <c r="A118" s="3" t="s">
        <v>30</v>
      </c>
      <c r="B118" s="5">
        <v>2829240</v>
      </c>
      <c r="C118" s="5">
        <v>4935452</v>
      </c>
      <c r="D118" s="5">
        <v>3112164</v>
      </c>
      <c r="E118" s="5">
        <v>6727304</v>
      </c>
      <c r="F118" s="5">
        <v>2294828</v>
      </c>
      <c r="G118" s="5">
        <v>4683964</v>
      </c>
      <c r="H118" s="5">
        <v>0</v>
      </c>
      <c r="I118" s="5">
        <v>0</v>
      </c>
      <c r="J118" s="5">
        <v>0</v>
      </c>
      <c r="K118" s="5">
        <v>0</v>
      </c>
      <c r="L118" s="5">
        <v>0</v>
      </c>
      <c r="M118" s="5">
        <v>0</v>
      </c>
    </row>
    <row r="119" spans="1:13" x14ac:dyDescent="0.3">
      <c r="A119" s="3" t="s">
        <v>31</v>
      </c>
      <c r="B119" s="5">
        <v>0</v>
      </c>
      <c r="C119" s="5">
        <v>0</v>
      </c>
      <c r="D119" s="5">
        <v>0</v>
      </c>
      <c r="E119" s="5">
        <v>0</v>
      </c>
      <c r="F119" s="5">
        <v>0</v>
      </c>
      <c r="G119" s="5">
        <v>0</v>
      </c>
      <c r="H119" s="5">
        <v>0</v>
      </c>
      <c r="I119" s="5">
        <v>0</v>
      </c>
      <c r="J119" s="5">
        <v>0</v>
      </c>
      <c r="K119" s="5">
        <v>0</v>
      </c>
      <c r="L119" s="5">
        <v>0</v>
      </c>
      <c r="M119" s="5">
        <v>0</v>
      </c>
    </row>
    <row r="120" spans="1:13" x14ac:dyDescent="0.3">
      <c r="A120" s="3" t="s">
        <v>32</v>
      </c>
      <c r="B120" s="5">
        <v>0</v>
      </c>
      <c r="C120" s="5">
        <v>0</v>
      </c>
      <c r="D120" s="5">
        <v>0</v>
      </c>
      <c r="E120" s="5">
        <v>0</v>
      </c>
      <c r="F120" s="5">
        <v>0</v>
      </c>
      <c r="G120" s="5">
        <v>0</v>
      </c>
      <c r="H120" s="5">
        <v>0</v>
      </c>
      <c r="I120" s="5">
        <v>0</v>
      </c>
      <c r="J120" s="5">
        <v>0</v>
      </c>
      <c r="K120" s="5">
        <v>0</v>
      </c>
      <c r="L120" s="5">
        <v>0</v>
      </c>
      <c r="M120" s="5">
        <v>0</v>
      </c>
    </row>
    <row r="121" spans="1:13" x14ac:dyDescent="0.3">
      <c r="A121" s="3" t="s">
        <v>33</v>
      </c>
      <c r="B121" s="5">
        <v>0</v>
      </c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0</v>
      </c>
      <c r="J121" s="5">
        <v>0</v>
      </c>
      <c r="K121" s="5">
        <v>0</v>
      </c>
      <c r="L121" s="5">
        <v>0</v>
      </c>
      <c r="M121" s="5">
        <v>0</v>
      </c>
    </row>
    <row r="122" spans="1:13" x14ac:dyDescent="0.3">
      <c r="A122" s="3" t="s">
        <v>34</v>
      </c>
      <c r="B122" s="5">
        <v>0</v>
      </c>
      <c r="C122" s="5">
        <v>0</v>
      </c>
      <c r="D122" s="5">
        <v>0</v>
      </c>
      <c r="E122" s="5">
        <v>0</v>
      </c>
      <c r="F122" s="5">
        <v>0</v>
      </c>
      <c r="G122" s="5">
        <v>0</v>
      </c>
      <c r="H122" s="5">
        <v>0</v>
      </c>
      <c r="I122" s="5">
        <v>0</v>
      </c>
      <c r="J122" s="5">
        <v>0</v>
      </c>
      <c r="K122" s="5">
        <v>0</v>
      </c>
      <c r="L122" s="5">
        <v>0</v>
      </c>
      <c r="M122" s="5">
        <v>0</v>
      </c>
    </row>
    <row r="123" spans="1:13" x14ac:dyDescent="0.3">
      <c r="A123" s="3" t="s">
        <v>35</v>
      </c>
      <c r="B123" s="5">
        <v>0</v>
      </c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</row>
    <row r="124" spans="1:13" x14ac:dyDescent="0.3">
      <c r="A124" s="3" t="s">
        <v>36</v>
      </c>
      <c r="B124" s="5">
        <v>1069856.8799999999</v>
      </c>
      <c r="C124" s="5">
        <v>584774</v>
      </c>
      <c r="D124" s="5">
        <v>1181990</v>
      </c>
      <c r="E124" s="5">
        <v>821172</v>
      </c>
      <c r="F124" s="5">
        <v>1094896</v>
      </c>
      <c r="G124" s="5">
        <v>1331294</v>
      </c>
      <c r="H124" s="5">
        <v>0</v>
      </c>
      <c r="I124" s="5">
        <v>0</v>
      </c>
      <c r="J124" s="5">
        <v>0</v>
      </c>
      <c r="K124" s="5">
        <v>0</v>
      </c>
      <c r="L124" s="5">
        <v>0</v>
      </c>
      <c r="M124" s="5">
        <v>0</v>
      </c>
    </row>
    <row r="125" spans="1:13" x14ac:dyDescent="0.3">
      <c r="A125" s="3" t="s">
        <v>37</v>
      </c>
      <c r="B125" s="5">
        <v>0</v>
      </c>
      <c r="C125" s="5">
        <v>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</row>
    <row r="126" spans="1:13" x14ac:dyDescent="0.3">
      <c r="A126" s="3" t="s">
        <v>38</v>
      </c>
      <c r="B126" s="5">
        <v>0</v>
      </c>
      <c r="C126" s="5">
        <v>0</v>
      </c>
      <c r="D126" s="5">
        <v>0</v>
      </c>
      <c r="E126" s="5">
        <v>0</v>
      </c>
      <c r="F126" s="5">
        <v>0</v>
      </c>
      <c r="G126" s="5">
        <v>0</v>
      </c>
      <c r="H126" s="5">
        <v>0</v>
      </c>
      <c r="I126" s="5">
        <v>0</v>
      </c>
      <c r="J126" s="5">
        <v>0</v>
      </c>
      <c r="K126" s="5">
        <v>0</v>
      </c>
      <c r="L126" s="5">
        <v>0</v>
      </c>
      <c r="M126" s="5">
        <v>0</v>
      </c>
    </row>
    <row r="127" spans="1:13" x14ac:dyDescent="0.3">
      <c r="A127" s="3" t="s">
        <v>39</v>
      </c>
      <c r="B127" s="5">
        <v>0</v>
      </c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</row>
    <row r="128" spans="1:13" x14ac:dyDescent="0.3">
      <c r="A128" s="3" t="s">
        <v>40</v>
      </c>
      <c r="B128" s="5">
        <v>583784</v>
      </c>
      <c r="C128" s="5">
        <v>596688</v>
      </c>
      <c r="D128" s="5">
        <v>323030</v>
      </c>
      <c r="E128" s="5">
        <v>770282</v>
      </c>
      <c r="F128" s="5">
        <v>509462</v>
      </c>
      <c r="G128" s="5">
        <v>509528</v>
      </c>
      <c r="H128" s="5">
        <v>0</v>
      </c>
      <c r="I128" s="5">
        <v>0</v>
      </c>
      <c r="J128" s="5">
        <v>0</v>
      </c>
      <c r="K128" s="5">
        <v>0</v>
      </c>
      <c r="L128" s="5">
        <v>0</v>
      </c>
      <c r="M128" s="5">
        <v>0</v>
      </c>
    </row>
    <row r="129" spans="1:13" x14ac:dyDescent="0.3">
      <c r="A129" s="3" t="s">
        <v>111</v>
      </c>
      <c r="B129" s="5">
        <v>41446</v>
      </c>
      <c r="C129" s="5">
        <v>62169</v>
      </c>
      <c r="D129" s="5">
        <v>290122</v>
      </c>
      <c r="E129" s="5">
        <v>227953</v>
      </c>
      <c r="F129" s="5">
        <v>124338</v>
      </c>
      <c r="G129" s="5">
        <v>600967</v>
      </c>
      <c r="H129" s="5">
        <v>0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</row>
    <row r="130" spans="1:13" x14ac:dyDescent="0.3">
      <c r="A130" s="3" t="s">
        <v>42</v>
      </c>
      <c r="B130" s="5">
        <v>0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  <c r="H130" s="5">
        <v>0</v>
      </c>
      <c r="I130" s="5">
        <v>0</v>
      </c>
      <c r="J130" s="5">
        <v>0</v>
      </c>
      <c r="K130" s="5">
        <v>0</v>
      </c>
      <c r="L130" s="5">
        <v>0</v>
      </c>
      <c r="M130" s="5">
        <v>0</v>
      </c>
    </row>
    <row r="131" spans="1:13" x14ac:dyDescent="0.3">
      <c r="A131" s="3" t="s">
        <v>112</v>
      </c>
      <c r="B131" s="5">
        <v>1445265.34</v>
      </c>
      <c r="C131" s="5">
        <v>860540.84</v>
      </c>
      <c r="D131" s="5">
        <v>615601.78</v>
      </c>
      <c r="E131" s="5">
        <v>956102.22</v>
      </c>
      <c r="F131" s="5">
        <v>1846997.7</v>
      </c>
      <c r="G131" s="5">
        <v>1638405.9</v>
      </c>
      <c r="H131" s="5">
        <v>0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</row>
    <row r="132" spans="1:13" x14ac:dyDescent="0.3">
      <c r="A132" s="3" t="s">
        <v>44</v>
      </c>
      <c r="B132" s="5">
        <v>0</v>
      </c>
      <c r="C132" s="5">
        <v>0</v>
      </c>
      <c r="D132" s="5">
        <v>0</v>
      </c>
      <c r="E132" s="5">
        <v>0</v>
      </c>
      <c r="F132" s="5">
        <v>0</v>
      </c>
      <c r="G132" s="5">
        <v>0</v>
      </c>
      <c r="H132" s="5">
        <v>0</v>
      </c>
      <c r="I132" s="5">
        <v>0</v>
      </c>
      <c r="J132" s="5">
        <v>0</v>
      </c>
      <c r="K132" s="5">
        <v>0</v>
      </c>
      <c r="L132" s="5">
        <v>0</v>
      </c>
      <c r="M132" s="5">
        <v>0</v>
      </c>
    </row>
    <row r="133" spans="1:13" x14ac:dyDescent="0.3">
      <c r="A133" s="3" t="s">
        <v>45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</row>
    <row r="134" spans="1:13" x14ac:dyDescent="0.3">
      <c r="A134" s="3" t="s">
        <v>46</v>
      </c>
      <c r="B134" s="5">
        <v>0</v>
      </c>
      <c r="C134" s="5">
        <v>0</v>
      </c>
      <c r="D134" s="5">
        <v>0</v>
      </c>
      <c r="E134" s="5">
        <v>0</v>
      </c>
      <c r="F134" s="5">
        <v>0</v>
      </c>
      <c r="G134" s="5">
        <v>0</v>
      </c>
      <c r="H134" s="5">
        <v>0</v>
      </c>
      <c r="I134" s="5">
        <v>0</v>
      </c>
      <c r="J134" s="5">
        <v>0</v>
      </c>
      <c r="K134" s="5">
        <v>0</v>
      </c>
      <c r="L134" s="5">
        <v>0</v>
      </c>
      <c r="M134" s="5">
        <v>0</v>
      </c>
    </row>
    <row r="135" spans="1:13" x14ac:dyDescent="0.3">
      <c r="A135" s="3" t="s">
        <v>47</v>
      </c>
      <c r="B135" s="5">
        <v>0</v>
      </c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</row>
    <row r="136" spans="1:13" x14ac:dyDescent="0.3">
      <c r="A136" s="3" t="s">
        <v>48</v>
      </c>
      <c r="B136" s="5">
        <v>0</v>
      </c>
      <c r="C136" s="5">
        <v>0</v>
      </c>
      <c r="D136" s="5">
        <v>0</v>
      </c>
      <c r="E136" s="5">
        <v>0</v>
      </c>
      <c r="F136" s="5">
        <v>0</v>
      </c>
      <c r="G136" s="5">
        <v>0</v>
      </c>
      <c r="H136" s="5">
        <v>0</v>
      </c>
      <c r="I136" s="5">
        <v>0</v>
      </c>
      <c r="J136" s="5">
        <v>0</v>
      </c>
      <c r="K136" s="5">
        <v>0</v>
      </c>
      <c r="L136" s="5">
        <v>0</v>
      </c>
      <c r="M136" s="5">
        <v>0</v>
      </c>
    </row>
    <row r="137" spans="1:13" x14ac:dyDescent="0.3">
      <c r="A137" s="3" t="s">
        <v>49</v>
      </c>
      <c r="B137" s="5">
        <v>0</v>
      </c>
      <c r="C137" s="5">
        <v>0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</row>
    <row r="138" spans="1:13" x14ac:dyDescent="0.3">
      <c r="A138" s="3" t="s">
        <v>113</v>
      </c>
      <c r="B138" s="5">
        <v>464940</v>
      </c>
      <c r="C138" s="5">
        <v>1394820</v>
      </c>
      <c r="D138" s="5">
        <v>575640</v>
      </c>
      <c r="E138" s="5">
        <v>110700</v>
      </c>
      <c r="F138" s="5">
        <v>177120</v>
      </c>
      <c r="G138" s="5">
        <v>619920</v>
      </c>
      <c r="H138" s="5">
        <v>0</v>
      </c>
      <c r="I138" s="5">
        <v>0</v>
      </c>
      <c r="J138" s="5">
        <v>0</v>
      </c>
      <c r="K138" s="5">
        <v>0</v>
      </c>
      <c r="L138" s="5">
        <v>0</v>
      </c>
      <c r="M138" s="5">
        <v>0</v>
      </c>
    </row>
    <row r="139" spans="1:13" x14ac:dyDescent="0.3">
      <c r="A139" s="3" t="s">
        <v>51</v>
      </c>
      <c r="B139" s="5">
        <v>0</v>
      </c>
      <c r="C139" s="5">
        <v>156000</v>
      </c>
      <c r="D139" s="5">
        <v>288000</v>
      </c>
      <c r="E139" s="5">
        <v>216000</v>
      </c>
      <c r="F139" s="5">
        <v>108000</v>
      </c>
      <c r="G139" s="5">
        <v>156000</v>
      </c>
      <c r="H139" s="5">
        <v>0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</row>
    <row r="140" spans="1:13" x14ac:dyDescent="0.3">
      <c r="A140" s="3" t="s">
        <v>52</v>
      </c>
      <c r="B140" s="5">
        <v>0</v>
      </c>
      <c r="C140" s="5">
        <v>0</v>
      </c>
      <c r="D140" s="5">
        <v>0</v>
      </c>
      <c r="E140" s="5">
        <v>0</v>
      </c>
      <c r="F140" s="5">
        <v>0</v>
      </c>
      <c r="G140" s="5">
        <v>0</v>
      </c>
      <c r="H140" s="5">
        <v>0</v>
      </c>
      <c r="I140" s="5">
        <v>0</v>
      </c>
      <c r="J140" s="5">
        <v>0</v>
      </c>
      <c r="K140" s="5">
        <v>0</v>
      </c>
      <c r="L140" s="5">
        <v>0</v>
      </c>
      <c r="M140" s="5">
        <v>0</v>
      </c>
    </row>
    <row r="141" spans="1:13" x14ac:dyDescent="0.3">
      <c r="A141" s="3" t="s">
        <v>53</v>
      </c>
      <c r="B141" s="5">
        <v>402050</v>
      </c>
      <c r="C141" s="5">
        <v>603075</v>
      </c>
      <c r="D141" s="5">
        <v>420325</v>
      </c>
      <c r="E141" s="5">
        <v>-825325</v>
      </c>
      <c r="F141" s="5">
        <v>257325</v>
      </c>
      <c r="G141" s="5">
        <v>493425</v>
      </c>
      <c r="H141" s="5">
        <v>0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</row>
    <row r="142" spans="1:13" x14ac:dyDescent="0.3">
      <c r="A142" s="3" t="s">
        <v>54</v>
      </c>
      <c r="B142" s="5">
        <v>0</v>
      </c>
      <c r="C142" s="5">
        <v>0</v>
      </c>
      <c r="D142" s="5">
        <v>0</v>
      </c>
      <c r="E142" s="5">
        <v>0</v>
      </c>
      <c r="F142" s="5">
        <v>0</v>
      </c>
      <c r="G142" s="5">
        <v>0</v>
      </c>
      <c r="H142" s="5">
        <v>0</v>
      </c>
      <c r="I142" s="5">
        <v>0</v>
      </c>
      <c r="J142" s="5">
        <v>0</v>
      </c>
      <c r="K142" s="5">
        <v>0</v>
      </c>
      <c r="L142" s="5">
        <v>0</v>
      </c>
      <c r="M142" s="5">
        <v>0</v>
      </c>
    </row>
    <row r="143" spans="1:13" x14ac:dyDescent="0.3">
      <c r="A143" s="3" t="s">
        <v>55</v>
      </c>
      <c r="B143" s="5">
        <v>0</v>
      </c>
      <c r="C143" s="5">
        <v>0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  <c r="I143" s="5">
        <v>0</v>
      </c>
      <c r="J143" s="5">
        <v>0</v>
      </c>
      <c r="K143" s="5">
        <v>0</v>
      </c>
      <c r="L143" s="5">
        <v>0</v>
      </c>
      <c r="M143" s="5">
        <v>0</v>
      </c>
    </row>
    <row r="144" spans="1:13" x14ac:dyDescent="0.3">
      <c r="A144" s="3" t="s">
        <v>56</v>
      </c>
      <c r="B144" s="5">
        <v>1587600</v>
      </c>
      <c r="C144" s="5">
        <v>1881600</v>
      </c>
      <c r="D144" s="5">
        <v>1822800</v>
      </c>
      <c r="E144" s="5">
        <v>1881600</v>
      </c>
      <c r="F144" s="5">
        <v>2998800</v>
      </c>
      <c r="G144" s="5">
        <v>2116800</v>
      </c>
      <c r="H144" s="5">
        <v>0</v>
      </c>
      <c r="I144" s="5">
        <v>0</v>
      </c>
      <c r="J144" s="5">
        <v>0</v>
      </c>
      <c r="K144" s="5">
        <v>0</v>
      </c>
      <c r="L144" s="5">
        <v>0</v>
      </c>
      <c r="M144" s="5">
        <v>0</v>
      </c>
    </row>
    <row r="145" spans="1:13" x14ac:dyDescent="0.3">
      <c r="A145" s="3" t="s">
        <v>57</v>
      </c>
      <c r="B145" s="5">
        <v>0</v>
      </c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</row>
    <row r="146" spans="1:13" x14ac:dyDescent="0.3">
      <c r="A146" s="3" t="s">
        <v>58</v>
      </c>
      <c r="B146" s="5">
        <v>2187360</v>
      </c>
      <c r="C146" s="5">
        <v>2106450</v>
      </c>
      <c r="D146" s="5">
        <v>420660</v>
      </c>
      <c r="E146" s="5">
        <v>1744050</v>
      </c>
      <c r="F146" s="5">
        <v>1262360</v>
      </c>
      <c r="G146" s="5">
        <v>2275570</v>
      </c>
      <c r="H146" s="5">
        <v>0</v>
      </c>
      <c r="I146" s="5">
        <v>0</v>
      </c>
      <c r="J146" s="5">
        <v>0</v>
      </c>
      <c r="K146" s="5">
        <v>0</v>
      </c>
      <c r="L146" s="5">
        <v>0</v>
      </c>
      <c r="M146" s="5">
        <v>0</v>
      </c>
    </row>
    <row r="147" spans="1:13" x14ac:dyDescent="0.3">
      <c r="A147" s="3" t="s">
        <v>59</v>
      </c>
      <c r="B147" s="5">
        <v>0</v>
      </c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</row>
    <row r="148" spans="1:13" x14ac:dyDescent="0.3">
      <c r="A148" s="3" t="s">
        <v>60</v>
      </c>
      <c r="B148" s="5">
        <v>0</v>
      </c>
      <c r="C148" s="5">
        <v>0</v>
      </c>
      <c r="D148" s="5">
        <v>0</v>
      </c>
      <c r="E148" s="5">
        <v>0</v>
      </c>
      <c r="F148" s="5">
        <v>0</v>
      </c>
      <c r="G148" s="5">
        <v>0</v>
      </c>
      <c r="H148" s="5">
        <v>0</v>
      </c>
      <c r="I148" s="5">
        <v>0</v>
      </c>
      <c r="J148" s="5">
        <v>0</v>
      </c>
      <c r="K148" s="5">
        <v>0</v>
      </c>
      <c r="L148" s="5">
        <v>0</v>
      </c>
      <c r="M148" s="5">
        <v>0</v>
      </c>
    </row>
    <row r="149" spans="1:13" x14ac:dyDescent="0.3">
      <c r="A149" s="3" t="s">
        <v>61</v>
      </c>
      <c r="B149" s="5">
        <v>0</v>
      </c>
      <c r="C149" s="5">
        <v>0</v>
      </c>
      <c r="D149" s="5">
        <v>0</v>
      </c>
      <c r="E149" s="5">
        <v>0</v>
      </c>
      <c r="F149" s="5">
        <v>0</v>
      </c>
      <c r="G149" s="5">
        <v>0</v>
      </c>
      <c r="H149" s="5">
        <v>0</v>
      </c>
      <c r="I149" s="5">
        <v>0</v>
      </c>
      <c r="J149" s="5">
        <v>0</v>
      </c>
      <c r="K149" s="5">
        <v>0</v>
      </c>
      <c r="L149" s="5">
        <v>0</v>
      </c>
      <c r="M149" s="5">
        <v>0</v>
      </c>
    </row>
    <row r="150" spans="1:13" x14ac:dyDescent="0.3">
      <c r="A150" s="3" t="s">
        <v>62</v>
      </c>
      <c r="B150" s="5">
        <v>0</v>
      </c>
      <c r="C150" s="5">
        <v>0</v>
      </c>
      <c r="D150" s="5">
        <v>0</v>
      </c>
      <c r="E150" s="5">
        <v>0</v>
      </c>
      <c r="F150" s="5">
        <v>0</v>
      </c>
      <c r="G150" s="5">
        <v>0</v>
      </c>
      <c r="H150" s="5">
        <v>0</v>
      </c>
      <c r="I150" s="5">
        <v>0</v>
      </c>
      <c r="J150" s="5">
        <v>0</v>
      </c>
      <c r="K150" s="5">
        <v>0</v>
      </c>
      <c r="L150" s="5">
        <v>0</v>
      </c>
      <c r="M150" s="5">
        <v>0</v>
      </c>
    </row>
    <row r="151" spans="1:13" x14ac:dyDescent="0.3">
      <c r="A151" s="3" t="s">
        <v>63</v>
      </c>
      <c r="B151" s="5">
        <v>0</v>
      </c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</row>
    <row r="152" spans="1:13" x14ac:dyDescent="0.3">
      <c r="A152" s="3" t="s">
        <v>64</v>
      </c>
      <c r="B152" s="5">
        <v>12630924</v>
      </c>
      <c r="C152" s="5">
        <v>11252889</v>
      </c>
      <c r="D152" s="5">
        <v>11500314</v>
      </c>
      <c r="E152" s="5">
        <v>27001446</v>
      </c>
      <c r="F152" s="5">
        <v>13104000</v>
      </c>
      <c r="G152" s="5">
        <v>10500000</v>
      </c>
      <c r="H152" s="5">
        <v>0</v>
      </c>
      <c r="I152" s="5">
        <v>0</v>
      </c>
      <c r="J152" s="5">
        <v>0</v>
      </c>
      <c r="K152" s="5">
        <v>0</v>
      </c>
      <c r="L152" s="5">
        <v>0</v>
      </c>
      <c r="M152" s="5">
        <v>0</v>
      </c>
    </row>
    <row r="153" spans="1:13" x14ac:dyDescent="0.3">
      <c r="A153" s="3" t="s">
        <v>65</v>
      </c>
      <c r="B153" s="5">
        <v>559745.4</v>
      </c>
      <c r="C153" s="5">
        <v>420900</v>
      </c>
      <c r="D153" s="5">
        <v>645380</v>
      </c>
      <c r="E153" s="5">
        <v>1066280</v>
      </c>
      <c r="F153" s="5">
        <v>729560</v>
      </c>
      <c r="G153" s="5">
        <v>1094340</v>
      </c>
      <c r="H153" s="5">
        <v>0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</row>
    <row r="154" spans="1:13" x14ac:dyDescent="0.3">
      <c r="A154" s="3" t="s">
        <v>66</v>
      </c>
      <c r="B154" s="5">
        <v>1112943.96</v>
      </c>
      <c r="C154" s="5">
        <v>387095.4</v>
      </c>
      <c r="D154" s="5">
        <v>527868</v>
      </c>
      <c r="E154" s="5">
        <v>1079730</v>
      </c>
      <c r="F154" s="5">
        <v>1295676</v>
      </c>
      <c r="G154" s="5">
        <v>311922</v>
      </c>
      <c r="H154" s="5">
        <v>0</v>
      </c>
      <c r="I154" s="5">
        <v>0</v>
      </c>
      <c r="J154" s="5">
        <v>0</v>
      </c>
      <c r="K154" s="5">
        <v>0</v>
      </c>
      <c r="L154" s="5">
        <v>0</v>
      </c>
      <c r="M154" s="5">
        <v>0</v>
      </c>
    </row>
    <row r="155" spans="1:13" x14ac:dyDescent="0.3">
      <c r="A155" s="3" t="s">
        <v>67</v>
      </c>
      <c r="B155" s="5">
        <v>0</v>
      </c>
      <c r="C155" s="5">
        <v>0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  <c r="I155" s="5">
        <v>0</v>
      </c>
      <c r="J155" s="5">
        <v>0</v>
      </c>
      <c r="K155" s="5">
        <v>0</v>
      </c>
      <c r="L155" s="5">
        <v>0</v>
      </c>
      <c r="M155" s="5">
        <v>0</v>
      </c>
    </row>
    <row r="156" spans="1:13" x14ac:dyDescent="0.3">
      <c r="A156" s="3" t="s">
        <v>68</v>
      </c>
      <c r="B156" s="5">
        <v>17847760</v>
      </c>
      <c r="C156" s="5">
        <v>14647472</v>
      </c>
      <c r="D156" s="5">
        <v>23263632</v>
      </c>
      <c r="E156" s="5">
        <v>19663308</v>
      </c>
      <c r="F156" s="5">
        <v>11724132</v>
      </c>
      <c r="G156" s="5">
        <v>24925320</v>
      </c>
      <c r="H156" s="5">
        <v>0</v>
      </c>
      <c r="I156" s="5">
        <v>0</v>
      </c>
      <c r="J156" s="5">
        <v>0</v>
      </c>
      <c r="K156" s="5">
        <v>0</v>
      </c>
      <c r="L156" s="5">
        <v>0</v>
      </c>
      <c r="M156" s="5">
        <v>0</v>
      </c>
    </row>
    <row r="157" spans="1:13" x14ac:dyDescent="0.3">
      <c r="A157" s="3" t="s">
        <v>81</v>
      </c>
      <c r="B157" s="5">
        <v>1141350</v>
      </c>
      <c r="C157" s="5">
        <v>412650</v>
      </c>
      <c r="D157" s="5">
        <v>2090760</v>
      </c>
      <c r="E157" s="5">
        <v>1764430</v>
      </c>
      <c r="F157" s="5">
        <v>930910</v>
      </c>
      <c r="G157" s="5">
        <v>697070</v>
      </c>
      <c r="H157" s="5">
        <v>0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</row>
    <row r="158" spans="1:13" x14ac:dyDescent="0.3">
      <c r="A158" s="3" t="s">
        <v>114</v>
      </c>
      <c r="B158" s="5">
        <v>0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  <c r="H158" s="5">
        <v>0</v>
      </c>
      <c r="I158" s="5">
        <v>0</v>
      </c>
      <c r="J158" s="5">
        <v>0</v>
      </c>
      <c r="K158" s="5">
        <v>0</v>
      </c>
      <c r="L158" s="5">
        <v>0</v>
      </c>
      <c r="M158" s="5">
        <v>0</v>
      </c>
    </row>
    <row r="159" spans="1:13" x14ac:dyDescent="0.3">
      <c r="A159" s="3" t="s">
        <v>115</v>
      </c>
      <c r="B159" s="5">
        <v>0</v>
      </c>
      <c r="C159" s="5">
        <v>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</row>
    <row r="160" spans="1:13" x14ac:dyDescent="0.3">
      <c r="A160" s="3" t="s">
        <v>116</v>
      </c>
      <c r="B160" s="5">
        <v>0</v>
      </c>
      <c r="C160" s="5">
        <v>0</v>
      </c>
      <c r="D160" s="5">
        <v>0</v>
      </c>
      <c r="E160" s="5">
        <v>0</v>
      </c>
      <c r="F160" s="5">
        <v>0</v>
      </c>
      <c r="G160" s="5">
        <v>0</v>
      </c>
      <c r="H160" s="5">
        <v>0</v>
      </c>
      <c r="I160" s="5">
        <v>0</v>
      </c>
      <c r="J160" s="5">
        <v>0</v>
      </c>
      <c r="K160" s="5">
        <v>0</v>
      </c>
      <c r="L160" s="5">
        <v>0</v>
      </c>
      <c r="M160" s="5">
        <v>0</v>
      </c>
    </row>
    <row r="161" spans="1:13" x14ac:dyDescent="0.3">
      <c r="A161" s="3" t="s">
        <v>117</v>
      </c>
      <c r="B161" s="5">
        <v>0</v>
      </c>
      <c r="C161" s="5">
        <v>0</v>
      </c>
      <c r="D161" s="5">
        <v>0</v>
      </c>
      <c r="E161" s="5">
        <v>0</v>
      </c>
      <c r="F161" s="5">
        <v>0</v>
      </c>
      <c r="G161" s="5">
        <v>0</v>
      </c>
      <c r="H161" s="5">
        <v>0</v>
      </c>
      <c r="I161" s="5">
        <v>0</v>
      </c>
      <c r="J161" s="5">
        <v>0</v>
      </c>
      <c r="K161" s="5">
        <v>0</v>
      </c>
      <c r="L161" s="5">
        <v>0</v>
      </c>
      <c r="M161" s="5">
        <v>0</v>
      </c>
    </row>
    <row r="162" spans="1:13" x14ac:dyDescent="0.3">
      <c r="A162" s="3" t="s">
        <v>118</v>
      </c>
      <c r="B162" s="5">
        <v>0</v>
      </c>
      <c r="C162" s="5">
        <v>0</v>
      </c>
      <c r="D162" s="5">
        <v>0</v>
      </c>
      <c r="E162" s="5">
        <v>0</v>
      </c>
      <c r="F162" s="5">
        <v>0</v>
      </c>
      <c r="G162" s="5">
        <v>0</v>
      </c>
      <c r="H162" s="5">
        <v>0</v>
      </c>
      <c r="I162" s="5">
        <v>0</v>
      </c>
      <c r="J162" s="5">
        <v>0</v>
      </c>
      <c r="K162" s="5">
        <v>0</v>
      </c>
      <c r="L162" s="5">
        <v>0</v>
      </c>
      <c r="M162" s="5">
        <v>0</v>
      </c>
    </row>
    <row r="163" spans="1:13" x14ac:dyDescent="0.3">
      <c r="A163" s="3" t="s">
        <v>119</v>
      </c>
      <c r="B163" s="5">
        <v>0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</row>
    <row r="164" spans="1:13" x14ac:dyDescent="0.3">
      <c r="A164" s="3" t="s">
        <v>120</v>
      </c>
      <c r="B164" s="5">
        <v>0</v>
      </c>
      <c r="C164" s="5">
        <v>0</v>
      </c>
      <c r="D164" s="5">
        <v>0</v>
      </c>
      <c r="E164" s="5">
        <v>0</v>
      </c>
      <c r="F164" s="5">
        <v>0</v>
      </c>
      <c r="G164" s="5">
        <v>0</v>
      </c>
      <c r="H164" s="5">
        <v>0</v>
      </c>
      <c r="I164" s="5">
        <v>0</v>
      </c>
      <c r="J164" s="5">
        <v>0</v>
      </c>
      <c r="K164" s="5">
        <v>0</v>
      </c>
      <c r="L164" s="5">
        <v>0</v>
      </c>
      <c r="M164" s="5">
        <v>0</v>
      </c>
    </row>
    <row r="165" spans="1:13" x14ac:dyDescent="0.3">
      <c r="A165" s="3" t="s">
        <v>121</v>
      </c>
      <c r="B165" s="5">
        <v>0</v>
      </c>
      <c r="C165" s="5">
        <v>0</v>
      </c>
      <c r="D165" s="5">
        <v>0</v>
      </c>
      <c r="E165" s="5">
        <v>0</v>
      </c>
      <c r="F165" s="5">
        <v>0</v>
      </c>
      <c r="G165" s="5">
        <v>0</v>
      </c>
      <c r="H165" s="5">
        <v>0</v>
      </c>
      <c r="I165" s="5">
        <v>0</v>
      </c>
      <c r="J165" s="5">
        <v>0</v>
      </c>
      <c r="K165" s="5">
        <v>0</v>
      </c>
      <c r="L165" s="5">
        <v>0</v>
      </c>
      <c r="M165" s="5">
        <v>0</v>
      </c>
    </row>
    <row r="166" spans="1:13" x14ac:dyDescent="0.3">
      <c r="A166" s="3" t="s">
        <v>77</v>
      </c>
      <c r="B166" s="5">
        <v>0</v>
      </c>
      <c r="C166" s="5">
        <v>0</v>
      </c>
      <c r="D166" s="5">
        <v>0</v>
      </c>
      <c r="E166" s="5">
        <v>0</v>
      </c>
      <c r="F166" s="5">
        <v>0</v>
      </c>
      <c r="G166" s="5">
        <v>0</v>
      </c>
      <c r="H166" s="5">
        <v>0</v>
      </c>
      <c r="I166" s="5">
        <v>0</v>
      </c>
      <c r="J166" s="5">
        <v>0</v>
      </c>
      <c r="K166" s="5">
        <v>0</v>
      </c>
      <c r="L166" s="5">
        <v>0</v>
      </c>
      <c r="M166" s="5">
        <v>0</v>
      </c>
    </row>
    <row r="167" spans="1:13" x14ac:dyDescent="0.3">
      <c r="A167" s="3" t="s">
        <v>122</v>
      </c>
      <c r="B167" s="5">
        <v>0</v>
      </c>
      <c r="C167" s="5">
        <v>0</v>
      </c>
      <c r="D167" s="5">
        <v>0</v>
      </c>
      <c r="E167" s="5">
        <v>0</v>
      </c>
      <c r="F167" s="5">
        <v>0</v>
      </c>
      <c r="G167" s="5">
        <v>0</v>
      </c>
      <c r="H167" s="5">
        <v>0</v>
      </c>
      <c r="I167" s="5">
        <v>0</v>
      </c>
      <c r="J167" s="5">
        <v>0</v>
      </c>
      <c r="K167" s="5">
        <v>0</v>
      </c>
      <c r="L167" s="5">
        <v>0</v>
      </c>
      <c r="M167" s="5">
        <v>0</v>
      </c>
    </row>
    <row r="168" spans="1:13" x14ac:dyDescent="0.3">
      <c r="A168" s="3" t="s">
        <v>79</v>
      </c>
      <c r="B168" s="5">
        <v>0</v>
      </c>
      <c r="C168" s="5">
        <v>0</v>
      </c>
      <c r="D168" s="5">
        <v>0</v>
      </c>
      <c r="E168" s="5">
        <v>0</v>
      </c>
      <c r="F168" s="5">
        <v>0</v>
      </c>
      <c r="G168" s="5">
        <v>0</v>
      </c>
      <c r="H168" s="5">
        <v>0</v>
      </c>
      <c r="I168" s="5">
        <v>0</v>
      </c>
      <c r="J168" s="5">
        <v>0</v>
      </c>
      <c r="K168" s="5">
        <v>0</v>
      </c>
      <c r="L168" s="5">
        <v>0</v>
      </c>
      <c r="M168" s="5">
        <v>0</v>
      </c>
    </row>
    <row r="169" spans="1:13" x14ac:dyDescent="0.3">
      <c r="A169" s="3" t="s">
        <v>80</v>
      </c>
      <c r="B169" s="5">
        <v>0</v>
      </c>
      <c r="C169" s="5">
        <v>0</v>
      </c>
      <c r="D169" s="5">
        <v>0</v>
      </c>
      <c r="E169" s="5">
        <v>0</v>
      </c>
      <c r="F169" s="5">
        <v>0</v>
      </c>
      <c r="G169" s="5">
        <v>0</v>
      </c>
      <c r="H169" s="5">
        <v>0</v>
      </c>
      <c r="I169" s="5">
        <v>0</v>
      </c>
      <c r="J169" s="5">
        <v>0</v>
      </c>
      <c r="K169" s="5">
        <v>0</v>
      </c>
      <c r="L169" s="5">
        <v>0</v>
      </c>
      <c r="M169" s="5">
        <v>0</v>
      </c>
    </row>
    <row r="170" spans="1:13" x14ac:dyDescent="0.3">
      <c r="A170" s="3" t="s">
        <v>82</v>
      </c>
      <c r="B170" s="5">
        <v>0</v>
      </c>
      <c r="C170" s="5">
        <v>0</v>
      </c>
      <c r="D170" s="5">
        <v>0</v>
      </c>
      <c r="E170" s="5">
        <v>0</v>
      </c>
      <c r="F170" s="5">
        <v>0</v>
      </c>
      <c r="G170" s="5">
        <v>0</v>
      </c>
      <c r="H170" s="5">
        <v>0</v>
      </c>
      <c r="I170" s="5">
        <v>0</v>
      </c>
      <c r="J170" s="5">
        <v>0</v>
      </c>
      <c r="K170" s="5">
        <v>0</v>
      </c>
      <c r="L170" s="5">
        <v>0</v>
      </c>
      <c r="M170" s="5">
        <v>0</v>
      </c>
    </row>
    <row r="171" spans="1:13" x14ac:dyDescent="0.3">
      <c r="A171" s="3" t="s">
        <v>123</v>
      </c>
      <c r="B171" s="5">
        <v>0</v>
      </c>
      <c r="C171" s="5">
        <v>185100</v>
      </c>
      <c r="D171" s="5">
        <v>431900</v>
      </c>
      <c r="E171" s="5">
        <v>234460</v>
      </c>
      <c r="F171" s="5">
        <v>658050</v>
      </c>
      <c r="G171" s="5">
        <v>520250</v>
      </c>
      <c r="H171" s="5">
        <v>0</v>
      </c>
      <c r="I171" s="5">
        <v>0</v>
      </c>
      <c r="J171" s="5">
        <v>0</v>
      </c>
      <c r="K171" s="5">
        <v>0</v>
      </c>
      <c r="L171" s="5">
        <v>0</v>
      </c>
      <c r="M171" s="5">
        <v>0</v>
      </c>
    </row>
    <row r="172" spans="1:13" x14ac:dyDescent="0.3">
      <c r="A172" s="3" t="s">
        <v>84</v>
      </c>
      <c r="B172" s="5">
        <v>0</v>
      </c>
      <c r="C172" s="5">
        <v>319800</v>
      </c>
      <c r="D172" s="5">
        <v>196800</v>
      </c>
      <c r="E172" s="5">
        <v>68123.100000000006</v>
      </c>
      <c r="F172" s="5">
        <v>321692.7</v>
      </c>
      <c r="G172" s="5">
        <v>344400.42</v>
      </c>
      <c r="H172" s="5">
        <v>0</v>
      </c>
      <c r="I172" s="5">
        <v>0</v>
      </c>
      <c r="J172" s="5">
        <v>0</v>
      </c>
      <c r="K172" s="5">
        <v>0</v>
      </c>
      <c r="L172" s="5">
        <v>0</v>
      </c>
      <c r="M172" s="5">
        <v>0</v>
      </c>
    </row>
    <row r="173" spans="1:13" x14ac:dyDescent="0.3">
      <c r="A173" s="3" t="s">
        <v>85</v>
      </c>
      <c r="B173" s="5">
        <v>0</v>
      </c>
      <c r="C173" s="5">
        <v>1026000</v>
      </c>
      <c r="D173" s="5">
        <v>874000</v>
      </c>
      <c r="E173" s="5">
        <v>0</v>
      </c>
      <c r="F173" s="5">
        <v>0</v>
      </c>
      <c r="G173" s="5">
        <v>0</v>
      </c>
      <c r="H173" s="5">
        <v>0</v>
      </c>
      <c r="I173" s="5">
        <v>0</v>
      </c>
      <c r="J173" s="5">
        <v>0</v>
      </c>
      <c r="K173" s="5">
        <v>0</v>
      </c>
      <c r="L173" s="5">
        <v>0</v>
      </c>
      <c r="M173" s="5">
        <v>0</v>
      </c>
    </row>
    <row r="174" spans="1:13" x14ac:dyDescent="0.3">
      <c r="A174" s="3" t="s">
        <v>86</v>
      </c>
      <c r="B174" s="5">
        <v>0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  <c r="H174" s="5">
        <v>0</v>
      </c>
      <c r="I174" s="5">
        <v>0</v>
      </c>
      <c r="J174" s="5">
        <v>0</v>
      </c>
      <c r="K174" s="5">
        <v>0</v>
      </c>
      <c r="L174" s="5">
        <v>0</v>
      </c>
      <c r="M174" s="5">
        <v>0</v>
      </c>
    </row>
    <row r="175" spans="1:13" x14ac:dyDescent="0.3">
      <c r="A175" s="3" t="s">
        <v>87</v>
      </c>
      <c r="B175" s="5">
        <v>0</v>
      </c>
      <c r="C175" s="5">
        <v>0</v>
      </c>
      <c r="D175" s="5">
        <v>0</v>
      </c>
      <c r="E175" s="5">
        <v>0</v>
      </c>
      <c r="F175" s="5">
        <v>0</v>
      </c>
      <c r="G175" s="5">
        <v>0</v>
      </c>
      <c r="H175" s="5">
        <v>0</v>
      </c>
      <c r="I175" s="5">
        <v>0</v>
      </c>
      <c r="J175" s="5">
        <v>0</v>
      </c>
      <c r="K175" s="5">
        <v>0</v>
      </c>
      <c r="L175" s="5">
        <v>0</v>
      </c>
      <c r="M175" s="5">
        <v>0</v>
      </c>
    </row>
    <row r="176" spans="1:13" x14ac:dyDescent="0.3">
      <c r="A176" s="3" t="s">
        <v>13</v>
      </c>
      <c r="B176" s="5">
        <v>0</v>
      </c>
      <c r="C176" s="5">
        <v>0</v>
      </c>
      <c r="D176" s="5">
        <v>0</v>
      </c>
      <c r="E176" s="5">
        <v>0</v>
      </c>
      <c r="F176" s="5">
        <v>0</v>
      </c>
      <c r="G176" s="5">
        <v>0</v>
      </c>
      <c r="H176" s="5">
        <v>0</v>
      </c>
      <c r="I176" s="5">
        <v>0</v>
      </c>
      <c r="J176" s="5">
        <v>0</v>
      </c>
      <c r="K176" s="5">
        <v>0</v>
      </c>
      <c r="L176" s="5">
        <v>0</v>
      </c>
      <c r="M176" s="5">
        <v>0</v>
      </c>
    </row>
    <row r="177" spans="1:13" x14ac:dyDescent="0.3">
      <c r="A177" s="3" t="s">
        <v>88</v>
      </c>
      <c r="B177" s="5">
        <v>0</v>
      </c>
      <c r="C177" s="5">
        <v>0</v>
      </c>
      <c r="D177" s="5">
        <v>0</v>
      </c>
      <c r="E177" s="5">
        <v>0</v>
      </c>
      <c r="F177" s="5">
        <v>0</v>
      </c>
      <c r="G177" s="5">
        <v>0</v>
      </c>
      <c r="H177" s="5">
        <v>0</v>
      </c>
      <c r="I177" s="5">
        <v>0</v>
      </c>
      <c r="J177" s="5">
        <v>0</v>
      </c>
      <c r="K177" s="5">
        <v>0</v>
      </c>
      <c r="L177" s="5">
        <v>0</v>
      </c>
      <c r="M177" s="5">
        <v>0</v>
      </c>
    </row>
    <row r="178" spans="1:13" x14ac:dyDescent="0.3">
      <c r="A178" s="3" t="s">
        <v>89</v>
      </c>
      <c r="B178" s="5">
        <v>0</v>
      </c>
      <c r="C178" s="5">
        <v>0</v>
      </c>
      <c r="D178" s="5">
        <v>0</v>
      </c>
      <c r="E178" s="5">
        <v>0</v>
      </c>
      <c r="F178" s="5">
        <v>0</v>
      </c>
      <c r="G178" s="5">
        <v>0</v>
      </c>
      <c r="H178" s="5">
        <v>0</v>
      </c>
      <c r="I178" s="5">
        <v>0</v>
      </c>
      <c r="J178" s="5">
        <v>0</v>
      </c>
      <c r="K178" s="5">
        <v>0</v>
      </c>
      <c r="L178" s="5">
        <v>0</v>
      </c>
      <c r="M178" s="5">
        <v>0</v>
      </c>
    </row>
    <row r="179" spans="1:13" x14ac:dyDescent="0.3">
      <c r="A179" s="3" t="s">
        <v>90</v>
      </c>
      <c r="B179" s="5">
        <v>15343348.35</v>
      </c>
      <c r="C179" s="5">
        <v>5285746.8</v>
      </c>
      <c r="D179" s="5">
        <v>32962504.350000001</v>
      </c>
      <c r="E179" s="5">
        <v>10160379.960000001</v>
      </c>
      <c r="F179" s="5">
        <v>20819969.34</v>
      </c>
      <c r="G179" s="5">
        <v>33858144.780000001</v>
      </c>
      <c r="H179" s="5">
        <v>0</v>
      </c>
      <c r="I179" s="5">
        <v>0</v>
      </c>
      <c r="J179" s="5">
        <v>0</v>
      </c>
      <c r="K179" s="5">
        <v>0</v>
      </c>
      <c r="L179" s="5">
        <v>0</v>
      </c>
      <c r="M179" s="5">
        <v>0</v>
      </c>
    </row>
    <row r="180" spans="1:13" x14ac:dyDescent="0.3">
      <c r="A180" s="3" t="s">
        <v>91</v>
      </c>
      <c r="B180" s="5">
        <v>0</v>
      </c>
      <c r="C180" s="5">
        <v>0</v>
      </c>
      <c r="D180" s="5">
        <v>0</v>
      </c>
      <c r="E180" s="5">
        <v>0</v>
      </c>
      <c r="F180" s="5">
        <v>0</v>
      </c>
      <c r="G180" s="5">
        <v>0</v>
      </c>
      <c r="H180" s="5">
        <v>0</v>
      </c>
      <c r="I180" s="5">
        <v>0</v>
      </c>
      <c r="J180" s="5">
        <v>0</v>
      </c>
      <c r="K180" s="5">
        <v>0</v>
      </c>
      <c r="L180" s="5">
        <v>0</v>
      </c>
      <c r="M180" s="5">
        <v>0</v>
      </c>
    </row>
    <row r="181" spans="1:13" x14ac:dyDescent="0.3">
      <c r="A181" s="3" t="s">
        <v>75</v>
      </c>
      <c r="B181" s="5">
        <v>0</v>
      </c>
      <c r="C181" s="5">
        <v>0</v>
      </c>
      <c r="D181" s="5">
        <v>0</v>
      </c>
      <c r="E181" s="5">
        <v>0</v>
      </c>
      <c r="F181" s="5">
        <v>0</v>
      </c>
      <c r="G181" s="5">
        <v>0</v>
      </c>
      <c r="H181" s="5">
        <v>0</v>
      </c>
      <c r="I181" s="5">
        <v>0</v>
      </c>
      <c r="J181" s="5">
        <v>0</v>
      </c>
      <c r="K181" s="5">
        <v>0</v>
      </c>
      <c r="L181" s="5">
        <v>0</v>
      </c>
      <c r="M181" s="5">
        <v>0</v>
      </c>
    </row>
    <row r="182" spans="1:13" x14ac:dyDescent="0.3">
      <c r="A182" s="3" t="s">
        <v>92</v>
      </c>
      <c r="B182" s="5">
        <v>0</v>
      </c>
      <c r="C182" s="5">
        <v>0</v>
      </c>
      <c r="D182" s="5">
        <v>0</v>
      </c>
      <c r="E182" s="5">
        <v>0</v>
      </c>
      <c r="F182" s="5">
        <v>0</v>
      </c>
      <c r="G182" s="5">
        <v>0</v>
      </c>
      <c r="H182" s="5">
        <v>0</v>
      </c>
      <c r="I182" s="5">
        <v>0</v>
      </c>
      <c r="J182" s="5">
        <v>0</v>
      </c>
      <c r="K182" s="5">
        <v>0</v>
      </c>
      <c r="L182" s="5">
        <v>0</v>
      </c>
      <c r="M182" s="5">
        <v>0</v>
      </c>
    </row>
    <row r="183" spans="1:13" x14ac:dyDescent="0.3">
      <c r="A183" s="3" t="s">
        <v>93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  <c r="H183" s="5">
        <v>0</v>
      </c>
      <c r="I183" s="5">
        <v>0</v>
      </c>
      <c r="J183" s="5">
        <v>0</v>
      </c>
      <c r="K183" s="5">
        <v>0</v>
      </c>
      <c r="L183" s="5">
        <v>0</v>
      </c>
      <c r="M183" s="5">
        <v>0</v>
      </c>
    </row>
    <row r="184" spans="1:13" x14ac:dyDescent="0.3">
      <c r="A184" s="3" t="s">
        <v>94</v>
      </c>
      <c r="B184" s="5">
        <v>0</v>
      </c>
      <c r="C184" s="5">
        <v>0</v>
      </c>
      <c r="D184" s="5">
        <v>0</v>
      </c>
      <c r="E184" s="5">
        <v>0</v>
      </c>
      <c r="F184" s="5">
        <v>0</v>
      </c>
      <c r="G184" s="5">
        <v>0</v>
      </c>
      <c r="H184" s="5">
        <v>0</v>
      </c>
      <c r="I184" s="5">
        <v>0</v>
      </c>
      <c r="J184" s="5">
        <v>0</v>
      </c>
      <c r="K184" s="5">
        <v>0</v>
      </c>
      <c r="L184" s="5">
        <v>0</v>
      </c>
      <c r="M184" s="5">
        <v>0</v>
      </c>
    </row>
    <row r="185" spans="1:13" x14ac:dyDescent="0.3">
      <c r="A185" s="3" t="s">
        <v>95</v>
      </c>
      <c r="B185" s="5">
        <v>0</v>
      </c>
      <c r="C185" s="5">
        <v>30218.18</v>
      </c>
      <c r="D185" s="5">
        <v>0</v>
      </c>
      <c r="E185" s="5">
        <v>30218.18</v>
      </c>
      <c r="F185" s="5">
        <v>0</v>
      </c>
      <c r="G185" s="5">
        <v>302181.8</v>
      </c>
      <c r="H185" s="5">
        <v>0</v>
      </c>
      <c r="I185" s="5">
        <v>0</v>
      </c>
      <c r="J185" s="5">
        <v>0</v>
      </c>
      <c r="K185" s="5">
        <v>0</v>
      </c>
      <c r="L185" s="5">
        <v>0</v>
      </c>
      <c r="M185" s="5">
        <v>0</v>
      </c>
    </row>
    <row r="186" spans="1:13" x14ac:dyDescent="0.3">
      <c r="A186" s="3" t="s">
        <v>124</v>
      </c>
      <c r="B186" s="5">
        <v>0</v>
      </c>
      <c r="C186" s="5">
        <v>2500</v>
      </c>
      <c r="D186" s="5">
        <v>225000</v>
      </c>
      <c r="E186" s="5">
        <v>0</v>
      </c>
      <c r="F186" s="5">
        <v>0</v>
      </c>
      <c r="G186" s="5">
        <v>420000</v>
      </c>
      <c r="H186" s="5">
        <v>0</v>
      </c>
      <c r="I186" s="5">
        <v>0</v>
      </c>
      <c r="J186" s="5">
        <v>0</v>
      </c>
      <c r="K186" s="5">
        <v>0</v>
      </c>
      <c r="L186" s="5">
        <v>0</v>
      </c>
      <c r="M186" s="5">
        <v>0</v>
      </c>
    </row>
    <row r="187" spans="1:13" x14ac:dyDescent="0.3">
      <c r="A187" s="3" t="s">
        <v>97</v>
      </c>
      <c r="B187" s="5">
        <v>450000</v>
      </c>
      <c r="C187" s="5">
        <v>0</v>
      </c>
      <c r="D187" s="5">
        <v>0</v>
      </c>
      <c r="E187" s="5">
        <v>0</v>
      </c>
      <c r="F187" s="5">
        <v>0</v>
      </c>
      <c r="G187" s="5">
        <v>0</v>
      </c>
      <c r="H187" s="5">
        <v>0</v>
      </c>
      <c r="I187" s="5">
        <v>0</v>
      </c>
      <c r="J187" s="5">
        <v>0</v>
      </c>
      <c r="K187" s="5">
        <v>0</v>
      </c>
      <c r="L187" s="5">
        <v>0</v>
      </c>
      <c r="M187" s="5">
        <v>0</v>
      </c>
    </row>
    <row r="188" spans="1:13" x14ac:dyDescent="0.3">
      <c r="A188" s="3" t="s">
        <v>98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  <c r="H188" s="5">
        <v>0</v>
      </c>
      <c r="I188" s="5">
        <v>0</v>
      </c>
      <c r="J188" s="5">
        <v>0</v>
      </c>
      <c r="K188" s="5">
        <v>0</v>
      </c>
      <c r="L188" s="5">
        <v>0</v>
      </c>
      <c r="M188" s="5">
        <v>0</v>
      </c>
    </row>
    <row r="189" spans="1:13" x14ac:dyDescent="0.3">
      <c r="A189" s="3" t="s">
        <v>99</v>
      </c>
      <c r="B189" s="5">
        <v>0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</row>
    <row r="190" spans="1:13" x14ac:dyDescent="0.3">
      <c r="A190" s="3" t="s">
        <v>100</v>
      </c>
      <c r="B190" s="5">
        <v>0</v>
      </c>
      <c r="C190" s="5">
        <v>0</v>
      </c>
      <c r="D190" s="5">
        <v>0</v>
      </c>
      <c r="E190" s="5">
        <v>0</v>
      </c>
      <c r="F190" s="5">
        <v>0</v>
      </c>
      <c r="G190" s="5">
        <v>0</v>
      </c>
      <c r="H190" s="5">
        <v>0</v>
      </c>
      <c r="I190" s="5">
        <v>0</v>
      </c>
      <c r="J190" s="5">
        <v>0</v>
      </c>
      <c r="K190" s="5">
        <v>0</v>
      </c>
      <c r="L190" s="5">
        <v>0</v>
      </c>
      <c r="M190" s="5">
        <v>0</v>
      </c>
    </row>
    <row r="191" spans="1:13" x14ac:dyDescent="0.3">
      <c r="A191" s="3" t="s">
        <v>101</v>
      </c>
      <c r="B191" s="5">
        <v>0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  <c r="H191" s="5">
        <v>0</v>
      </c>
      <c r="I191" s="5">
        <v>0</v>
      </c>
      <c r="J191" s="5">
        <v>0</v>
      </c>
      <c r="K191" s="5">
        <v>0</v>
      </c>
      <c r="L191" s="5">
        <v>0</v>
      </c>
      <c r="M191" s="5">
        <v>0</v>
      </c>
    </row>
    <row r="192" spans="1:13" x14ac:dyDescent="0.3">
      <c r="A192" s="3" t="s">
        <v>102</v>
      </c>
      <c r="B192" s="5">
        <v>0</v>
      </c>
      <c r="C192" s="5">
        <v>0</v>
      </c>
      <c r="D192" s="5">
        <v>0</v>
      </c>
      <c r="E192" s="5">
        <v>0</v>
      </c>
      <c r="F192" s="5">
        <v>0</v>
      </c>
      <c r="G192" s="5">
        <v>0</v>
      </c>
      <c r="H192" s="5">
        <v>0</v>
      </c>
      <c r="I192" s="5">
        <v>0</v>
      </c>
      <c r="J192" s="5">
        <v>0</v>
      </c>
      <c r="K192" s="5">
        <v>0</v>
      </c>
      <c r="L192" s="5">
        <v>0</v>
      </c>
      <c r="M192" s="5">
        <v>0</v>
      </c>
    </row>
    <row r="193" spans="1:13" x14ac:dyDescent="0.3">
      <c r="A193" s="3" t="s">
        <v>103</v>
      </c>
      <c r="B193" s="5">
        <v>0</v>
      </c>
      <c r="C193" s="5">
        <v>3504178.34</v>
      </c>
      <c r="D193" s="5">
        <v>3466600.02</v>
      </c>
      <c r="E193" s="5">
        <v>7891447.2000000002</v>
      </c>
      <c r="F193" s="5">
        <v>3072027.66</v>
      </c>
      <c r="G193" s="5">
        <v>4509398.4000000004</v>
      </c>
      <c r="H193" s="5">
        <v>0</v>
      </c>
      <c r="I193" s="5">
        <v>0</v>
      </c>
      <c r="J193" s="5">
        <v>0</v>
      </c>
      <c r="K193" s="5">
        <v>0</v>
      </c>
      <c r="L193" s="5">
        <v>0</v>
      </c>
      <c r="M193" s="5">
        <v>0</v>
      </c>
    </row>
    <row r="194" spans="1:13" customFormat="1" ht="14.5" x14ac:dyDescent="0.35">
      <c r="A194" s="6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</row>
    <row r="195" spans="1:13" x14ac:dyDescent="0.3">
      <c r="A195" s="3" t="s">
        <v>125</v>
      </c>
      <c r="B195" s="5">
        <f>ROUND(SUBTOTAL(9, B100:B194), 5)</f>
        <v>121466548.33</v>
      </c>
      <c r="C195" s="5">
        <f>ROUND(SUBTOTAL(9, C100:C194), 5)</f>
        <v>102767888.76000001</v>
      </c>
      <c r="D195" s="5">
        <f>ROUND(SUBTOTAL(9, D100:D194), 5)</f>
        <v>124336431.15000001</v>
      </c>
      <c r="E195" s="5">
        <f>ROUND(SUBTOTAL(9, E100:E194), 5)</f>
        <v>145964955.31999999</v>
      </c>
      <c r="F195" s="5">
        <f>ROUND(SUBTOTAL(9, F100:F194), 5)</f>
        <v>92487612.390000001</v>
      </c>
      <c r="G195" s="5">
        <f>ROUND(SUBTOTAL(9, G100:G194), 5)</f>
        <v>137049340.74000001</v>
      </c>
      <c r="H195" s="5">
        <f>ROUND(SUBTOTAL(9, H100:H194), 5)</f>
        <v>0</v>
      </c>
      <c r="I195" s="5">
        <f>ROUND(SUBTOTAL(9, I100:I194), 5)</f>
        <v>0</v>
      </c>
      <c r="J195" s="5">
        <f>ROUND(SUBTOTAL(9, J100:J194), 5)</f>
        <v>0</v>
      </c>
      <c r="K195" s="5">
        <f>ROUND(SUBTOTAL(9, K100:K194), 5)</f>
        <v>0</v>
      </c>
      <c r="L195" s="5">
        <f>ROUND(SUBTOTAL(9, L100:L194), 5)</f>
        <v>0</v>
      </c>
      <c r="M195" s="5">
        <f>ROUND(SUBTOTAL(9, M100:M194), 5)</f>
        <v>0</v>
      </c>
    </row>
    <row r="196" spans="1:13" customFormat="1" ht="14.5" x14ac:dyDescent="0.35">
      <c r="A196" s="6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</row>
    <row r="197" spans="1:13" x14ac:dyDescent="0.3">
      <c r="A197" s="3" t="s">
        <v>126</v>
      </c>
      <c r="B197" s="5">
        <f>-(ROUND(-B98+B195, 5))</f>
        <v>-11575293.6</v>
      </c>
      <c r="C197" s="5">
        <f>-(ROUND(-C98+C195, 5))</f>
        <v>15064006.789999999</v>
      </c>
      <c r="D197" s="5">
        <f>-(ROUND(-D98+D195, 5))</f>
        <v>32550856.530000001</v>
      </c>
      <c r="E197" s="5">
        <f>-(ROUND(-E98+E195, 5))</f>
        <v>22740761.960000001</v>
      </c>
      <c r="F197" s="5">
        <f>-(ROUND(-F98+F195, 5))</f>
        <v>15011536.68</v>
      </c>
      <c r="G197" s="5">
        <f>-(ROUND(-G98+G195, 5))</f>
        <v>43266799.229999997</v>
      </c>
      <c r="H197" s="5">
        <f>-(ROUND(-H98+H195, 5))</f>
        <v>0</v>
      </c>
      <c r="I197" s="5">
        <f>-(ROUND(-I98+I195, 5))</f>
        <v>0</v>
      </c>
      <c r="J197" s="5">
        <f>-(ROUND(-J98+J195, 5))</f>
        <v>0</v>
      </c>
      <c r="K197" s="5">
        <f>-(ROUND(-K98+K195, 5))</f>
        <v>0</v>
      </c>
      <c r="L197" s="5">
        <f>-(ROUND(-L98+L195, 5))</f>
        <v>0</v>
      </c>
      <c r="M197" s="5">
        <f>-(ROUND(-M98+M195, 5))</f>
        <v>0</v>
      </c>
    </row>
    <row r="198" spans="1:13" customFormat="1" ht="14.5" x14ac:dyDescent="0.35">
      <c r="A198" s="6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</row>
    <row r="199" spans="1:13" x14ac:dyDescent="0.3">
      <c r="A199" s="3" t="s">
        <v>127</v>
      </c>
    </row>
    <row r="200" spans="1:13" x14ac:dyDescent="0.3">
      <c r="A200" s="3" t="s">
        <v>128</v>
      </c>
      <c r="B200" s="5">
        <v>0</v>
      </c>
      <c r="C200" s="5">
        <v>0</v>
      </c>
      <c r="D200" s="5">
        <v>0</v>
      </c>
      <c r="E200" s="5">
        <v>0</v>
      </c>
      <c r="F200" s="5">
        <v>0</v>
      </c>
      <c r="G200" s="5">
        <v>0</v>
      </c>
      <c r="H200" s="5">
        <v>0</v>
      </c>
      <c r="I200" s="5">
        <v>0</v>
      </c>
      <c r="J200" s="5">
        <v>0</v>
      </c>
      <c r="K200" s="5">
        <v>0</v>
      </c>
      <c r="L200" s="5">
        <v>0</v>
      </c>
      <c r="M200" s="5">
        <v>0</v>
      </c>
    </row>
    <row r="201" spans="1:13" x14ac:dyDescent="0.3">
      <c r="A201" s="3" t="s">
        <v>129</v>
      </c>
      <c r="B201" s="5">
        <v>0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  <c r="H201" s="5">
        <v>0</v>
      </c>
      <c r="I201" s="5">
        <v>0</v>
      </c>
      <c r="J201" s="5">
        <v>0</v>
      </c>
      <c r="K201" s="5">
        <v>0</v>
      </c>
      <c r="L201" s="5">
        <v>0</v>
      </c>
      <c r="M201" s="5">
        <v>0</v>
      </c>
    </row>
    <row r="202" spans="1:13" x14ac:dyDescent="0.3">
      <c r="A202" s="3" t="s">
        <v>130</v>
      </c>
      <c r="B202" s="5">
        <v>0</v>
      </c>
      <c r="C202" s="5">
        <v>0</v>
      </c>
      <c r="D202" s="5">
        <v>11000</v>
      </c>
      <c r="E202" s="5">
        <v>0</v>
      </c>
      <c r="F202" s="5">
        <v>0</v>
      </c>
      <c r="G202" s="5">
        <v>0</v>
      </c>
      <c r="H202" s="5">
        <v>0</v>
      </c>
      <c r="I202" s="5">
        <v>0</v>
      </c>
      <c r="J202" s="5">
        <v>0</v>
      </c>
      <c r="K202" s="5">
        <v>0</v>
      </c>
      <c r="L202" s="5">
        <v>0</v>
      </c>
      <c r="M202" s="5">
        <v>0</v>
      </c>
    </row>
    <row r="203" spans="1:13" x14ac:dyDescent="0.3">
      <c r="A203" s="3" t="s">
        <v>131</v>
      </c>
      <c r="B203" s="5">
        <v>0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  <c r="H203" s="5">
        <v>0</v>
      </c>
      <c r="I203" s="5">
        <v>0</v>
      </c>
      <c r="J203" s="5">
        <v>0</v>
      </c>
      <c r="K203" s="5">
        <v>0</v>
      </c>
      <c r="L203" s="5">
        <v>0</v>
      </c>
      <c r="M203" s="5">
        <v>0</v>
      </c>
    </row>
    <row r="204" spans="1:13" x14ac:dyDescent="0.3">
      <c r="A204" s="3" t="s">
        <v>132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  <c r="H204" s="5">
        <v>0</v>
      </c>
      <c r="I204" s="5">
        <v>0</v>
      </c>
      <c r="J204" s="5">
        <v>0</v>
      </c>
      <c r="K204" s="5">
        <v>0</v>
      </c>
      <c r="L204" s="5">
        <v>0</v>
      </c>
      <c r="M204" s="5">
        <v>0</v>
      </c>
    </row>
    <row r="205" spans="1:13" x14ac:dyDescent="0.3">
      <c r="A205" s="3" t="s">
        <v>133</v>
      </c>
      <c r="B205" s="5">
        <v>690100</v>
      </c>
      <c r="C205" s="5">
        <v>230000</v>
      </c>
      <c r="D205" s="5">
        <v>407400</v>
      </c>
      <c r="E205" s="5">
        <v>440000</v>
      </c>
      <c r="F205" s="5">
        <v>0</v>
      </c>
      <c r="G205" s="5">
        <v>0</v>
      </c>
      <c r="H205" s="5">
        <v>0</v>
      </c>
      <c r="I205" s="5">
        <v>0</v>
      </c>
      <c r="J205" s="5">
        <v>0</v>
      </c>
      <c r="K205" s="5">
        <v>0</v>
      </c>
      <c r="L205" s="5">
        <v>0</v>
      </c>
      <c r="M205" s="5">
        <v>0</v>
      </c>
    </row>
    <row r="206" spans="1:13" x14ac:dyDescent="0.3">
      <c r="A206" s="3" t="s">
        <v>134</v>
      </c>
      <c r="B206" s="5">
        <v>58000</v>
      </c>
      <c r="C206" s="5">
        <v>57000</v>
      </c>
      <c r="D206" s="5">
        <v>54250</v>
      </c>
      <c r="E206" s="5">
        <v>33000</v>
      </c>
      <c r="F206" s="5">
        <v>0</v>
      </c>
      <c r="G206" s="5">
        <v>0</v>
      </c>
      <c r="H206" s="5">
        <v>0</v>
      </c>
      <c r="I206" s="5">
        <v>0</v>
      </c>
      <c r="J206" s="5">
        <v>0</v>
      </c>
      <c r="K206" s="5">
        <v>0</v>
      </c>
      <c r="L206" s="5">
        <v>0</v>
      </c>
      <c r="M206" s="5">
        <v>0</v>
      </c>
    </row>
    <row r="207" spans="1:13" x14ac:dyDescent="0.3">
      <c r="A207" s="3" t="s">
        <v>135</v>
      </c>
      <c r="B207" s="5">
        <v>0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  <c r="H207" s="5">
        <v>0</v>
      </c>
      <c r="I207" s="5">
        <v>0</v>
      </c>
      <c r="J207" s="5">
        <v>0</v>
      </c>
      <c r="K207" s="5">
        <v>0</v>
      </c>
      <c r="L207" s="5">
        <v>0</v>
      </c>
      <c r="M207" s="5">
        <v>0</v>
      </c>
    </row>
    <row r="208" spans="1:13" x14ac:dyDescent="0.3">
      <c r="A208" s="3" t="s">
        <v>136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  <c r="H208" s="5">
        <v>0</v>
      </c>
      <c r="I208" s="5">
        <v>0</v>
      </c>
      <c r="J208" s="5">
        <v>0</v>
      </c>
      <c r="K208" s="5">
        <v>0</v>
      </c>
      <c r="L208" s="5">
        <v>0</v>
      </c>
      <c r="M208" s="5">
        <v>0</v>
      </c>
    </row>
    <row r="209" spans="1:13" x14ac:dyDescent="0.3">
      <c r="A209" s="3" t="s">
        <v>137</v>
      </c>
      <c r="B209" s="5">
        <v>12038.63</v>
      </c>
      <c r="C209" s="5">
        <v>2223.6999999999998</v>
      </c>
      <c r="D209" s="5">
        <v>4713.0200000000004</v>
      </c>
      <c r="E209" s="5">
        <v>0</v>
      </c>
      <c r="F209" s="5">
        <v>0</v>
      </c>
      <c r="G209" s="5">
        <v>0</v>
      </c>
      <c r="H209" s="5">
        <v>0</v>
      </c>
      <c r="I209" s="5">
        <v>0</v>
      </c>
      <c r="J209" s="5">
        <v>0</v>
      </c>
      <c r="K209" s="5">
        <v>0</v>
      </c>
      <c r="L209" s="5">
        <v>0</v>
      </c>
      <c r="M209" s="5">
        <v>0</v>
      </c>
    </row>
    <row r="210" spans="1:13" x14ac:dyDescent="0.3">
      <c r="A210" s="3" t="s">
        <v>138</v>
      </c>
      <c r="B210" s="5">
        <v>0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  <c r="H210" s="5">
        <v>0</v>
      </c>
      <c r="I210" s="5">
        <v>0</v>
      </c>
      <c r="J210" s="5">
        <v>0</v>
      </c>
      <c r="K210" s="5">
        <v>0</v>
      </c>
      <c r="L210" s="5">
        <v>0</v>
      </c>
      <c r="M210" s="5">
        <v>0</v>
      </c>
    </row>
    <row r="211" spans="1:13" x14ac:dyDescent="0.3">
      <c r="A211" s="3" t="s">
        <v>139</v>
      </c>
      <c r="B211" s="5">
        <v>8176.03</v>
      </c>
      <c r="C211" s="5">
        <v>5429.77</v>
      </c>
      <c r="D211" s="5">
        <v>11824.55</v>
      </c>
      <c r="E211" s="5">
        <v>168</v>
      </c>
      <c r="F211" s="5">
        <v>0</v>
      </c>
      <c r="G211" s="5">
        <v>0</v>
      </c>
      <c r="H211" s="5">
        <v>0</v>
      </c>
      <c r="I211" s="5">
        <v>0</v>
      </c>
      <c r="J211" s="5">
        <v>0</v>
      </c>
      <c r="K211" s="5">
        <v>0</v>
      </c>
      <c r="L211" s="5">
        <v>0</v>
      </c>
      <c r="M211" s="5">
        <v>0</v>
      </c>
    </row>
    <row r="212" spans="1:13" x14ac:dyDescent="0.3">
      <c r="A212" s="3" t="s">
        <v>140</v>
      </c>
      <c r="B212" s="5">
        <v>0</v>
      </c>
      <c r="C212" s="5">
        <v>0</v>
      </c>
      <c r="D212" s="5">
        <v>0</v>
      </c>
      <c r="E212" s="5">
        <v>0</v>
      </c>
      <c r="F212" s="5">
        <v>0</v>
      </c>
      <c r="G212" s="5">
        <v>0</v>
      </c>
      <c r="H212" s="5">
        <v>0</v>
      </c>
      <c r="I212" s="5">
        <v>0</v>
      </c>
      <c r="J212" s="5">
        <v>0</v>
      </c>
      <c r="K212" s="5">
        <v>0</v>
      </c>
      <c r="L212" s="5">
        <v>0</v>
      </c>
      <c r="M212" s="5">
        <v>0</v>
      </c>
    </row>
    <row r="213" spans="1:13" x14ac:dyDescent="0.3">
      <c r="A213" s="3" t="s">
        <v>141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  <c r="H213" s="5">
        <v>0</v>
      </c>
      <c r="I213" s="5">
        <v>0</v>
      </c>
      <c r="J213" s="5">
        <v>0</v>
      </c>
      <c r="K213" s="5">
        <v>0</v>
      </c>
      <c r="L213" s="5">
        <v>0</v>
      </c>
      <c r="M213" s="5">
        <v>0</v>
      </c>
    </row>
    <row r="214" spans="1:13" x14ac:dyDescent="0.3">
      <c r="A214" s="3" t="s">
        <v>142</v>
      </c>
      <c r="B214" s="5">
        <v>0</v>
      </c>
      <c r="C214" s="5">
        <v>0</v>
      </c>
      <c r="D214" s="5">
        <v>0</v>
      </c>
      <c r="E214" s="5">
        <v>0</v>
      </c>
      <c r="F214" s="5">
        <v>0</v>
      </c>
      <c r="G214" s="5">
        <v>0</v>
      </c>
      <c r="H214" s="5">
        <v>0</v>
      </c>
      <c r="I214" s="5">
        <v>0</v>
      </c>
      <c r="J214" s="5">
        <v>0</v>
      </c>
      <c r="K214" s="5">
        <v>0</v>
      </c>
      <c r="L214" s="5">
        <v>0</v>
      </c>
      <c r="M214" s="5">
        <v>0</v>
      </c>
    </row>
    <row r="215" spans="1:13" x14ac:dyDescent="0.3">
      <c r="A215" s="3" t="s">
        <v>143</v>
      </c>
      <c r="B215" s="5">
        <v>0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</row>
    <row r="216" spans="1:13" x14ac:dyDescent="0.3">
      <c r="A216" s="3" t="s">
        <v>144</v>
      </c>
      <c r="B216" s="5">
        <v>0</v>
      </c>
      <c r="C216" s="5">
        <v>0</v>
      </c>
      <c r="D216" s="5">
        <v>0</v>
      </c>
      <c r="E216" s="5">
        <v>0</v>
      </c>
      <c r="F216" s="5">
        <v>0</v>
      </c>
      <c r="G216" s="5">
        <v>0</v>
      </c>
      <c r="H216" s="5">
        <v>0</v>
      </c>
      <c r="I216" s="5">
        <v>0</v>
      </c>
      <c r="J216" s="5">
        <v>0</v>
      </c>
      <c r="K216" s="5">
        <v>0</v>
      </c>
      <c r="L216" s="5">
        <v>0</v>
      </c>
      <c r="M216" s="5">
        <v>0</v>
      </c>
    </row>
    <row r="217" spans="1:13" x14ac:dyDescent="0.3">
      <c r="A217" s="3" t="s">
        <v>145</v>
      </c>
      <c r="B217" s="5">
        <v>112500</v>
      </c>
      <c r="C217" s="5">
        <v>175000</v>
      </c>
      <c r="D217" s="5">
        <v>180600</v>
      </c>
      <c r="E217" s="5">
        <v>104500</v>
      </c>
      <c r="F217" s="5">
        <v>0</v>
      </c>
      <c r="G217" s="5">
        <v>0</v>
      </c>
      <c r="H217" s="5">
        <v>0</v>
      </c>
      <c r="I217" s="5">
        <v>0</v>
      </c>
      <c r="J217" s="5">
        <v>0</v>
      </c>
      <c r="K217" s="5">
        <v>0</v>
      </c>
      <c r="L217" s="5">
        <v>0</v>
      </c>
      <c r="M217" s="5">
        <v>0</v>
      </c>
    </row>
    <row r="218" spans="1:13" x14ac:dyDescent="0.3">
      <c r="A218" s="3" t="s">
        <v>146</v>
      </c>
      <c r="B218" s="5">
        <v>0</v>
      </c>
      <c r="C218" s="5">
        <v>0</v>
      </c>
      <c r="D218" s="5">
        <v>0</v>
      </c>
      <c r="E218" s="5">
        <v>0</v>
      </c>
      <c r="F218" s="5">
        <v>0</v>
      </c>
      <c r="G218" s="5">
        <v>0</v>
      </c>
      <c r="H218" s="5">
        <v>0</v>
      </c>
      <c r="I218" s="5">
        <v>0</v>
      </c>
      <c r="J218" s="5">
        <v>0</v>
      </c>
      <c r="K218" s="5">
        <v>0</v>
      </c>
      <c r="L218" s="5">
        <v>0</v>
      </c>
      <c r="M218" s="5">
        <v>0</v>
      </c>
    </row>
    <row r="219" spans="1:13" x14ac:dyDescent="0.3">
      <c r="A219" s="3" t="s">
        <v>147</v>
      </c>
      <c r="B219" s="5">
        <v>0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  <c r="H219" s="5">
        <v>0</v>
      </c>
      <c r="I219" s="5">
        <v>0</v>
      </c>
      <c r="J219" s="5">
        <v>0</v>
      </c>
      <c r="K219" s="5">
        <v>0</v>
      </c>
      <c r="L219" s="5">
        <v>0</v>
      </c>
      <c r="M219" s="5">
        <v>0</v>
      </c>
    </row>
    <row r="220" spans="1:13" x14ac:dyDescent="0.3">
      <c r="A220" s="3" t="s">
        <v>148</v>
      </c>
      <c r="B220" s="5">
        <v>0</v>
      </c>
      <c r="C220" s="5">
        <v>0</v>
      </c>
      <c r="D220" s="5">
        <v>0</v>
      </c>
      <c r="E220" s="5">
        <v>0</v>
      </c>
      <c r="F220" s="5">
        <v>0</v>
      </c>
      <c r="G220" s="5">
        <v>0</v>
      </c>
      <c r="H220" s="5">
        <v>0</v>
      </c>
      <c r="I220" s="5">
        <v>0</v>
      </c>
      <c r="J220" s="5">
        <v>0</v>
      </c>
      <c r="K220" s="5">
        <v>0</v>
      </c>
      <c r="L220" s="5">
        <v>0</v>
      </c>
      <c r="M220" s="5">
        <v>0</v>
      </c>
    </row>
    <row r="221" spans="1:13" x14ac:dyDescent="0.3">
      <c r="A221" s="3" t="s">
        <v>149</v>
      </c>
      <c r="B221" s="5">
        <v>0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  <c r="H221" s="5">
        <v>0</v>
      </c>
      <c r="I221" s="5">
        <v>0</v>
      </c>
      <c r="J221" s="5">
        <v>0</v>
      </c>
      <c r="K221" s="5">
        <v>0</v>
      </c>
      <c r="L221" s="5">
        <v>0</v>
      </c>
      <c r="M221" s="5">
        <v>0</v>
      </c>
    </row>
    <row r="222" spans="1:13" x14ac:dyDescent="0.3">
      <c r="A222" s="3" t="s">
        <v>150</v>
      </c>
      <c r="B222" s="5">
        <v>0</v>
      </c>
      <c r="C222" s="5">
        <v>0</v>
      </c>
      <c r="D222" s="5">
        <v>0</v>
      </c>
      <c r="E222" s="5">
        <v>0</v>
      </c>
      <c r="F222" s="5">
        <v>0</v>
      </c>
      <c r="G222" s="5">
        <v>0</v>
      </c>
      <c r="H222" s="5">
        <v>0</v>
      </c>
      <c r="I222" s="5">
        <v>0</v>
      </c>
      <c r="J222" s="5">
        <v>0</v>
      </c>
      <c r="K222" s="5">
        <v>0</v>
      </c>
      <c r="L222" s="5">
        <v>0</v>
      </c>
      <c r="M222" s="5">
        <v>0</v>
      </c>
    </row>
    <row r="223" spans="1:13" x14ac:dyDescent="0.3">
      <c r="A223" s="3" t="s">
        <v>151</v>
      </c>
      <c r="B223" s="5">
        <v>0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  <c r="H223" s="5">
        <v>0</v>
      </c>
      <c r="I223" s="5">
        <v>0</v>
      </c>
      <c r="J223" s="5">
        <v>0</v>
      </c>
      <c r="K223" s="5">
        <v>0</v>
      </c>
      <c r="L223" s="5">
        <v>0</v>
      </c>
      <c r="M223" s="5">
        <v>0</v>
      </c>
    </row>
    <row r="224" spans="1:13" x14ac:dyDescent="0.3">
      <c r="A224" s="3" t="s">
        <v>152</v>
      </c>
      <c r="B224" s="5">
        <v>0</v>
      </c>
      <c r="C224" s="5">
        <v>0</v>
      </c>
      <c r="D224" s="5">
        <v>0</v>
      </c>
      <c r="E224" s="5">
        <v>0</v>
      </c>
      <c r="F224" s="5">
        <v>0</v>
      </c>
      <c r="G224" s="5">
        <v>0</v>
      </c>
      <c r="H224" s="5">
        <v>0</v>
      </c>
      <c r="I224" s="5">
        <v>0</v>
      </c>
      <c r="J224" s="5">
        <v>0</v>
      </c>
      <c r="K224" s="5">
        <v>0</v>
      </c>
      <c r="L224" s="5">
        <v>0</v>
      </c>
      <c r="M224" s="5">
        <v>0</v>
      </c>
    </row>
    <row r="225" spans="1:13" x14ac:dyDescent="0.3">
      <c r="A225" s="3" t="s">
        <v>153</v>
      </c>
      <c r="B225" s="5">
        <v>427180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  <c r="H225" s="5">
        <v>0</v>
      </c>
      <c r="I225" s="5">
        <v>0</v>
      </c>
      <c r="J225" s="5">
        <v>0</v>
      </c>
      <c r="K225" s="5">
        <v>0</v>
      </c>
      <c r="L225" s="5">
        <v>0</v>
      </c>
      <c r="M225" s="5">
        <v>0</v>
      </c>
    </row>
    <row r="226" spans="1:13" x14ac:dyDescent="0.3">
      <c r="A226" s="3" t="s">
        <v>154</v>
      </c>
      <c r="B226" s="5">
        <v>50600</v>
      </c>
      <c r="C226" s="5">
        <v>0</v>
      </c>
      <c r="D226" s="5">
        <v>32000</v>
      </c>
      <c r="E226" s="5">
        <v>0</v>
      </c>
      <c r="F226" s="5">
        <v>0</v>
      </c>
      <c r="G226" s="5">
        <v>0</v>
      </c>
      <c r="H226" s="5">
        <v>0</v>
      </c>
      <c r="I226" s="5">
        <v>0</v>
      </c>
      <c r="J226" s="5">
        <v>0</v>
      </c>
      <c r="K226" s="5">
        <v>0</v>
      </c>
      <c r="L226" s="5">
        <v>0</v>
      </c>
      <c r="M226" s="5">
        <v>0</v>
      </c>
    </row>
    <row r="227" spans="1:13" x14ac:dyDescent="0.3">
      <c r="A227" s="3" t="s">
        <v>155</v>
      </c>
      <c r="B227" s="5">
        <v>0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  <c r="H227" s="5">
        <v>0</v>
      </c>
      <c r="I227" s="5">
        <v>0</v>
      </c>
      <c r="J227" s="5">
        <v>0</v>
      </c>
      <c r="K227" s="5">
        <v>0</v>
      </c>
      <c r="L227" s="5">
        <v>0</v>
      </c>
      <c r="M227" s="5">
        <v>0</v>
      </c>
    </row>
    <row r="228" spans="1:13" x14ac:dyDescent="0.3">
      <c r="A228" s="3" t="s">
        <v>156</v>
      </c>
      <c r="B228" s="5">
        <v>0</v>
      </c>
      <c r="C228" s="5">
        <v>0</v>
      </c>
      <c r="D228" s="5">
        <v>0</v>
      </c>
      <c r="E228" s="5">
        <v>0</v>
      </c>
      <c r="F228" s="5">
        <v>0</v>
      </c>
      <c r="G228" s="5">
        <v>0</v>
      </c>
      <c r="H228" s="5">
        <v>0</v>
      </c>
      <c r="I228" s="5">
        <v>0</v>
      </c>
      <c r="J228" s="5">
        <v>0</v>
      </c>
      <c r="K228" s="5">
        <v>0</v>
      </c>
      <c r="L228" s="5">
        <v>0</v>
      </c>
      <c r="M228" s="5">
        <v>0</v>
      </c>
    </row>
    <row r="229" spans="1:13" x14ac:dyDescent="0.3">
      <c r="A229" s="3" t="s">
        <v>157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  <c r="H229" s="5">
        <v>0</v>
      </c>
      <c r="I229" s="5">
        <v>0</v>
      </c>
      <c r="J229" s="5">
        <v>0</v>
      </c>
      <c r="K229" s="5">
        <v>0</v>
      </c>
      <c r="L229" s="5">
        <v>0</v>
      </c>
      <c r="M229" s="5">
        <v>0</v>
      </c>
    </row>
    <row r="230" spans="1:13" x14ac:dyDescent="0.3">
      <c r="A230" s="3" t="s">
        <v>158</v>
      </c>
      <c r="B230" s="5">
        <v>0</v>
      </c>
      <c r="C230" s="5">
        <v>0</v>
      </c>
      <c r="D230" s="5">
        <v>0</v>
      </c>
      <c r="E230" s="5">
        <v>0</v>
      </c>
      <c r="F230" s="5">
        <v>0</v>
      </c>
      <c r="G230" s="5">
        <v>0</v>
      </c>
      <c r="H230" s="5">
        <v>0</v>
      </c>
      <c r="I230" s="5">
        <v>0</v>
      </c>
      <c r="J230" s="5">
        <v>0</v>
      </c>
      <c r="K230" s="5">
        <v>0</v>
      </c>
      <c r="L230" s="5">
        <v>0</v>
      </c>
      <c r="M230" s="5">
        <v>0</v>
      </c>
    </row>
    <row r="231" spans="1:13" x14ac:dyDescent="0.3">
      <c r="A231" s="3" t="s">
        <v>159</v>
      </c>
      <c r="B231" s="5">
        <v>0</v>
      </c>
      <c r="C231" s="5">
        <v>47509.08</v>
      </c>
      <c r="D231" s="5">
        <v>0</v>
      </c>
      <c r="E231" s="5">
        <v>0</v>
      </c>
      <c r="F231" s="5">
        <v>0</v>
      </c>
      <c r="G231" s="5">
        <v>0</v>
      </c>
      <c r="H231" s="5">
        <v>0</v>
      </c>
      <c r="I231" s="5">
        <v>0</v>
      </c>
      <c r="J231" s="5">
        <v>0</v>
      </c>
      <c r="K231" s="5">
        <v>0</v>
      </c>
      <c r="L231" s="5">
        <v>0</v>
      </c>
      <c r="M231" s="5">
        <v>0</v>
      </c>
    </row>
    <row r="232" spans="1:13" x14ac:dyDescent="0.3">
      <c r="A232" s="3" t="s">
        <v>160</v>
      </c>
      <c r="B232" s="5">
        <v>0</v>
      </c>
      <c r="C232" s="5">
        <v>0</v>
      </c>
      <c r="D232" s="5">
        <v>0</v>
      </c>
      <c r="E232" s="5">
        <v>0</v>
      </c>
      <c r="F232" s="5">
        <v>0</v>
      </c>
      <c r="G232" s="5">
        <v>0</v>
      </c>
      <c r="H232" s="5">
        <v>0</v>
      </c>
      <c r="I232" s="5">
        <v>0</v>
      </c>
      <c r="J232" s="5">
        <v>0</v>
      </c>
      <c r="K232" s="5">
        <v>0</v>
      </c>
      <c r="L232" s="5">
        <v>0</v>
      </c>
      <c r="M232" s="5">
        <v>0</v>
      </c>
    </row>
    <row r="233" spans="1:13" x14ac:dyDescent="0.3">
      <c r="A233" s="3" t="s">
        <v>161</v>
      </c>
      <c r="B233" s="5">
        <v>0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  <c r="H233" s="5">
        <v>0</v>
      </c>
      <c r="I233" s="5">
        <v>0</v>
      </c>
      <c r="J233" s="5">
        <v>0</v>
      </c>
      <c r="K233" s="5">
        <v>0</v>
      </c>
      <c r="L233" s="5">
        <v>0</v>
      </c>
      <c r="M233" s="5">
        <v>0</v>
      </c>
    </row>
    <row r="234" spans="1:13" x14ac:dyDescent="0.3">
      <c r="A234" s="3" t="s">
        <v>162</v>
      </c>
      <c r="B234" s="5">
        <v>0</v>
      </c>
      <c r="C234" s="5">
        <v>0</v>
      </c>
      <c r="D234" s="5">
        <v>0</v>
      </c>
      <c r="E234" s="5">
        <v>0</v>
      </c>
      <c r="F234" s="5">
        <v>0</v>
      </c>
      <c r="G234" s="5">
        <v>0</v>
      </c>
      <c r="H234" s="5">
        <v>0</v>
      </c>
      <c r="I234" s="5">
        <v>0</v>
      </c>
      <c r="J234" s="5">
        <v>0</v>
      </c>
      <c r="K234" s="5">
        <v>0</v>
      </c>
      <c r="L234" s="5">
        <v>0</v>
      </c>
      <c r="M234" s="5">
        <v>0</v>
      </c>
    </row>
    <row r="235" spans="1:13" x14ac:dyDescent="0.3">
      <c r="A235" s="3" t="s">
        <v>163</v>
      </c>
      <c r="B235" s="5">
        <v>228250</v>
      </c>
      <c r="C235" s="5">
        <v>498650</v>
      </c>
      <c r="D235" s="5">
        <v>0</v>
      </c>
      <c r="E235" s="5">
        <v>0</v>
      </c>
      <c r="F235" s="5">
        <v>0</v>
      </c>
      <c r="G235" s="5">
        <v>0</v>
      </c>
      <c r="H235" s="5">
        <v>0</v>
      </c>
      <c r="I235" s="5">
        <v>0</v>
      </c>
      <c r="J235" s="5">
        <v>0</v>
      </c>
      <c r="K235" s="5">
        <v>0</v>
      </c>
      <c r="L235" s="5">
        <v>0</v>
      </c>
      <c r="M235" s="5">
        <v>0</v>
      </c>
    </row>
    <row r="236" spans="1:13" x14ac:dyDescent="0.3">
      <c r="A236" s="3" t="s">
        <v>164</v>
      </c>
      <c r="B236" s="5">
        <v>0</v>
      </c>
      <c r="C236" s="5">
        <v>30000</v>
      </c>
      <c r="D236" s="5">
        <v>0</v>
      </c>
      <c r="E236" s="5">
        <v>20000</v>
      </c>
      <c r="F236" s="5">
        <v>0</v>
      </c>
      <c r="G236" s="5">
        <v>0</v>
      </c>
      <c r="H236" s="5">
        <v>0</v>
      </c>
      <c r="I236" s="5">
        <v>0</v>
      </c>
      <c r="J236" s="5">
        <v>0</v>
      </c>
      <c r="K236" s="5">
        <v>0</v>
      </c>
      <c r="L236" s="5">
        <v>0</v>
      </c>
      <c r="M236" s="5">
        <v>0</v>
      </c>
    </row>
    <row r="237" spans="1:13" x14ac:dyDescent="0.3">
      <c r="A237" s="3" t="s">
        <v>165</v>
      </c>
      <c r="B237" s="5">
        <v>0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  <c r="H237" s="5">
        <v>0</v>
      </c>
      <c r="I237" s="5">
        <v>0</v>
      </c>
      <c r="J237" s="5">
        <v>0</v>
      </c>
      <c r="K237" s="5">
        <v>0</v>
      </c>
      <c r="L237" s="5">
        <v>0</v>
      </c>
      <c r="M237" s="5">
        <v>0</v>
      </c>
    </row>
    <row r="238" spans="1:13" x14ac:dyDescent="0.3">
      <c r="A238" s="3" t="s">
        <v>166</v>
      </c>
      <c r="B238" s="5">
        <v>43000</v>
      </c>
      <c r="C238" s="5">
        <v>0</v>
      </c>
      <c r="D238" s="5">
        <v>0</v>
      </c>
      <c r="E238" s="5">
        <v>0</v>
      </c>
      <c r="F238" s="5">
        <v>0</v>
      </c>
      <c r="G238" s="5">
        <v>0</v>
      </c>
      <c r="H238" s="5">
        <v>0</v>
      </c>
      <c r="I238" s="5">
        <v>0</v>
      </c>
      <c r="J238" s="5">
        <v>0</v>
      </c>
      <c r="K238" s="5">
        <v>0</v>
      </c>
      <c r="L238" s="5">
        <v>0</v>
      </c>
      <c r="M238" s="5">
        <v>0</v>
      </c>
    </row>
    <row r="239" spans="1:13" x14ac:dyDescent="0.3">
      <c r="A239" s="3" t="s">
        <v>167</v>
      </c>
      <c r="B239" s="5">
        <v>75000</v>
      </c>
      <c r="C239" s="5">
        <v>0</v>
      </c>
      <c r="D239" s="5">
        <v>38500</v>
      </c>
      <c r="E239" s="5">
        <v>0</v>
      </c>
      <c r="F239" s="5">
        <v>0</v>
      </c>
      <c r="G239" s="5">
        <v>0</v>
      </c>
      <c r="H239" s="5">
        <v>0</v>
      </c>
      <c r="I239" s="5">
        <v>0</v>
      </c>
      <c r="J239" s="5">
        <v>0</v>
      </c>
      <c r="K239" s="5">
        <v>0</v>
      </c>
      <c r="L239" s="5">
        <v>0</v>
      </c>
      <c r="M239" s="5">
        <v>0</v>
      </c>
    </row>
    <row r="240" spans="1:13" x14ac:dyDescent="0.3">
      <c r="A240" s="3" t="s">
        <v>168</v>
      </c>
      <c r="B240" s="5">
        <v>0</v>
      </c>
      <c r="C240" s="5">
        <v>0</v>
      </c>
      <c r="D240" s="5">
        <v>0</v>
      </c>
      <c r="E240" s="5">
        <v>0</v>
      </c>
      <c r="F240" s="5">
        <v>0</v>
      </c>
      <c r="G240" s="5">
        <v>0</v>
      </c>
      <c r="H240" s="5">
        <v>0</v>
      </c>
      <c r="I240" s="5">
        <v>0</v>
      </c>
      <c r="J240" s="5">
        <v>0</v>
      </c>
      <c r="K240" s="5">
        <v>0</v>
      </c>
      <c r="L240" s="5">
        <v>0</v>
      </c>
      <c r="M240" s="5">
        <v>0</v>
      </c>
    </row>
    <row r="241" spans="1:13" x14ac:dyDescent="0.3">
      <c r="A241" s="3" t="s">
        <v>169</v>
      </c>
      <c r="B241" s="5">
        <v>0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</row>
    <row r="242" spans="1:13" x14ac:dyDescent="0.3">
      <c r="A242" s="3" t="s">
        <v>170</v>
      </c>
      <c r="B242" s="5">
        <v>9000</v>
      </c>
      <c r="C242" s="5">
        <v>0</v>
      </c>
      <c r="D242" s="5">
        <v>0</v>
      </c>
      <c r="E242" s="5">
        <v>500</v>
      </c>
      <c r="F242" s="5">
        <v>0</v>
      </c>
      <c r="G242" s="5">
        <v>0</v>
      </c>
      <c r="H242" s="5">
        <v>0</v>
      </c>
      <c r="I242" s="5">
        <v>0</v>
      </c>
      <c r="J242" s="5">
        <v>0</v>
      </c>
      <c r="K242" s="5">
        <v>0</v>
      </c>
      <c r="L242" s="5">
        <v>0</v>
      </c>
      <c r="M242" s="5">
        <v>0</v>
      </c>
    </row>
    <row r="243" spans="1:13" x14ac:dyDescent="0.3">
      <c r="A243" s="3" t="s">
        <v>171</v>
      </c>
      <c r="B243" s="5">
        <v>29000</v>
      </c>
      <c r="C243" s="5">
        <v>43300</v>
      </c>
      <c r="D243" s="5">
        <v>124000</v>
      </c>
      <c r="E243" s="5">
        <v>8000</v>
      </c>
      <c r="F243" s="5">
        <v>0</v>
      </c>
      <c r="G243" s="5">
        <v>0</v>
      </c>
      <c r="H243" s="5">
        <v>0</v>
      </c>
      <c r="I243" s="5">
        <v>0</v>
      </c>
      <c r="J243" s="5">
        <v>0</v>
      </c>
      <c r="K243" s="5">
        <v>0</v>
      </c>
      <c r="L243" s="5">
        <v>0</v>
      </c>
      <c r="M243" s="5">
        <v>0</v>
      </c>
    </row>
    <row r="244" spans="1:13" x14ac:dyDescent="0.3">
      <c r="A244" s="3" t="s">
        <v>172</v>
      </c>
      <c r="B244" s="5">
        <v>0</v>
      </c>
      <c r="C244" s="5">
        <v>1000</v>
      </c>
      <c r="D244" s="5">
        <v>3700</v>
      </c>
      <c r="E244" s="5">
        <v>3700</v>
      </c>
      <c r="F244" s="5">
        <v>0</v>
      </c>
      <c r="G244" s="5">
        <v>0</v>
      </c>
      <c r="H244" s="5">
        <v>0</v>
      </c>
      <c r="I244" s="5">
        <v>0</v>
      </c>
      <c r="J244" s="5">
        <v>0</v>
      </c>
      <c r="K244" s="5">
        <v>0</v>
      </c>
      <c r="L244" s="5">
        <v>0</v>
      </c>
      <c r="M244" s="5">
        <v>0</v>
      </c>
    </row>
    <row r="245" spans="1:13" x14ac:dyDescent="0.3">
      <c r="A245" s="3" t="s">
        <v>173</v>
      </c>
      <c r="B245" s="5">
        <v>525000</v>
      </c>
      <c r="C245" s="5">
        <v>150000</v>
      </c>
      <c r="D245" s="5">
        <v>268840</v>
      </c>
      <c r="E245" s="5">
        <v>505000</v>
      </c>
      <c r="F245" s="5">
        <v>0</v>
      </c>
      <c r="G245" s="5">
        <v>0</v>
      </c>
      <c r="H245" s="5">
        <v>0</v>
      </c>
      <c r="I245" s="5">
        <v>0</v>
      </c>
      <c r="J245" s="5">
        <v>0</v>
      </c>
      <c r="K245" s="5">
        <v>0</v>
      </c>
      <c r="L245" s="5">
        <v>0</v>
      </c>
      <c r="M245" s="5">
        <v>0</v>
      </c>
    </row>
    <row r="246" spans="1:13" x14ac:dyDescent="0.3">
      <c r="A246" s="3" t="s">
        <v>174</v>
      </c>
      <c r="B246" s="5">
        <v>0</v>
      </c>
      <c r="C246" s="5">
        <v>147378</v>
      </c>
      <c r="D246" s="5">
        <v>145378</v>
      </c>
      <c r="E246" s="5">
        <v>145378</v>
      </c>
      <c r="F246" s="5">
        <v>0</v>
      </c>
      <c r="G246" s="5">
        <v>0</v>
      </c>
      <c r="H246" s="5">
        <v>0</v>
      </c>
      <c r="I246" s="5">
        <v>0</v>
      </c>
      <c r="J246" s="5">
        <v>0</v>
      </c>
      <c r="K246" s="5">
        <v>0</v>
      </c>
      <c r="L246" s="5">
        <v>0</v>
      </c>
      <c r="M246" s="5">
        <v>0</v>
      </c>
    </row>
    <row r="247" spans="1:13" x14ac:dyDescent="0.3">
      <c r="A247" s="3" t="s">
        <v>175</v>
      </c>
      <c r="B247" s="5">
        <v>0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  <c r="H247" s="5">
        <v>0</v>
      </c>
      <c r="I247" s="5">
        <v>0</v>
      </c>
      <c r="J247" s="5">
        <v>0</v>
      </c>
      <c r="K247" s="5">
        <v>0</v>
      </c>
      <c r="L247" s="5">
        <v>0</v>
      </c>
      <c r="M247" s="5">
        <v>0</v>
      </c>
    </row>
    <row r="248" spans="1:13" x14ac:dyDescent="0.3">
      <c r="A248" s="3" t="s">
        <v>176</v>
      </c>
      <c r="B248" s="5">
        <v>0</v>
      </c>
      <c r="C248" s="5">
        <v>50000</v>
      </c>
      <c r="D248" s="5">
        <v>0</v>
      </c>
      <c r="E248" s="5">
        <v>0</v>
      </c>
      <c r="F248" s="5">
        <v>0</v>
      </c>
      <c r="G248" s="5">
        <v>0</v>
      </c>
      <c r="H248" s="5">
        <v>0</v>
      </c>
      <c r="I248" s="5">
        <v>0</v>
      </c>
      <c r="J248" s="5">
        <v>0</v>
      </c>
      <c r="K248" s="5">
        <v>0</v>
      </c>
      <c r="L248" s="5">
        <v>0</v>
      </c>
      <c r="M248" s="5">
        <v>0</v>
      </c>
    </row>
    <row r="249" spans="1:13" x14ac:dyDescent="0.3">
      <c r="A249" s="3" t="s">
        <v>177</v>
      </c>
      <c r="B249" s="5">
        <v>0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  <c r="H249" s="5">
        <v>0</v>
      </c>
      <c r="I249" s="5">
        <v>0</v>
      </c>
      <c r="J249" s="5">
        <v>0</v>
      </c>
      <c r="K249" s="5">
        <v>0</v>
      </c>
      <c r="L249" s="5">
        <v>0</v>
      </c>
      <c r="M249" s="5">
        <v>0</v>
      </c>
    </row>
    <row r="250" spans="1:13" x14ac:dyDescent="0.3">
      <c r="A250" s="3" t="s">
        <v>178</v>
      </c>
      <c r="B250" s="5">
        <v>0</v>
      </c>
      <c r="C250" s="5">
        <v>0</v>
      </c>
      <c r="D250" s="5">
        <v>0</v>
      </c>
      <c r="E250" s="5">
        <v>0</v>
      </c>
      <c r="F250" s="5">
        <v>0</v>
      </c>
      <c r="G250" s="5">
        <v>0</v>
      </c>
      <c r="H250" s="5">
        <v>0</v>
      </c>
      <c r="I250" s="5">
        <v>0</v>
      </c>
      <c r="J250" s="5">
        <v>0</v>
      </c>
      <c r="K250" s="5">
        <v>0</v>
      </c>
      <c r="L250" s="5">
        <v>0</v>
      </c>
      <c r="M250" s="5">
        <v>0</v>
      </c>
    </row>
    <row r="251" spans="1:13" x14ac:dyDescent="0.3">
      <c r="A251" s="3" t="s">
        <v>179</v>
      </c>
      <c r="B251" s="5">
        <v>838750</v>
      </c>
      <c r="C251" s="5">
        <v>400000</v>
      </c>
      <c r="D251" s="5">
        <v>800000</v>
      </c>
      <c r="E251" s="5">
        <v>440000</v>
      </c>
      <c r="F251" s="5">
        <v>0</v>
      </c>
      <c r="G251" s="5">
        <v>0</v>
      </c>
      <c r="H251" s="5">
        <v>0</v>
      </c>
      <c r="I251" s="5">
        <v>0</v>
      </c>
      <c r="J251" s="5">
        <v>0</v>
      </c>
      <c r="K251" s="5">
        <v>0</v>
      </c>
      <c r="L251" s="5">
        <v>0</v>
      </c>
      <c r="M251" s="5">
        <v>0</v>
      </c>
    </row>
    <row r="252" spans="1:13" x14ac:dyDescent="0.3">
      <c r="A252" s="3" t="s">
        <v>180</v>
      </c>
      <c r="B252" s="5">
        <v>152500</v>
      </c>
      <c r="C252" s="5">
        <v>317500</v>
      </c>
      <c r="D252" s="5">
        <v>514000</v>
      </c>
      <c r="E252" s="5">
        <v>0</v>
      </c>
      <c r="F252" s="5">
        <v>0</v>
      </c>
      <c r="G252" s="5">
        <v>0</v>
      </c>
      <c r="H252" s="5">
        <v>0</v>
      </c>
      <c r="I252" s="5">
        <v>0</v>
      </c>
      <c r="J252" s="5">
        <v>0</v>
      </c>
      <c r="K252" s="5">
        <v>0</v>
      </c>
      <c r="L252" s="5">
        <v>0</v>
      </c>
      <c r="M252" s="5">
        <v>0</v>
      </c>
    </row>
    <row r="253" spans="1:13" x14ac:dyDescent="0.3">
      <c r="A253" s="3" t="s">
        <v>181</v>
      </c>
      <c r="B253" s="5">
        <v>41000</v>
      </c>
      <c r="C253" s="5">
        <v>0</v>
      </c>
      <c r="D253" s="5">
        <v>316500</v>
      </c>
      <c r="E253" s="5">
        <v>5000</v>
      </c>
      <c r="F253" s="5">
        <v>0</v>
      </c>
      <c r="G253" s="5">
        <v>0</v>
      </c>
      <c r="H253" s="5">
        <v>0</v>
      </c>
      <c r="I253" s="5">
        <v>0</v>
      </c>
      <c r="J253" s="5">
        <v>0</v>
      </c>
      <c r="K253" s="5">
        <v>0</v>
      </c>
      <c r="L253" s="5">
        <v>0</v>
      </c>
      <c r="M253" s="5">
        <v>0</v>
      </c>
    </row>
    <row r="254" spans="1:13" x14ac:dyDescent="0.3">
      <c r="A254" s="3" t="s">
        <v>182</v>
      </c>
      <c r="B254" s="5">
        <v>54300</v>
      </c>
      <c r="C254" s="5">
        <v>0</v>
      </c>
      <c r="D254" s="5">
        <v>35800</v>
      </c>
      <c r="E254" s="5">
        <v>0</v>
      </c>
      <c r="F254" s="5">
        <v>0</v>
      </c>
      <c r="G254" s="5">
        <v>0</v>
      </c>
      <c r="H254" s="5">
        <v>0</v>
      </c>
      <c r="I254" s="5">
        <v>0</v>
      </c>
      <c r="J254" s="5">
        <v>0</v>
      </c>
      <c r="K254" s="5">
        <v>0</v>
      </c>
      <c r="L254" s="5">
        <v>0</v>
      </c>
      <c r="M254" s="5">
        <v>0</v>
      </c>
    </row>
    <row r="255" spans="1:13" x14ac:dyDescent="0.3">
      <c r="A255" s="3" t="s">
        <v>183</v>
      </c>
      <c r="B255" s="5">
        <v>1558282</v>
      </c>
      <c r="C255" s="5">
        <v>481400</v>
      </c>
      <c r="D255" s="5">
        <v>4071364</v>
      </c>
      <c r="E255" s="5">
        <v>80000</v>
      </c>
      <c r="F255" s="5">
        <v>0</v>
      </c>
      <c r="G255" s="5">
        <v>0</v>
      </c>
      <c r="H255" s="5">
        <v>0</v>
      </c>
      <c r="I255" s="5">
        <v>0</v>
      </c>
      <c r="J255" s="5">
        <v>0</v>
      </c>
      <c r="K255" s="5">
        <v>0</v>
      </c>
      <c r="L255" s="5">
        <v>0</v>
      </c>
      <c r="M255" s="5">
        <v>0</v>
      </c>
    </row>
    <row r="256" spans="1:13" x14ac:dyDescent="0.3">
      <c r="A256" s="3" t="s">
        <v>184</v>
      </c>
      <c r="B256" s="5">
        <v>0</v>
      </c>
      <c r="C256" s="5">
        <v>0</v>
      </c>
      <c r="D256" s="5">
        <v>0</v>
      </c>
      <c r="E256" s="5">
        <v>0</v>
      </c>
      <c r="F256" s="5">
        <v>0</v>
      </c>
      <c r="G256" s="5">
        <v>0</v>
      </c>
      <c r="H256" s="5">
        <v>0</v>
      </c>
      <c r="I256" s="5">
        <v>0</v>
      </c>
      <c r="J256" s="5">
        <v>0</v>
      </c>
      <c r="K256" s="5">
        <v>0</v>
      </c>
      <c r="L256" s="5">
        <v>0</v>
      </c>
      <c r="M256" s="5">
        <v>0</v>
      </c>
    </row>
    <row r="257" spans="1:13" x14ac:dyDescent="0.3">
      <c r="A257" s="3" t="s">
        <v>185</v>
      </c>
      <c r="B257" s="5">
        <v>1700000</v>
      </c>
      <c r="C257" s="5">
        <v>0</v>
      </c>
      <c r="D257" s="5">
        <v>0</v>
      </c>
      <c r="E257" s="5">
        <v>0</v>
      </c>
      <c r="F257" s="5">
        <v>0</v>
      </c>
      <c r="G257" s="5">
        <v>0</v>
      </c>
      <c r="H257" s="5">
        <v>0</v>
      </c>
      <c r="I257" s="5">
        <v>0</v>
      </c>
      <c r="J257" s="5">
        <v>0</v>
      </c>
      <c r="K257" s="5">
        <v>0</v>
      </c>
      <c r="L257" s="5">
        <v>0</v>
      </c>
      <c r="M257" s="5">
        <v>0</v>
      </c>
    </row>
    <row r="258" spans="1:13" x14ac:dyDescent="0.3">
      <c r="A258" s="3" t="s">
        <v>186</v>
      </c>
      <c r="B258" s="5">
        <v>0</v>
      </c>
      <c r="C258" s="5">
        <v>0</v>
      </c>
      <c r="D258" s="5">
        <v>0</v>
      </c>
      <c r="E258" s="5">
        <v>0</v>
      </c>
      <c r="F258" s="5">
        <v>0</v>
      </c>
      <c r="G258" s="5">
        <v>0</v>
      </c>
      <c r="H258" s="5">
        <v>0</v>
      </c>
      <c r="I258" s="5">
        <v>0</v>
      </c>
      <c r="J258" s="5">
        <v>0</v>
      </c>
      <c r="K258" s="5">
        <v>0</v>
      </c>
      <c r="L258" s="5">
        <v>0</v>
      </c>
      <c r="M258" s="5">
        <v>0</v>
      </c>
    </row>
    <row r="259" spans="1:13" x14ac:dyDescent="0.3">
      <c r="A259" s="3" t="s">
        <v>187</v>
      </c>
      <c r="B259" s="5">
        <v>0</v>
      </c>
      <c r="C259" s="5">
        <v>0</v>
      </c>
      <c r="D259" s="5">
        <v>0</v>
      </c>
      <c r="E259" s="5">
        <v>0</v>
      </c>
      <c r="F259" s="5">
        <v>0</v>
      </c>
      <c r="G259" s="5">
        <v>0</v>
      </c>
      <c r="H259" s="5">
        <v>0</v>
      </c>
      <c r="I259" s="5">
        <v>0</v>
      </c>
      <c r="J259" s="5">
        <v>0</v>
      </c>
      <c r="K259" s="5">
        <v>0</v>
      </c>
      <c r="L259" s="5">
        <v>0</v>
      </c>
      <c r="M259" s="5">
        <v>0</v>
      </c>
    </row>
    <row r="260" spans="1:13" x14ac:dyDescent="0.3">
      <c r="A260" s="3" t="s">
        <v>188</v>
      </c>
      <c r="B260" s="5">
        <v>0</v>
      </c>
      <c r="C260" s="5">
        <v>0</v>
      </c>
      <c r="D260" s="5">
        <v>0</v>
      </c>
      <c r="E260" s="5">
        <v>0</v>
      </c>
      <c r="F260" s="5">
        <v>0</v>
      </c>
      <c r="G260" s="5">
        <v>0</v>
      </c>
      <c r="H260" s="5">
        <v>0</v>
      </c>
      <c r="I260" s="5">
        <v>0</v>
      </c>
      <c r="J260" s="5">
        <v>0</v>
      </c>
      <c r="K260" s="5">
        <v>0</v>
      </c>
      <c r="L260" s="5">
        <v>0</v>
      </c>
      <c r="M260" s="5">
        <v>0</v>
      </c>
    </row>
    <row r="261" spans="1:13" x14ac:dyDescent="0.3">
      <c r="A261" s="3" t="s">
        <v>189</v>
      </c>
      <c r="B261" s="5">
        <v>0</v>
      </c>
      <c r="C261" s="5">
        <v>0</v>
      </c>
      <c r="D261" s="5">
        <v>0</v>
      </c>
      <c r="E261" s="5">
        <v>0</v>
      </c>
      <c r="F261" s="5">
        <v>0</v>
      </c>
      <c r="G261" s="5">
        <v>0</v>
      </c>
      <c r="H261" s="5">
        <v>0</v>
      </c>
      <c r="I261" s="5">
        <v>0</v>
      </c>
      <c r="J261" s="5">
        <v>0</v>
      </c>
      <c r="K261" s="5">
        <v>0</v>
      </c>
      <c r="L261" s="5">
        <v>0</v>
      </c>
      <c r="M261" s="5">
        <v>0</v>
      </c>
    </row>
    <row r="262" spans="1:13" x14ac:dyDescent="0.3">
      <c r="A262" s="3" t="s">
        <v>190</v>
      </c>
      <c r="B262" s="5">
        <v>19500</v>
      </c>
      <c r="C262" s="5">
        <v>21500</v>
      </c>
      <c r="D262" s="5">
        <v>17000</v>
      </c>
      <c r="E262" s="5">
        <v>6500</v>
      </c>
      <c r="F262" s="5">
        <v>0</v>
      </c>
      <c r="G262" s="5">
        <v>0</v>
      </c>
      <c r="H262" s="5">
        <v>0</v>
      </c>
      <c r="I262" s="5">
        <v>0</v>
      </c>
      <c r="J262" s="5">
        <v>0</v>
      </c>
      <c r="K262" s="5">
        <v>0</v>
      </c>
      <c r="L262" s="5">
        <v>0</v>
      </c>
      <c r="M262" s="5">
        <v>0</v>
      </c>
    </row>
    <row r="263" spans="1:13" x14ac:dyDescent="0.3">
      <c r="A263" s="3" t="s">
        <v>191</v>
      </c>
      <c r="B263" s="5">
        <v>0</v>
      </c>
      <c r="C263" s="5">
        <v>0</v>
      </c>
      <c r="D263" s="5">
        <v>0</v>
      </c>
      <c r="E263" s="5">
        <v>0</v>
      </c>
      <c r="F263" s="5">
        <v>0</v>
      </c>
      <c r="G263" s="5">
        <v>0</v>
      </c>
      <c r="H263" s="5">
        <v>0</v>
      </c>
      <c r="I263" s="5">
        <v>0</v>
      </c>
      <c r="J263" s="5">
        <v>0</v>
      </c>
      <c r="K263" s="5">
        <v>0</v>
      </c>
      <c r="L263" s="5">
        <v>0</v>
      </c>
      <c r="M263" s="5">
        <v>0</v>
      </c>
    </row>
    <row r="264" spans="1:13" x14ac:dyDescent="0.3">
      <c r="A264" s="3" t="s">
        <v>192</v>
      </c>
      <c r="B264" s="5">
        <v>208506.17</v>
      </c>
      <c r="C264" s="5">
        <v>734393.11</v>
      </c>
      <c r="D264" s="5">
        <v>149860.29</v>
      </c>
      <c r="E264" s="5">
        <v>302995.36</v>
      </c>
      <c r="F264" s="5">
        <v>-73770.36</v>
      </c>
      <c r="G264" s="5">
        <v>70340.509999999995</v>
      </c>
      <c r="H264" s="5">
        <v>0</v>
      </c>
      <c r="I264" s="5">
        <v>0</v>
      </c>
      <c r="J264" s="5">
        <v>0</v>
      </c>
      <c r="K264" s="5">
        <v>0</v>
      </c>
      <c r="L264" s="5">
        <v>0</v>
      </c>
      <c r="M264" s="5">
        <v>0</v>
      </c>
    </row>
    <row r="265" spans="1:13" x14ac:dyDescent="0.3">
      <c r="A265" s="3" t="s">
        <v>193</v>
      </c>
      <c r="B265" s="5">
        <v>0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  <c r="H265" s="5">
        <v>0</v>
      </c>
      <c r="I265" s="5">
        <v>0</v>
      </c>
      <c r="J265" s="5">
        <v>0</v>
      </c>
      <c r="K265" s="5">
        <v>0</v>
      </c>
      <c r="L265" s="5">
        <v>0</v>
      </c>
      <c r="M265" s="5">
        <v>0</v>
      </c>
    </row>
    <row r="266" spans="1:13" x14ac:dyDescent="0.3">
      <c r="A266" s="3" t="s">
        <v>194</v>
      </c>
      <c r="B266" s="5">
        <v>0</v>
      </c>
      <c r="C266" s="5">
        <v>0</v>
      </c>
      <c r="D266" s="5">
        <v>18000</v>
      </c>
      <c r="E266" s="5">
        <v>12000</v>
      </c>
      <c r="F266" s="5">
        <v>0</v>
      </c>
      <c r="G266" s="5">
        <v>0</v>
      </c>
      <c r="H266" s="5">
        <v>0</v>
      </c>
      <c r="I266" s="5">
        <v>0</v>
      </c>
      <c r="J266" s="5">
        <v>0</v>
      </c>
      <c r="K266" s="5">
        <v>0</v>
      </c>
      <c r="L266" s="5">
        <v>0</v>
      </c>
      <c r="M266" s="5">
        <v>0</v>
      </c>
    </row>
    <row r="267" spans="1:13" x14ac:dyDescent="0.3">
      <c r="A267" s="3" t="s">
        <v>195</v>
      </c>
      <c r="B267" s="5">
        <v>52700</v>
      </c>
      <c r="C267" s="5">
        <v>20900</v>
      </c>
      <c r="D267" s="5">
        <v>35000</v>
      </c>
      <c r="E267" s="5">
        <v>27500</v>
      </c>
      <c r="F267" s="5">
        <v>0</v>
      </c>
      <c r="G267" s="5">
        <v>0</v>
      </c>
      <c r="H267" s="5">
        <v>0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</row>
    <row r="268" spans="1:13" x14ac:dyDescent="0.3">
      <c r="A268" s="3" t="s">
        <v>196</v>
      </c>
      <c r="B268" s="5">
        <v>0</v>
      </c>
      <c r="C268" s="5">
        <v>0</v>
      </c>
      <c r="D268" s="5">
        <v>0</v>
      </c>
      <c r="E268" s="5">
        <v>0</v>
      </c>
      <c r="F268" s="5">
        <v>0</v>
      </c>
      <c r="G268" s="5">
        <v>0</v>
      </c>
      <c r="H268" s="5">
        <v>0</v>
      </c>
      <c r="I268" s="5">
        <v>0</v>
      </c>
      <c r="J268" s="5">
        <v>0</v>
      </c>
      <c r="K268" s="5">
        <v>0</v>
      </c>
      <c r="L268" s="5">
        <v>0</v>
      </c>
      <c r="M268" s="5">
        <v>0</v>
      </c>
    </row>
    <row r="269" spans="1:13" x14ac:dyDescent="0.3">
      <c r="A269" s="3" t="s">
        <v>197</v>
      </c>
      <c r="B269" s="5">
        <v>0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  <c r="H269" s="5">
        <v>0</v>
      </c>
      <c r="I269" s="5">
        <v>0</v>
      </c>
      <c r="J269" s="5">
        <v>0</v>
      </c>
      <c r="K269" s="5">
        <v>0</v>
      </c>
      <c r="L269" s="5">
        <v>0</v>
      </c>
      <c r="M269" s="5">
        <v>0</v>
      </c>
    </row>
    <row r="270" spans="1:13" x14ac:dyDescent="0.3">
      <c r="A270" s="3" t="s">
        <v>198</v>
      </c>
      <c r="B270" s="5">
        <v>0</v>
      </c>
      <c r="C270" s="5">
        <v>0</v>
      </c>
      <c r="D270" s="5">
        <v>0</v>
      </c>
      <c r="E270" s="5">
        <v>0</v>
      </c>
      <c r="F270" s="5">
        <v>0</v>
      </c>
      <c r="G270" s="5">
        <v>0</v>
      </c>
      <c r="H270" s="5">
        <v>0</v>
      </c>
      <c r="I270" s="5">
        <v>0</v>
      </c>
      <c r="J270" s="5">
        <v>0</v>
      </c>
      <c r="K270" s="5">
        <v>0</v>
      </c>
      <c r="L270" s="5">
        <v>0</v>
      </c>
      <c r="M270" s="5">
        <v>0</v>
      </c>
    </row>
    <row r="271" spans="1:13" x14ac:dyDescent="0.3">
      <c r="A271" s="3" t="s">
        <v>199</v>
      </c>
      <c r="B271" s="5">
        <v>211100</v>
      </c>
      <c r="C271" s="5">
        <v>917000</v>
      </c>
      <c r="D271" s="5">
        <v>439000</v>
      </c>
      <c r="E271" s="5">
        <v>55600</v>
      </c>
      <c r="F271" s="5">
        <v>0</v>
      </c>
      <c r="G271" s="5">
        <v>0</v>
      </c>
      <c r="H271" s="5">
        <v>0</v>
      </c>
      <c r="I271" s="5">
        <v>0</v>
      </c>
      <c r="J271" s="5">
        <v>0</v>
      </c>
      <c r="K271" s="5">
        <v>0</v>
      </c>
      <c r="L271" s="5">
        <v>0</v>
      </c>
      <c r="M271" s="5">
        <v>0</v>
      </c>
    </row>
    <row r="272" spans="1:13" x14ac:dyDescent="0.3">
      <c r="A272" s="3" t="s">
        <v>200</v>
      </c>
      <c r="B272" s="5">
        <v>0</v>
      </c>
      <c r="C272" s="5">
        <v>0</v>
      </c>
      <c r="D272" s="5">
        <v>0</v>
      </c>
      <c r="E272" s="5">
        <v>0</v>
      </c>
      <c r="F272" s="5">
        <v>0</v>
      </c>
      <c r="G272" s="5">
        <v>0</v>
      </c>
      <c r="H272" s="5">
        <v>0</v>
      </c>
      <c r="I272" s="5">
        <v>0</v>
      </c>
      <c r="J272" s="5">
        <v>0</v>
      </c>
      <c r="K272" s="5">
        <v>0</v>
      </c>
      <c r="L272" s="5">
        <v>0</v>
      </c>
      <c r="M272" s="5">
        <v>0</v>
      </c>
    </row>
    <row r="273" spans="1:13" x14ac:dyDescent="0.3">
      <c r="A273" s="3" t="s">
        <v>201</v>
      </c>
      <c r="B273" s="5">
        <v>0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  <c r="H273" s="5">
        <v>0</v>
      </c>
      <c r="I273" s="5">
        <v>0</v>
      </c>
      <c r="J273" s="5">
        <v>0</v>
      </c>
      <c r="K273" s="5">
        <v>0</v>
      </c>
      <c r="L273" s="5">
        <v>0</v>
      </c>
      <c r="M273" s="5">
        <v>0</v>
      </c>
    </row>
    <row r="274" spans="1:13" x14ac:dyDescent="0.3">
      <c r="A274" s="3" t="s">
        <v>202</v>
      </c>
      <c r="B274" s="5">
        <v>0</v>
      </c>
      <c r="C274" s="5">
        <v>0</v>
      </c>
      <c r="D274" s="5">
        <v>0</v>
      </c>
      <c r="E274" s="5">
        <v>0</v>
      </c>
      <c r="F274" s="5">
        <v>0</v>
      </c>
      <c r="G274" s="5">
        <v>0</v>
      </c>
      <c r="H274" s="5">
        <v>0</v>
      </c>
      <c r="I274" s="5">
        <v>0</v>
      </c>
      <c r="J274" s="5">
        <v>0</v>
      </c>
      <c r="K274" s="5">
        <v>0</v>
      </c>
      <c r="L274" s="5">
        <v>0</v>
      </c>
      <c r="M274" s="5">
        <v>0</v>
      </c>
    </row>
    <row r="275" spans="1:13" x14ac:dyDescent="0.3">
      <c r="A275" s="3" t="s">
        <v>203</v>
      </c>
      <c r="B275" s="5">
        <v>0</v>
      </c>
      <c r="C275" s="5">
        <v>0</v>
      </c>
      <c r="D275" s="5">
        <v>0</v>
      </c>
      <c r="E275" s="5">
        <v>0</v>
      </c>
      <c r="F275" s="5">
        <v>0</v>
      </c>
      <c r="G275" s="5">
        <v>0</v>
      </c>
      <c r="H275" s="5">
        <v>0</v>
      </c>
      <c r="I275" s="5">
        <v>0</v>
      </c>
      <c r="J275" s="5">
        <v>0</v>
      </c>
      <c r="K275" s="5">
        <v>0</v>
      </c>
      <c r="L275" s="5">
        <v>0</v>
      </c>
      <c r="M275" s="5">
        <v>0</v>
      </c>
    </row>
    <row r="276" spans="1:13" x14ac:dyDescent="0.3">
      <c r="A276" s="3" t="s">
        <v>204</v>
      </c>
      <c r="B276" s="5">
        <v>100000</v>
      </c>
      <c r="C276" s="5">
        <v>539000</v>
      </c>
      <c r="D276" s="5">
        <v>92000</v>
      </c>
      <c r="E276" s="5">
        <v>32000</v>
      </c>
      <c r="F276" s="5">
        <v>0</v>
      </c>
      <c r="G276" s="5">
        <v>0</v>
      </c>
      <c r="H276" s="5">
        <v>0</v>
      </c>
      <c r="I276" s="5">
        <v>0</v>
      </c>
      <c r="J276" s="5">
        <v>0</v>
      </c>
      <c r="K276" s="5">
        <v>0</v>
      </c>
      <c r="L276" s="5">
        <v>0</v>
      </c>
      <c r="M276" s="5">
        <v>0</v>
      </c>
    </row>
    <row r="277" spans="1:13" x14ac:dyDescent="0.3">
      <c r="A277" s="3" t="s">
        <v>205</v>
      </c>
      <c r="B277" s="5">
        <v>0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  <c r="H277" s="5">
        <v>0</v>
      </c>
      <c r="I277" s="5">
        <v>0</v>
      </c>
      <c r="J277" s="5">
        <v>0</v>
      </c>
      <c r="K277" s="5">
        <v>0</v>
      </c>
      <c r="L277" s="5">
        <v>0</v>
      </c>
      <c r="M277" s="5">
        <v>0</v>
      </c>
    </row>
    <row r="278" spans="1:13" x14ac:dyDescent="0.3">
      <c r="A278" s="3" t="s">
        <v>206</v>
      </c>
      <c r="B278" s="5">
        <v>747438</v>
      </c>
      <c r="C278" s="5">
        <v>0</v>
      </c>
      <c r="D278" s="5">
        <v>16000</v>
      </c>
      <c r="E278" s="5">
        <v>0</v>
      </c>
      <c r="F278" s="5">
        <v>0</v>
      </c>
      <c r="G278" s="5">
        <v>0</v>
      </c>
      <c r="H278" s="5">
        <v>0</v>
      </c>
      <c r="I278" s="5">
        <v>0</v>
      </c>
      <c r="J278" s="5">
        <v>0</v>
      </c>
      <c r="K278" s="5">
        <v>0</v>
      </c>
      <c r="L278" s="5">
        <v>0</v>
      </c>
      <c r="M278" s="5">
        <v>0</v>
      </c>
    </row>
    <row r="279" spans="1:13" x14ac:dyDescent="0.3">
      <c r="A279" s="3" t="s">
        <v>207</v>
      </c>
      <c r="B279" s="5">
        <v>51000</v>
      </c>
      <c r="C279" s="5">
        <v>51000</v>
      </c>
      <c r="D279" s="5">
        <v>65600</v>
      </c>
      <c r="E279" s="5">
        <v>26000</v>
      </c>
      <c r="F279" s="5">
        <v>0</v>
      </c>
      <c r="G279" s="5">
        <v>0</v>
      </c>
      <c r="H279" s="5">
        <v>0</v>
      </c>
      <c r="I279" s="5">
        <v>0</v>
      </c>
      <c r="J279" s="5">
        <v>0</v>
      </c>
      <c r="K279" s="5">
        <v>0</v>
      </c>
      <c r="L279" s="5">
        <v>0</v>
      </c>
      <c r="M279" s="5">
        <v>0</v>
      </c>
    </row>
    <row r="280" spans="1:13" x14ac:dyDescent="0.3">
      <c r="A280" s="3" t="s">
        <v>208</v>
      </c>
      <c r="B280" s="5">
        <v>0</v>
      </c>
      <c r="C280" s="5">
        <v>0</v>
      </c>
      <c r="D280" s="5">
        <v>0</v>
      </c>
      <c r="E280" s="5">
        <v>0</v>
      </c>
      <c r="F280" s="5">
        <v>0</v>
      </c>
      <c r="G280" s="5">
        <v>0</v>
      </c>
      <c r="H280" s="5">
        <v>0</v>
      </c>
      <c r="I280" s="5">
        <v>0</v>
      </c>
      <c r="J280" s="5">
        <v>0</v>
      </c>
      <c r="K280" s="5">
        <v>0</v>
      </c>
      <c r="L280" s="5">
        <v>0</v>
      </c>
      <c r="M280" s="5">
        <v>0</v>
      </c>
    </row>
    <row r="281" spans="1:13" x14ac:dyDescent="0.3">
      <c r="A281" s="3" t="s">
        <v>209</v>
      </c>
      <c r="B281" s="5">
        <v>0</v>
      </c>
      <c r="C281" s="5">
        <v>0</v>
      </c>
      <c r="D281" s="5">
        <v>0</v>
      </c>
      <c r="E281" s="5">
        <v>0</v>
      </c>
      <c r="F281" s="5">
        <v>0</v>
      </c>
      <c r="G281" s="5">
        <v>0</v>
      </c>
      <c r="H281" s="5">
        <v>0</v>
      </c>
      <c r="I281" s="5">
        <v>0</v>
      </c>
      <c r="J281" s="5">
        <v>0</v>
      </c>
      <c r="K281" s="5">
        <v>0</v>
      </c>
      <c r="L281" s="5">
        <v>0</v>
      </c>
      <c r="M281" s="5">
        <v>0</v>
      </c>
    </row>
    <row r="282" spans="1:13" x14ac:dyDescent="0.3">
      <c r="A282" s="3" t="s">
        <v>210</v>
      </c>
      <c r="B282" s="5">
        <v>0</v>
      </c>
      <c r="C282" s="5">
        <v>0</v>
      </c>
      <c r="D282" s="5">
        <v>0</v>
      </c>
      <c r="E282" s="5">
        <v>0</v>
      </c>
      <c r="F282" s="5">
        <v>0</v>
      </c>
      <c r="G282" s="5">
        <v>0</v>
      </c>
      <c r="H282" s="5">
        <v>0</v>
      </c>
      <c r="I282" s="5">
        <v>0</v>
      </c>
      <c r="J282" s="5">
        <v>0</v>
      </c>
      <c r="K282" s="5">
        <v>0</v>
      </c>
      <c r="L282" s="5">
        <v>0</v>
      </c>
      <c r="M282" s="5">
        <v>0</v>
      </c>
    </row>
    <row r="283" spans="1:13" x14ac:dyDescent="0.3">
      <c r="A283" s="3" t="s">
        <v>211</v>
      </c>
      <c r="B283" s="5">
        <v>0</v>
      </c>
      <c r="C283" s="5">
        <v>0</v>
      </c>
      <c r="D283" s="5">
        <v>0</v>
      </c>
      <c r="E283" s="5">
        <v>0</v>
      </c>
      <c r="F283" s="5">
        <v>0</v>
      </c>
      <c r="G283" s="5">
        <v>0</v>
      </c>
      <c r="H283" s="5">
        <v>0</v>
      </c>
      <c r="I283" s="5">
        <v>0</v>
      </c>
      <c r="J283" s="5">
        <v>0</v>
      </c>
      <c r="K283" s="5">
        <v>0</v>
      </c>
      <c r="L283" s="5">
        <v>0</v>
      </c>
      <c r="M283" s="5">
        <v>0</v>
      </c>
    </row>
    <row r="284" spans="1:13" x14ac:dyDescent="0.3">
      <c r="A284" s="3" t="s">
        <v>212</v>
      </c>
      <c r="B284" s="5">
        <v>0</v>
      </c>
      <c r="C284" s="5">
        <v>0</v>
      </c>
      <c r="D284" s="5">
        <v>0</v>
      </c>
      <c r="E284" s="5">
        <v>0</v>
      </c>
      <c r="F284" s="5">
        <v>0</v>
      </c>
      <c r="G284" s="5">
        <v>0</v>
      </c>
      <c r="H284" s="5">
        <v>0</v>
      </c>
      <c r="I284" s="5">
        <v>0</v>
      </c>
      <c r="J284" s="5">
        <v>0</v>
      </c>
      <c r="K284" s="5">
        <v>0</v>
      </c>
      <c r="L284" s="5">
        <v>0</v>
      </c>
      <c r="M284" s="5">
        <v>0</v>
      </c>
    </row>
    <row r="285" spans="1:13" x14ac:dyDescent="0.3">
      <c r="A285" s="3" t="s">
        <v>213</v>
      </c>
      <c r="B285" s="5">
        <v>0</v>
      </c>
      <c r="C285" s="5">
        <v>0</v>
      </c>
      <c r="D285" s="5">
        <v>0</v>
      </c>
      <c r="E285" s="5">
        <v>0</v>
      </c>
      <c r="F285" s="5">
        <v>0</v>
      </c>
      <c r="G285" s="5">
        <v>0</v>
      </c>
      <c r="H285" s="5">
        <v>0</v>
      </c>
      <c r="I285" s="5">
        <v>0</v>
      </c>
      <c r="J285" s="5">
        <v>0</v>
      </c>
      <c r="K285" s="5">
        <v>0</v>
      </c>
      <c r="L285" s="5">
        <v>0</v>
      </c>
      <c r="M285" s="5">
        <v>0</v>
      </c>
    </row>
    <row r="286" spans="1:13" x14ac:dyDescent="0.3">
      <c r="A286" s="3" t="s">
        <v>214</v>
      </c>
      <c r="B286" s="5">
        <v>0</v>
      </c>
      <c r="C286" s="5">
        <v>0</v>
      </c>
      <c r="D286" s="5">
        <v>0</v>
      </c>
      <c r="E286" s="5">
        <v>0</v>
      </c>
      <c r="F286" s="5">
        <v>0</v>
      </c>
      <c r="G286" s="5">
        <v>0</v>
      </c>
      <c r="H286" s="5">
        <v>0</v>
      </c>
      <c r="I286" s="5">
        <v>0</v>
      </c>
      <c r="J286" s="5">
        <v>0</v>
      </c>
      <c r="K286" s="5">
        <v>0</v>
      </c>
      <c r="L286" s="5">
        <v>0</v>
      </c>
      <c r="M286" s="5">
        <v>0</v>
      </c>
    </row>
    <row r="287" spans="1:13" x14ac:dyDescent="0.3">
      <c r="A287" s="3" t="s">
        <v>215</v>
      </c>
      <c r="B287" s="5">
        <v>0</v>
      </c>
      <c r="C287" s="5">
        <v>0</v>
      </c>
      <c r="D287" s="5">
        <v>0</v>
      </c>
      <c r="E287" s="5">
        <v>0</v>
      </c>
      <c r="F287" s="5">
        <v>0</v>
      </c>
      <c r="G287" s="5">
        <v>0</v>
      </c>
      <c r="H287" s="5">
        <v>0</v>
      </c>
      <c r="I287" s="5">
        <v>0</v>
      </c>
      <c r="J287" s="5">
        <v>0</v>
      </c>
      <c r="K287" s="5">
        <v>0</v>
      </c>
      <c r="L287" s="5">
        <v>0</v>
      </c>
      <c r="M287" s="5">
        <v>0</v>
      </c>
    </row>
    <row r="288" spans="1:13" customFormat="1" ht="14.5" x14ac:dyDescent="0.35">
      <c r="A288" s="6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</row>
    <row r="289" spans="1:13" x14ac:dyDescent="0.3">
      <c r="A289" s="3" t="s">
        <v>216</v>
      </c>
      <c r="B289" s="5">
        <f>ROUND(SUBTOTAL(9, B199:B288), 5)</f>
        <v>8002920.8300000001</v>
      </c>
      <c r="C289" s="5">
        <f>ROUND(SUBTOTAL(9, C199:C288), 5)</f>
        <v>4920183.66</v>
      </c>
      <c r="D289" s="5">
        <f>ROUND(SUBTOTAL(9, D199:D288), 5)</f>
        <v>7852329.8600000003</v>
      </c>
      <c r="E289" s="5">
        <f>ROUND(SUBTOTAL(9, E199:E288), 5)</f>
        <v>2247841.36</v>
      </c>
      <c r="F289" s="5">
        <f>ROUND(SUBTOTAL(9, F199:F288), 5)</f>
        <v>-73770.36</v>
      </c>
      <c r="G289" s="5">
        <f>ROUND(SUBTOTAL(9, G199:G288), 5)</f>
        <v>70340.509999999995</v>
      </c>
      <c r="H289" s="5">
        <f>ROUND(SUBTOTAL(9, H199:H288), 5)</f>
        <v>0</v>
      </c>
      <c r="I289" s="5">
        <f>ROUND(SUBTOTAL(9, I199:I288), 5)</f>
        <v>0</v>
      </c>
      <c r="J289" s="5">
        <f>ROUND(SUBTOTAL(9, J199:J288), 5)</f>
        <v>0</v>
      </c>
      <c r="K289" s="5">
        <f>ROUND(SUBTOTAL(9, K199:K288), 5)</f>
        <v>0</v>
      </c>
      <c r="L289" s="5">
        <f>ROUND(SUBTOTAL(9, L199:L288), 5)</f>
        <v>0</v>
      </c>
      <c r="M289" s="5">
        <f>ROUND(SUBTOTAL(9, M199:M288), 5)</f>
        <v>0</v>
      </c>
    </row>
    <row r="290" spans="1:13" customFormat="1" ht="14.5" x14ac:dyDescent="0.35">
      <c r="A290" s="6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</row>
    <row r="291" spans="1:13" ht="13.5" thickBot="1" x14ac:dyDescent="0.35">
      <c r="A291" s="3" t="s">
        <v>217</v>
      </c>
      <c r="B291" s="4">
        <f>-(ROUND(-B197+B289, 5))</f>
        <v>-19578214.43</v>
      </c>
      <c r="C291" s="5">
        <f>-(ROUND(-C197+C289, 5))</f>
        <v>10143823.130000001</v>
      </c>
      <c r="D291" s="5">
        <f>-(ROUND(-D197+D289, 5))</f>
        <v>24698526.670000002</v>
      </c>
      <c r="E291" s="5">
        <f>-(ROUND(-E197+E289, 5))</f>
        <v>20492920.600000001</v>
      </c>
      <c r="F291" s="5">
        <f>-(ROUND(-F197+F289, 5))</f>
        <v>15085307.039999999</v>
      </c>
      <c r="G291" s="5">
        <f>-(ROUND(-G197+G289, 5))</f>
        <v>43196458.719999999</v>
      </c>
      <c r="H291" s="5">
        <f>-(ROUND(-H197+H289, 5))</f>
        <v>0</v>
      </c>
      <c r="I291" s="5">
        <f>-(ROUND(-I197+I289, 5))</f>
        <v>0</v>
      </c>
      <c r="J291" s="5">
        <f>-(ROUND(-J197+J289, 5))</f>
        <v>0</v>
      </c>
      <c r="K291" s="5">
        <f>-(ROUND(-K197+K289, 5))</f>
        <v>0</v>
      </c>
      <c r="L291" s="5">
        <f>-(ROUND(-L197+L289, 5))</f>
        <v>0</v>
      </c>
      <c r="M291" s="5">
        <f>-(ROUND(-M197+M289, 5))</f>
        <v>0</v>
      </c>
    </row>
    <row r="292" spans="1:13" customFormat="1" ht="15.5" thickTop="1" thickBot="1" x14ac:dyDescent="0.4">
      <c r="A292" s="8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</row>
  </sheetData>
  <pageMargins left="0.7" right="0.7" top="1.375" bottom="0.65277777777777779" header="0.3" footer="0.3"/>
  <pageSetup orientation="landscape" r:id="rId1"/>
  <headerFooter>
    <oddHeader xml:space="preserve">&amp;C&amp;"Times New Roman"&amp;8
&amp;10PLACEWARE NIGERIA LIMITED
Income Statement - 12 Periods
For January 1, 2026 through December 31, 2026
&amp;L&amp;"Times New Roman"&amp;8
&amp;10
</oddHeader>
    <oddFooter>&amp;L&amp;10&amp;"Times New Roman"&amp;D at &amp;T&amp;R&amp;10&amp;"Times New Roman"Page: &amp;P&amp;C&amp;10&amp;"Times New Roman"For Management Purposes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Income - 12 Period</vt:lpstr>
      <vt:lpstr>'Income - 12 Period'!Print_Titles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Mofe Akinola</dc:creator>
  <cp:lastModifiedBy>Mofe Akinola</cp:lastModifiedBy>
  <dcterms:created xsi:type="dcterms:W3CDTF">2026-07-05T17:52:24Z</dcterms:created>
  <dcterms:modified xsi:type="dcterms:W3CDTF">2026-07-05T17:53:35Z</dcterms:modified>
</cp:coreProperties>
</file>