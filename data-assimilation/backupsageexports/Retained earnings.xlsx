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902F9A0C-C682-4636-BDC9-A1AF7688FD42}" xr6:coauthVersionLast="47" xr6:coauthVersionMax="47" xr10:uidLastSave="{00000000-0000-0000-0000-000000000000}"/>
  <bookViews>
    <workbookView xWindow="-110" yWindow="-110" windowWidth="19420" windowHeight="10300" xr2:uid="{7BAB3634-58D7-4455-84B9-4143658414A7}"/>
  </bookViews>
  <sheets>
    <sheet name="Retained Earnings" sheetId="1" r:id="rId1"/>
  </sheets>
  <definedNames>
    <definedName name="_xlnm.Print_Titles" localSheetId="0">'Retained Earnings'!$1:$1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8" i="1"/>
</calcChain>
</file>

<file path=xl/sharedStrings.xml><?xml version="1.0" encoding="utf-8"?>
<sst xmlns="http://schemas.openxmlformats.org/spreadsheetml/2006/main" count="12" uniqueCount="8">
  <si>
    <t/>
  </si>
  <si>
    <t>Beginning Retained Earnings</t>
  </si>
  <si>
    <t>Adjustments To Date</t>
  </si>
  <si>
    <t>Net Income</t>
  </si>
  <si>
    <t>Subtotal</t>
  </si>
  <si>
    <t>Member's Contribution</t>
  </si>
  <si>
    <t>Member's Draw</t>
  </si>
  <si>
    <t>Ending 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</si>
</sst>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E1CF-8AC7-4E8D-989E-A22B632F3BD6}">
  <dimension ref="A1:B16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42.6328125" style="1" customWidth="1"/>
    <col min="2" max="2" width="15.6328125" style="1" customWidth="1"/>
    <col min="3" max="16384" width="8.7265625" style="1"/>
  </cols>
  <sheetData>
    <row r="1" spans="1:2" x14ac:dyDescent="0.3">
      <c r="A1" s="2"/>
      <c r="B1" s="3"/>
    </row>
    <row r="2" spans="1:2" x14ac:dyDescent="0.3">
      <c r="A2" s="4" t="s">
        <v>0</v>
      </c>
    </row>
    <row r="3" spans="1:2" x14ac:dyDescent="0.3">
      <c r="A3" s="4" t="s">
        <v>0</v>
      </c>
    </row>
    <row r="4" spans="1:2" x14ac:dyDescent="0.3">
      <c r="A4" s="5" t="s">
        <v>1</v>
      </c>
      <c r="B4" s="6">
        <v>983477366.12</v>
      </c>
    </row>
    <row r="5" spans="1:2" x14ac:dyDescent="0.3">
      <c r="A5" s="5" t="s">
        <v>2</v>
      </c>
      <c r="B5" s="7">
        <v>0</v>
      </c>
    </row>
    <row r="6" spans="1:2" x14ac:dyDescent="0.3">
      <c r="A6" s="5" t="s">
        <v>3</v>
      </c>
      <c r="B6" s="7">
        <v>94038821.730000004</v>
      </c>
    </row>
    <row r="7" spans="1:2" customFormat="1" ht="14.5" x14ac:dyDescent="0.35">
      <c r="A7" s="8"/>
      <c r="B7" s="9"/>
    </row>
    <row r="8" spans="1:2" x14ac:dyDescent="0.3">
      <c r="A8" s="5" t="s">
        <v>4</v>
      </c>
      <c r="B8" s="7">
        <f>ROUND(SUBTOTAL(9, B2:B7), 5)</f>
        <v>1077516187.8499999</v>
      </c>
    </row>
    <row r="9" spans="1:2" x14ac:dyDescent="0.3">
      <c r="A9" s="4" t="s">
        <v>0</v>
      </c>
    </row>
    <row r="10" spans="1:2" x14ac:dyDescent="0.3">
      <c r="A10" s="5" t="s">
        <v>5</v>
      </c>
      <c r="B10" s="7">
        <v>0</v>
      </c>
    </row>
    <row r="11" spans="1:2" x14ac:dyDescent="0.3">
      <c r="A11" s="5" t="s">
        <v>6</v>
      </c>
      <c r="B11" s="7">
        <v>0</v>
      </c>
    </row>
    <row r="12" spans="1:2" customFormat="1" ht="14.5" x14ac:dyDescent="0.35">
      <c r="A12" s="8"/>
      <c r="B12" s="9"/>
    </row>
    <row r="13" spans="1:2" ht="13.5" thickBot="1" x14ac:dyDescent="0.35">
      <c r="A13" s="5" t="s">
        <v>7</v>
      </c>
      <c r="B13" s="6">
        <f>-(ROUND(-B8-SUBTOTAL(9, B9:B12), 5))</f>
        <v>1077516187.8499999</v>
      </c>
    </row>
    <row r="14" spans="1:2" customFormat="1" ht="15" thickTop="1" x14ac:dyDescent="0.35">
      <c r="A14" s="8"/>
      <c r="B14" s="10"/>
    </row>
    <row r="15" spans="1:2" x14ac:dyDescent="0.3">
      <c r="A15" s="4" t="s">
        <v>0</v>
      </c>
    </row>
    <row r="16" spans="1:2" ht="13.5" thickBot="1" x14ac:dyDescent="0.35">
      <c r="A16" s="11" t="s">
        <v>0</v>
      </c>
      <c r="B16" s="12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Statement of Retained Earnings
For the Six Months Ending June 30,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Retained Earnings</vt:lpstr>
      <vt:lpstr>'Retained Earnings'!Print_Titles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2026-07-05T17:55:54Z</dcterms:created>
  <dcterms:modified xsi:type="dcterms:W3CDTF">2026-07-05T17:57:45Z</dcterms:modified>
</cp:coreProperties>
</file>