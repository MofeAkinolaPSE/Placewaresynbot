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3920E115-1D72-4DE4-83D0-538EEB6FA4FE}" xr6:coauthVersionLast="47" xr6:coauthVersionMax="47" xr10:uidLastSave="{00000000-0000-0000-0000-000000000000}"/>
  <bookViews>
    <workbookView xWindow="-110" yWindow="-110" windowWidth="19420" windowHeight="10300" xr2:uid="{9FBB2399-52DC-43CE-A47D-5FFDE0093041}"/>
  </bookViews>
  <sheets>
    <sheet name="Income 2 yrs" sheetId="1" r:id="rId1"/>
  </sheets>
  <definedNames>
    <definedName name="_xlnm.Print_Titles" localSheetId="0">'Income 2 yrs'!$1:$1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2" i="1" l="1"/>
  <c r="D292" i="1"/>
  <c r="C292" i="1"/>
  <c r="B292" i="1"/>
  <c r="E290" i="1"/>
  <c r="D290" i="1"/>
  <c r="C290" i="1"/>
  <c r="B290" i="1"/>
  <c r="E197" i="1"/>
  <c r="D197" i="1"/>
  <c r="C197" i="1"/>
  <c r="B197" i="1"/>
  <c r="E195" i="1"/>
  <c r="D195" i="1"/>
  <c r="C195" i="1"/>
  <c r="B195" i="1"/>
  <c r="E98" i="1"/>
  <c r="D98" i="1"/>
  <c r="C98" i="1"/>
  <c r="B98" i="1"/>
</calcChain>
</file>

<file path=xl/sharedStrings.xml><?xml version="1.0" encoding="utf-8"?>
<sst xmlns="http://schemas.openxmlformats.org/spreadsheetml/2006/main" count="289" uniqueCount="209">
  <si>
    <t xml:space="preserve">
</t>
  </si>
  <si>
    <t>Current
Month</t>
  </si>
  <si>
    <t>Year to
Date</t>
  </si>
  <si>
    <t>Revenues</t>
  </si>
  <si>
    <t>Thymoglobulin 25mg/5ml</t>
  </si>
  <si>
    <t>Hepatitis B Vaccine</t>
  </si>
  <si>
    <t>Hepatitis A Vaccine</t>
  </si>
  <si>
    <t>Cervarix Vaccines</t>
  </si>
  <si>
    <t>Gardasil 4</t>
  </si>
  <si>
    <t>Haemohpilus Influenzae Type B</t>
  </si>
  <si>
    <t>Priorix Tetra 1D</t>
  </si>
  <si>
    <t>Typhoid Fever Vaccine</t>
  </si>
  <si>
    <t>Measles,Mumps&amp;Rubella Vaccine</t>
  </si>
  <si>
    <t>Chicken Pox Vaccine</t>
  </si>
  <si>
    <t>Dipthtera,Teta,Pertusis(w),hep</t>
  </si>
  <si>
    <t>Dipth,Tetan,pertu(w),HepB&amp;Hib</t>
  </si>
  <si>
    <t>Meningitis Vaccine</t>
  </si>
  <si>
    <t>Chronic Hep BTreat(lamivudine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</si>
  <si>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</si>
  <si>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</si>
  <si>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</si>
  <si>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</si>
  <si>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</si>
  <si>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</si>
  <si>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</si>
  <si>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</si>
  <si>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</si>
  <si>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</si>
  <si>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</si>
  <si>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</si>
  <si>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</si>
  <si>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</si>
  <si>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</si>
  <si>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</si>
  <si>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</si>
  <si>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</si>
  <si>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</si>
  <si>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</si>
  <si>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</si>
  <si>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</si>
  <si>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</si>
  <si>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</si>
  <si>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</si>
  <si>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</si>
  <si>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</si>
  <si>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</si>
  <si>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</si>
  <si>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</si>
  <si>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</si>
  <si>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</si>
  <si>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</si>
  <si>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</si>
  <si>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</si>
  <si>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</si>
  <si>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</si>
  <si>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</si>
  <si>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</si>
  <si>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</si>
  <si>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</si>
  <si>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Hexaxim</t>
  </si>
  <si>
    <t>Interest Income</t>
  </si>
  <si>
    <t>Other Income</t>
  </si>
  <si>
    <t>Finance Charge Income</t>
  </si>
  <si>
    <t>Shipping Charges Reimbursed</t>
  </si>
  <si>
    <t>Sales Returns and Allowances</t>
  </si>
  <si>
    <t>Sales Discounts</t>
  </si>
  <si>
    <t>ACRETIN 0.05%</t>
  </si>
  <si>
    <t>Discounts Received</t>
  </si>
  <si>
    <t>Lilly(CHI) Insulin</t>
  </si>
  <si>
    <t>Actrapid Flexpen 100IU</t>
  </si>
  <si>
    <t>Taxotere</t>
  </si>
  <si>
    <t>Epilim</t>
  </si>
  <si>
    <t>Tavanic</t>
  </si>
  <si>
    <t>Tetglob inj 250iu</t>
  </si>
  <si>
    <t>Nucard  160mg</t>
  </si>
  <si>
    <t>Nucard 80mg</t>
  </si>
  <si>
    <t>Androgel 1.62% Pump</t>
  </si>
  <si>
    <t>AVSAR 160/10mg Tab</t>
  </si>
  <si>
    <t>RECORMON 400IU</t>
  </si>
  <si>
    <t>XPLENDED 10MG</t>
  </si>
  <si>
    <t>Utrogestan 100Mg Cap Oral</t>
  </si>
  <si>
    <t>VARIRID</t>
  </si>
  <si>
    <t>ACRETIN 0.025%</t>
  </si>
  <si>
    <t>EVOFIX CAP 400MG</t>
  </si>
  <si>
    <t>EVOFIX SUSP 100MG</t>
  </si>
  <si>
    <t>UNI FRESH 30UD</t>
  </si>
  <si>
    <t>NOVOFINE NEEDLE 32G</t>
  </si>
  <si>
    <t>tetanus dipthteria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</si>
  <si>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</si>
  <si>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</si>
  <si>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</si>
  <si>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</si>
  <si>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</si>
  <si>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</si>
  <si>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</si>
  <si>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Total Revenues</t>
  </si>
  <si>
    <t/>
  </si>
  <si>
    <t>Cost of Sales</t>
  </si>
  <si>
    <t>Measles.Mumps &amp; Rubella Vac</t>
  </si>
  <si>
    <t>Dipthteria,Tetanu,Pertus(w),He</t>
  </si>
  <si>
    <t>Dipth,Tetan,Pertu(w),HepB&amp;Hib</t>
  </si>
  <si>
    <t>Chronic Hep B treat(Lamivudine</t>
  </si>
  <si>
    <t>Stamaril 1 Vial</t>
  </si>
  <si>
    <t>Novomix 30 Flexpen 100u</t>
  </si>
  <si>
    <t>Chicken Pox Vaccine(zolon)</t>
  </si>
  <si>
    <t>Cost of Sales-notions</t>
  </si>
  <si>
    <t>Cost of Sales-accessories</t>
  </si>
  <si>
    <t>Cost of Sales-Salaries and Wag</t>
  </si>
  <si>
    <t>Cost of Sales-Freight</t>
  </si>
  <si>
    <t>Cost of Sales-Other</t>
  </si>
  <si>
    <t>Inventory Adjustments</t>
  </si>
  <si>
    <t>Purchase Returns and Allowance</t>
  </si>
  <si>
    <t>Purchase Discounts</t>
  </si>
  <si>
    <t>Actrapid Flexpen</t>
  </si>
  <si>
    <t>Nucard 160mg</t>
  </si>
  <si>
    <t>Tetanus dipthteria multiple</t>
  </si>
  <si>
    <t>Total Cost of Sales</t>
  </si>
  <si>
    <t>Gross Profit</t>
  </si>
  <si>
    <t>Expenses</t>
  </si>
  <si>
    <t>Default Purchase Expense</t>
  </si>
  <si>
    <t>Advertising Expense</t>
  </si>
  <si>
    <t>Marketing expense-Local</t>
  </si>
  <si>
    <t>Marketing exp-International</t>
  </si>
  <si>
    <t>Amortization Expense</t>
  </si>
  <si>
    <t>Motor Repairs/Maintainance</t>
  </si>
  <si>
    <t>Power Bike Repairs/Maintain</t>
  </si>
  <si>
    <t>Motor oil/ fuel</t>
  </si>
  <si>
    <t>Bad Debt Expense</t>
  </si>
  <si>
    <t>Bank Charges (ZIB)</t>
  </si>
  <si>
    <t>Bank Charges (Diamond)</t>
  </si>
  <si>
    <t>Bank Charges (Fidelity)</t>
  </si>
  <si>
    <t>Business Premises</t>
  </si>
  <si>
    <t>Cash Over and Short</t>
  </si>
  <si>
    <t>Cash Lost</t>
  </si>
  <si>
    <t>Charitable Contributions Exp</t>
  </si>
  <si>
    <t>Commissions and Fees Exp</t>
  </si>
  <si>
    <t>Delivery Expense</t>
  </si>
  <si>
    <t>Depreciation Expense</t>
  </si>
  <si>
    <t>Dues and Subscriptions Exp</t>
  </si>
  <si>
    <t>Legal Fees Exp</t>
  </si>
  <si>
    <t>DSTV exp</t>
  </si>
  <si>
    <t>Discount Allowed</t>
  </si>
  <si>
    <t>Employee Benefit  Exp</t>
  </si>
  <si>
    <t>Employee Welfare &amp; Gift</t>
  </si>
  <si>
    <t>Traning and Development</t>
  </si>
  <si>
    <t>Staff Medical</t>
  </si>
  <si>
    <t>Freight Expense</t>
  </si>
  <si>
    <t>Public relations Expense</t>
  </si>
  <si>
    <t>Income Tax Expense</t>
  </si>
  <si>
    <t>Audit fee</t>
  </si>
  <si>
    <t>Insurance Expense</t>
  </si>
  <si>
    <t>Interest Expense</t>
  </si>
  <si>
    <t>Consultancy  Expense</t>
  </si>
  <si>
    <t>Accounting/auditing expense</t>
  </si>
  <si>
    <t>Registration &amp;Licenses Expense</t>
  </si>
  <si>
    <t>Lawma</t>
  </si>
  <si>
    <t>Land Use Charge</t>
  </si>
  <si>
    <t>Computer repairs/maintainance</t>
  </si>
  <si>
    <t>Internet Expenses</t>
  </si>
  <si>
    <t>General Office Expenses</t>
  </si>
  <si>
    <t>Contract Expenses</t>
  </si>
  <si>
    <t>Meals and Entertainment Exp</t>
  </si>
  <si>
    <t>Office Expense</t>
  </si>
  <si>
    <t>Parking Ticket</t>
  </si>
  <si>
    <t>Gift &amp; Donation</t>
  </si>
  <si>
    <t>Payroll Tax Expense</t>
  </si>
  <si>
    <t>Penalties and Fines Exp</t>
  </si>
  <si>
    <t>Other Taxes</t>
  </si>
  <si>
    <t>Postage Expense</t>
  </si>
  <si>
    <t>Rent or Lease Expense</t>
  </si>
  <si>
    <t>Electricity &amp; Diesel</t>
  </si>
  <si>
    <t>Repairs &amp; Maintenance</t>
  </si>
  <si>
    <t>Printing  Expense</t>
  </si>
  <si>
    <t>Stationery Expense</t>
  </si>
  <si>
    <t>Salaries Expense</t>
  </si>
  <si>
    <t>Staff Pension</t>
  </si>
  <si>
    <t>End of year bonus &amp; Leave Allo</t>
  </si>
  <si>
    <t>Industrial Training Fund</t>
  </si>
  <si>
    <t>Nig Social Insurance Trust Fun</t>
  </si>
  <si>
    <t>Wages Expense</t>
  </si>
  <si>
    <t>Staff Welfare</t>
  </si>
  <si>
    <t>Office telephone  Expense</t>
  </si>
  <si>
    <t>Business telephone  Expense</t>
  </si>
  <si>
    <t>Wth tax</t>
  </si>
  <si>
    <t>Storage Expenses</t>
  </si>
  <si>
    <t>Packaging And Branding</t>
  </si>
  <si>
    <t>Transportation</t>
  </si>
  <si>
    <t>Marketing expense- Mr Lateef</t>
  </si>
  <si>
    <t>Marketing expenses-Ajayi Temil</t>
  </si>
  <si>
    <t>Marketiing Exp- Mr Oladimeji</t>
  </si>
  <si>
    <t>Marketing Exp-Mr Femi Ogunmoku</t>
  </si>
  <si>
    <t>Marketing Expenses- Mrs Jegede</t>
  </si>
  <si>
    <t>Marketing expense- Mr Bankole</t>
  </si>
  <si>
    <t>Marketing expense - Mr Ayodele</t>
  </si>
  <si>
    <t>Marketing expense- Mr Vincent</t>
  </si>
  <si>
    <t>Marketing Expenses - Mr Isaac</t>
  </si>
  <si>
    <t>Marketing Expenses- Mr Sulymon</t>
  </si>
  <si>
    <t>Travelling Expenses</t>
  </si>
  <si>
    <t>Marketing Exp - Mr demilade</t>
  </si>
  <si>
    <t>Bad Debt</t>
  </si>
  <si>
    <t>Marketing expenses -Mr Kabir</t>
  </si>
  <si>
    <t>Purchase Disc-Expense Items</t>
  </si>
  <si>
    <t>Gain/Loss on Sale of Assets</t>
  </si>
  <si>
    <t>Deprec - Furnitur &amp; Fix</t>
  </si>
  <si>
    <t>Deprec - Office Equipment</t>
  </si>
  <si>
    <t>Deprec. Motor Vehicle</t>
  </si>
  <si>
    <t>Deprec. Plant &amp; Machinery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</si>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</sst>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2" xfId="0" applyNumberFormat="1" applyBorder="1" applyAlignment="1">
      <alignment horizontal="left"/>
    </xf>
    <xf numFmtId="165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423F-9B88-4E20-98D7-89041F9200A4}">
  <dimension ref="A1:E293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5" width="14.6328125" style="1" customWidth="1"/>
    <col min="6" max="16384" width="8.7265625" style="1"/>
  </cols>
  <sheetData>
    <row r="1" spans="1:5" ht="26" x14ac:dyDescent="0.3">
      <c r="A1" s="2" t="s">
        <v>0</v>
      </c>
      <c r="B1" s="3" t="s">
        <v>1</v>
      </c>
      <c r="C1" s="3" t="s">
        <v>1</v>
      </c>
      <c r="D1" s="3" t="s">
        <v>2</v>
      </c>
      <c r="E1" s="3" t="s">
        <v>2</v>
      </c>
    </row>
    <row r="2" spans="1:5" x14ac:dyDescent="0.3">
      <c r="A2" s="4" t="s">
        <v>3</v>
      </c>
    </row>
    <row r="3" spans="1:5" x14ac:dyDescent="0.3">
      <c r="A3" s="4" t="s">
        <v>4</v>
      </c>
      <c r="B3" s="5">
        <v>0</v>
      </c>
      <c r="C3" s="5">
        <v>0</v>
      </c>
      <c r="D3" s="5">
        <v>0</v>
      </c>
      <c r="E3" s="5">
        <v>0</v>
      </c>
    </row>
    <row r="4" spans="1:5" x14ac:dyDescent="0.3">
      <c r="A4" s="4" t="s">
        <v>5</v>
      </c>
      <c r="B4" s="6">
        <v>282225828.13999999</v>
      </c>
      <c r="C4" s="6">
        <v>274086625.48000002</v>
      </c>
      <c r="D4" s="6">
        <v>7662977</v>
      </c>
      <c r="E4" s="6">
        <v>15425549</v>
      </c>
    </row>
    <row r="5" spans="1:5" x14ac:dyDescent="0.3">
      <c r="A5" s="4" t="s">
        <v>6</v>
      </c>
      <c r="B5" s="6">
        <v>505644628.91000003</v>
      </c>
      <c r="C5" s="6">
        <v>406654850.26999998</v>
      </c>
      <c r="D5" s="6">
        <v>59708100.590000004</v>
      </c>
      <c r="E5" s="6">
        <v>93985961.799999997</v>
      </c>
    </row>
    <row r="6" spans="1:5" x14ac:dyDescent="0.3">
      <c r="A6" s="4" t="s">
        <v>7</v>
      </c>
      <c r="B6" s="6">
        <v>488674722</v>
      </c>
      <c r="C6" s="6">
        <v>498021964</v>
      </c>
      <c r="D6" s="6">
        <v>26983038</v>
      </c>
      <c r="E6" s="6">
        <v>22008490</v>
      </c>
    </row>
    <row r="7" spans="1:5" x14ac:dyDescent="0.3">
      <c r="A7" s="4" t="s">
        <v>8</v>
      </c>
      <c r="B7" s="6">
        <v>2000000</v>
      </c>
      <c r="C7" s="6">
        <v>0</v>
      </c>
      <c r="D7" s="6">
        <v>1325000</v>
      </c>
      <c r="E7" s="6">
        <v>0</v>
      </c>
    </row>
    <row r="8" spans="1:5" x14ac:dyDescent="0.3">
      <c r="A8" s="4" t="s">
        <v>9</v>
      </c>
      <c r="B8" s="6">
        <v>0</v>
      </c>
      <c r="C8" s="6">
        <v>0</v>
      </c>
      <c r="D8" s="6">
        <v>0</v>
      </c>
      <c r="E8" s="6">
        <v>0</v>
      </c>
    </row>
    <row r="9" spans="1:5" x14ac:dyDescent="0.3">
      <c r="A9" s="4" t="s">
        <v>10</v>
      </c>
      <c r="B9" s="6">
        <v>0</v>
      </c>
      <c r="C9" s="6">
        <v>354600</v>
      </c>
      <c r="D9" s="6">
        <v>0</v>
      </c>
      <c r="E9" s="6">
        <v>0</v>
      </c>
    </row>
    <row r="10" spans="1:5" x14ac:dyDescent="0.3">
      <c r="A10" s="4" t="s">
        <v>11</v>
      </c>
      <c r="B10" s="6">
        <v>227878815.75999999</v>
      </c>
      <c r="C10" s="6">
        <v>195379784</v>
      </c>
      <c r="D10" s="6">
        <v>23642722.260000002</v>
      </c>
      <c r="E10" s="6">
        <v>26144541</v>
      </c>
    </row>
    <row r="11" spans="1:5" x14ac:dyDescent="0.3">
      <c r="A11" s="4" t="s">
        <v>12</v>
      </c>
      <c r="B11" s="6">
        <v>619784401.54999995</v>
      </c>
      <c r="C11" s="6">
        <v>426934166.85000002</v>
      </c>
      <c r="D11" s="6">
        <v>93593117</v>
      </c>
      <c r="E11" s="6">
        <v>62512784</v>
      </c>
    </row>
    <row r="12" spans="1:5" x14ac:dyDescent="0.3">
      <c r="A12" s="4" t="s">
        <v>13</v>
      </c>
      <c r="B12" s="6">
        <v>179277096</v>
      </c>
      <c r="C12" s="6">
        <v>216837160.53999999</v>
      </c>
      <c r="D12" s="6">
        <v>0</v>
      </c>
      <c r="E12" s="6">
        <v>0</v>
      </c>
    </row>
    <row r="13" spans="1:5" x14ac:dyDescent="0.3">
      <c r="A13" s="4" t="s">
        <v>14</v>
      </c>
      <c r="B13" s="6">
        <v>0</v>
      </c>
      <c r="C13" s="6">
        <v>0</v>
      </c>
      <c r="D13" s="6">
        <v>0</v>
      </c>
      <c r="E13" s="6">
        <v>0</v>
      </c>
    </row>
    <row r="14" spans="1:5" x14ac:dyDescent="0.3">
      <c r="A14" s="4" t="s">
        <v>15</v>
      </c>
      <c r="B14" s="6">
        <v>0</v>
      </c>
      <c r="C14" s="6">
        <v>0</v>
      </c>
      <c r="D14" s="6">
        <v>0</v>
      </c>
      <c r="E14" s="6">
        <v>0</v>
      </c>
    </row>
    <row r="15" spans="1:5" x14ac:dyDescent="0.3">
      <c r="A15" s="4" t="s">
        <v>16</v>
      </c>
      <c r="B15" s="6">
        <v>938965076.29999995</v>
      </c>
      <c r="C15" s="6">
        <v>810678054.39999998</v>
      </c>
      <c r="D15" s="6">
        <v>81113513</v>
      </c>
      <c r="E15" s="6">
        <v>72541096</v>
      </c>
    </row>
    <row r="16" spans="1:5" x14ac:dyDescent="0.3">
      <c r="A16" s="4" t="s">
        <v>17</v>
      </c>
      <c r="B16" s="6">
        <v>0</v>
      </c>
      <c r="C16" s="6">
        <v>0</v>
      </c>
      <c r="D16" s="6">
        <v>0</v>
      </c>
      <c r="E16" s="6">
        <v>0</v>
      </c>
    </row>
    <row r="17" spans="1:5" x14ac:dyDescent="0.3">
      <c r="A17" s="4" t="s">
        <v>18</v>
      </c>
      <c r="B17" s="6">
        <v>5005292</v>
      </c>
      <c r="C17" s="6">
        <v>7053842</v>
      </c>
      <c r="D17" s="6">
        <v>0</v>
      </c>
      <c r="E17" s="6">
        <v>0</v>
      </c>
    </row>
    <row r="18" spans="1:5" x14ac:dyDescent="0.3">
      <c r="A18" s="4" t="s">
        <v>19</v>
      </c>
      <c r="B18" s="6">
        <v>582639849.55999994</v>
      </c>
      <c r="C18" s="6">
        <v>647633229.55999994</v>
      </c>
      <c r="D18" s="6">
        <v>33852727</v>
      </c>
      <c r="E18" s="6">
        <v>5413942</v>
      </c>
    </row>
    <row r="19" spans="1:5" x14ac:dyDescent="0.3">
      <c r="A19" s="4" t="s">
        <v>20</v>
      </c>
      <c r="B19" s="6">
        <v>1840107.5</v>
      </c>
      <c r="C19" s="6">
        <v>4567037.5</v>
      </c>
      <c r="D19" s="6">
        <v>15000</v>
      </c>
      <c r="E19" s="6">
        <v>0</v>
      </c>
    </row>
    <row r="20" spans="1:5" x14ac:dyDescent="0.3">
      <c r="A20" s="4" t="s">
        <v>21</v>
      </c>
      <c r="B20" s="6">
        <v>192486183.40000001</v>
      </c>
      <c r="C20" s="6">
        <v>151717941.40000001</v>
      </c>
      <c r="D20" s="6">
        <v>26988403</v>
      </c>
      <c r="E20" s="6">
        <v>20391077</v>
      </c>
    </row>
    <row r="21" spans="1:5" x14ac:dyDescent="0.3">
      <c r="A21" s="4" t="s">
        <v>22</v>
      </c>
      <c r="B21" s="6">
        <v>17318080.5</v>
      </c>
      <c r="C21" s="6">
        <v>27821224.5</v>
      </c>
      <c r="D21" s="6">
        <v>0</v>
      </c>
      <c r="E21" s="6">
        <v>0</v>
      </c>
    </row>
    <row r="22" spans="1:5" x14ac:dyDescent="0.3">
      <c r="A22" s="4" t="s">
        <v>23</v>
      </c>
      <c r="B22" s="6">
        <v>16646004.359999999</v>
      </c>
      <c r="C22" s="6">
        <v>17300799.359999999</v>
      </c>
      <c r="D22" s="6">
        <v>0</v>
      </c>
      <c r="E22" s="6">
        <v>508840</v>
      </c>
    </row>
    <row r="23" spans="1:5" x14ac:dyDescent="0.3">
      <c r="A23" s="4" t="s">
        <v>24</v>
      </c>
      <c r="B23" s="6">
        <v>0</v>
      </c>
      <c r="C23" s="6">
        <v>0</v>
      </c>
      <c r="D23" s="6">
        <v>0</v>
      </c>
      <c r="E23" s="6">
        <v>0</v>
      </c>
    </row>
    <row r="24" spans="1:5" x14ac:dyDescent="0.3">
      <c r="A24" s="4" t="s">
        <v>25</v>
      </c>
      <c r="B24" s="6">
        <v>0</v>
      </c>
      <c r="C24" s="6">
        <v>0</v>
      </c>
      <c r="D24" s="6">
        <v>0</v>
      </c>
      <c r="E24" s="6">
        <v>0</v>
      </c>
    </row>
    <row r="25" spans="1:5" x14ac:dyDescent="0.3">
      <c r="A25" s="4" t="s">
        <v>26</v>
      </c>
      <c r="B25" s="6">
        <v>163869</v>
      </c>
      <c r="C25" s="6">
        <v>654062</v>
      </c>
      <c r="D25" s="6">
        <v>0</v>
      </c>
      <c r="E25" s="6">
        <v>0</v>
      </c>
    </row>
    <row r="26" spans="1:5" x14ac:dyDescent="0.3">
      <c r="A26" s="4" t="s">
        <v>27</v>
      </c>
      <c r="B26" s="6">
        <v>33323538.5</v>
      </c>
      <c r="C26" s="6">
        <v>24192806.5</v>
      </c>
      <c r="D26" s="6">
        <v>6999198</v>
      </c>
      <c r="E26" s="6">
        <v>3866132</v>
      </c>
    </row>
    <row r="27" spans="1:5" x14ac:dyDescent="0.3">
      <c r="A27" s="4" t="s">
        <v>28</v>
      </c>
      <c r="B27" s="6">
        <v>0</v>
      </c>
      <c r="C27" s="6">
        <v>0</v>
      </c>
      <c r="D27" s="6">
        <v>0</v>
      </c>
      <c r="E27" s="6">
        <v>0</v>
      </c>
    </row>
    <row r="28" spans="1:5" x14ac:dyDescent="0.3">
      <c r="A28" s="4" t="s">
        <v>29</v>
      </c>
      <c r="B28" s="6">
        <v>0</v>
      </c>
      <c r="C28" s="6">
        <v>0</v>
      </c>
      <c r="D28" s="6">
        <v>0</v>
      </c>
      <c r="E28" s="6">
        <v>0</v>
      </c>
    </row>
    <row r="29" spans="1:5" x14ac:dyDescent="0.3">
      <c r="A29" s="4" t="s">
        <v>30</v>
      </c>
      <c r="B29" s="6">
        <v>0</v>
      </c>
      <c r="C29" s="6">
        <v>0</v>
      </c>
      <c r="D29" s="6">
        <v>0</v>
      </c>
      <c r="E29" s="6">
        <v>0</v>
      </c>
    </row>
    <row r="30" spans="1:5" x14ac:dyDescent="0.3">
      <c r="A30" s="4" t="s">
        <v>31</v>
      </c>
      <c r="B30" s="6">
        <v>45015846.700000003</v>
      </c>
      <c r="C30" s="6">
        <v>37954958.700000003</v>
      </c>
      <c r="D30" s="6">
        <v>3669239</v>
      </c>
      <c r="E30" s="6">
        <v>3072548</v>
      </c>
    </row>
    <row r="31" spans="1:5" x14ac:dyDescent="0.3">
      <c r="A31" s="4" t="s">
        <v>32</v>
      </c>
      <c r="B31" s="6">
        <v>4341755.9800000004</v>
      </c>
      <c r="C31" s="6">
        <v>2914269.4</v>
      </c>
      <c r="D31" s="6">
        <v>1507863.58</v>
      </c>
      <c r="E31" s="6">
        <v>-914</v>
      </c>
    </row>
    <row r="32" spans="1:5" x14ac:dyDescent="0.3">
      <c r="A32" s="4" t="s">
        <v>33</v>
      </c>
      <c r="B32" s="6">
        <v>0</v>
      </c>
      <c r="C32" s="6">
        <v>0</v>
      </c>
      <c r="D32" s="6">
        <v>0</v>
      </c>
      <c r="E32" s="6">
        <v>0</v>
      </c>
    </row>
    <row r="33" spans="1:5" x14ac:dyDescent="0.3">
      <c r="A33" s="4" t="s">
        <v>34</v>
      </c>
      <c r="B33" s="6">
        <v>118786877.12</v>
      </c>
      <c r="C33" s="6">
        <v>101775142</v>
      </c>
      <c r="D33" s="6">
        <v>8767081.1199999992</v>
      </c>
      <c r="E33" s="6">
        <v>9028724</v>
      </c>
    </row>
    <row r="34" spans="1:5" x14ac:dyDescent="0.3">
      <c r="A34" s="4" t="s">
        <v>35</v>
      </c>
      <c r="B34" s="6">
        <v>0</v>
      </c>
      <c r="C34" s="6">
        <v>0</v>
      </c>
      <c r="D34" s="6">
        <v>0</v>
      </c>
      <c r="E34" s="6">
        <v>0</v>
      </c>
    </row>
    <row r="35" spans="1:5" x14ac:dyDescent="0.3">
      <c r="A35" s="4" t="s">
        <v>36</v>
      </c>
      <c r="B35" s="6">
        <v>0</v>
      </c>
      <c r="C35" s="6">
        <v>0</v>
      </c>
      <c r="D35" s="6">
        <v>0</v>
      </c>
      <c r="E35" s="6">
        <v>0</v>
      </c>
    </row>
    <row r="36" spans="1:5" x14ac:dyDescent="0.3">
      <c r="A36" s="4" t="s">
        <v>37</v>
      </c>
      <c r="B36" s="6">
        <v>12142250</v>
      </c>
      <c r="C36" s="6">
        <v>4580125</v>
      </c>
      <c r="D36" s="6">
        <v>0</v>
      </c>
      <c r="E36" s="6">
        <v>1442750</v>
      </c>
    </row>
    <row r="37" spans="1:5" x14ac:dyDescent="0.3">
      <c r="A37" s="4" t="s">
        <v>38</v>
      </c>
      <c r="B37" s="6">
        <v>2674927</v>
      </c>
      <c r="C37" s="6">
        <v>3311137</v>
      </c>
      <c r="D37" s="6">
        <v>0</v>
      </c>
      <c r="E37" s="6">
        <v>0</v>
      </c>
    </row>
    <row r="38" spans="1:5" x14ac:dyDescent="0.3">
      <c r="A38" s="4" t="s">
        <v>39</v>
      </c>
      <c r="B38" s="6">
        <v>10590339.119999999</v>
      </c>
      <c r="C38" s="6">
        <v>13441586.890000001</v>
      </c>
      <c r="D38" s="6">
        <v>0</v>
      </c>
      <c r="E38" s="6">
        <v>0</v>
      </c>
    </row>
    <row r="39" spans="1:5" x14ac:dyDescent="0.3">
      <c r="A39" s="4" t="s">
        <v>40</v>
      </c>
      <c r="B39" s="6">
        <v>1881500</v>
      </c>
      <c r="C39" s="6">
        <v>2401000</v>
      </c>
      <c r="D39" s="6">
        <v>0</v>
      </c>
      <c r="E39" s="6">
        <v>6500</v>
      </c>
    </row>
    <row r="40" spans="1:5" x14ac:dyDescent="0.3">
      <c r="A40" s="4" t="s">
        <v>41</v>
      </c>
      <c r="B40" s="6">
        <v>228207444.5</v>
      </c>
      <c r="C40" s="6">
        <v>222157988.5</v>
      </c>
      <c r="D40" s="6">
        <v>4283220</v>
      </c>
      <c r="E40" s="6">
        <v>39314985</v>
      </c>
    </row>
    <row r="41" spans="1:5" x14ac:dyDescent="0.3">
      <c r="A41" s="4" t="s">
        <v>42</v>
      </c>
      <c r="B41" s="6">
        <v>8330545</v>
      </c>
      <c r="C41" s="6">
        <v>6824335</v>
      </c>
      <c r="D41" s="6">
        <v>1166780</v>
      </c>
      <c r="E41" s="6">
        <v>1353320</v>
      </c>
    </row>
    <row r="42" spans="1:5" x14ac:dyDescent="0.3">
      <c r="A42" s="4" t="s">
        <v>43</v>
      </c>
      <c r="B42" s="6">
        <v>931292</v>
      </c>
      <c r="C42" s="6">
        <v>1042992</v>
      </c>
      <c r="D42" s="6">
        <v>0</v>
      </c>
      <c r="E42" s="6">
        <v>0</v>
      </c>
    </row>
    <row r="43" spans="1:5" x14ac:dyDescent="0.3">
      <c r="A43" s="4" t="s">
        <v>44</v>
      </c>
      <c r="B43" s="6">
        <v>9327823</v>
      </c>
      <c r="C43" s="6">
        <v>4659541</v>
      </c>
      <c r="D43" s="6">
        <v>1850555</v>
      </c>
      <c r="E43" s="6">
        <v>3644641</v>
      </c>
    </row>
    <row r="44" spans="1:5" x14ac:dyDescent="0.3">
      <c r="A44" s="4" t="s">
        <v>45</v>
      </c>
      <c r="B44" s="6">
        <v>0</v>
      </c>
      <c r="C44" s="6">
        <v>57000</v>
      </c>
      <c r="D44" s="6">
        <v>0</v>
      </c>
      <c r="E44" s="6">
        <v>0</v>
      </c>
    </row>
    <row r="45" spans="1:5" x14ac:dyDescent="0.3">
      <c r="A45" s="4" t="s">
        <v>46</v>
      </c>
      <c r="B45" s="6">
        <v>46503594</v>
      </c>
      <c r="C45" s="6">
        <v>52342998</v>
      </c>
      <c r="D45" s="6">
        <v>0</v>
      </c>
      <c r="E45" s="6">
        <v>4690980</v>
      </c>
    </row>
    <row r="46" spans="1:5" x14ac:dyDescent="0.3">
      <c r="A46" s="4" t="s">
        <v>47</v>
      </c>
      <c r="B46" s="6">
        <v>126807528.91</v>
      </c>
      <c r="C46" s="6">
        <v>119206748.91</v>
      </c>
      <c r="D46" s="6">
        <v>13657068</v>
      </c>
      <c r="E46" s="6">
        <v>11460762</v>
      </c>
    </row>
    <row r="47" spans="1:5" x14ac:dyDescent="0.3">
      <c r="A47" s="4" t="s">
        <v>48</v>
      </c>
      <c r="B47" s="6">
        <v>324054309.01999998</v>
      </c>
      <c r="C47" s="6">
        <v>334592663.94</v>
      </c>
      <c r="D47" s="6">
        <v>0</v>
      </c>
      <c r="E47" s="6">
        <v>3253700</v>
      </c>
    </row>
    <row r="48" spans="1:5" x14ac:dyDescent="0.3">
      <c r="A48" s="4" t="s">
        <v>49</v>
      </c>
      <c r="B48" s="6">
        <v>457067859.62</v>
      </c>
      <c r="C48" s="6">
        <v>438143064.62</v>
      </c>
      <c r="D48" s="6">
        <v>11358055</v>
      </c>
      <c r="E48" s="6">
        <v>26670144</v>
      </c>
    </row>
    <row r="49" spans="1:5" x14ac:dyDescent="0.3">
      <c r="A49" s="4" t="s">
        <v>50</v>
      </c>
      <c r="B49" s="6">
        <v>45745264.009999998</v>
      </c>
      <c r="C49" s="6">
        <v>49675814.009999998</v>
      </c>
      <c r="D49" s="6">
        <v>0</v>
      </c>
      <c r="E49" s="6">
        <v>0</v>
      </c>
    </row>
    <row r="50" spans="1:5" x14ac:dyDescent="0.3">
      <c r="A50" s="4" t="s">
        <v>51</v>
      </c>
      <c r="B50" s="6">
        <v>1356500</v>
      </c>
      <c r="C50" s="6">
        <v>3278834</v>
      </c>
      <c r="D50" s="6">
        <v>0</v>
      </c>
      <c r="E50" s="6">
        <v>5500</v>
      </c>
    </row>
    <row r="51" spans="1:5" x14ac:dyDescent="0.3">
      <c r="A51" s="4" t="s">
        <v>52</v>
      </c>
      <c r="B51" s="6">
        <v>5562863</v>
      </c>
      <c r="C51" s="6">
        <v>10132968.529999999</v>
      </c>
      <c r="D51" s="6">
        <v>0</v>
      </c>
      <c r="E51" s="6">
        <v>0</v>
      </c>
    </row>
    <row r="52" spans="1:5" x14ac:dyDescent="0.3">
      <c r="A52" s="4" t="s">
        <v>53</v>
      </c>
      <c r="B52" s="6">
        <v>10799643</v>
      </c>
      <c r="C52" s="6">
        <v>11317681</v>
      </c>
      <c r="D52" s="6">
        <v>0</v>
      </c>
      <c r="E52" s="6">
        <v>0</v>
      </c>
    </row>
    <row r="53" spans="1:5" x14ac:dyDescent="0.3">
      <c r="A53" s="4" t="s">
        <v>54</v>
      </c>
      <c r="B53" s="6">
        <v>1754979.8</v>
      </c>
      <c r="C53" s="6">
        <v>2543774.7999999998</v>
      </c>
      <c r="D53" s="6">
        <v>0</v>
      </c>
      <c r="E53" s="6">
        <v>0</v>
      </c>
    </row>
    <row r="54" spans="1:5" x14ac:dyDescent="0.3">
      <c r="A54" s="4" t="s">
        <v>55</v>
      </c>
      <c r="B54" s="6">
        <v>687265777.78999996</v>
      </c>
      <c r="C54" s="6">
        <v>487526871.29000002</v>
      </c>
      <c r="D54" s="6">
        <v>105745068.8</v>
      </c>
      <c r="E54" s="6">
        <v>120239962</v>
      </c>
    </row>
    <row r="55" spans="1:5" x14ac:dyDescent="0.3">
      <c r="A55" s="4" t="s">
        <v>56</v>
      </c>
      <c r="B55" s="6">
        <v>28796461</v>
      </c>
      <c r="C55" s="6">
        <v>21410872</v>
      </c>
      <c r="D55" s="6">
        <v>5148228</v>
      </c>
      <c r="E55" s="6">
        <v>2773050</v>
      </c>
    </row>
    <row r="56" spans="1:5" x14ac:dyDescent="0.3">
      <c r="A56" s="4" t="s">
        <v>57</v>
      </c>
      <c r="B56" s="6">
        <v>69098163.859999999</v>
      </c>
      <c r="C56" s="6">
        <v>51446609.439999998</v>
      </c>
      <c r="D56" s="6">
        <v>6159669.1799999997</v>
      </c>
      <c r="E56" s="6">
        <v>4345999.9400000004</v>
      </c>
    </row>
    <row r="57" spans="1:5" x14ac:dyDescent="0.3">
      <c r="A57" s="4" t="s">
        <v>58</v>
      </c>
      <c r="B57" s="6">
        <v>0</v>
      </c>
      <c r="C57" s="6">
        <v>0</v>
      </c>
      <c r="D57" s="6">
        <v>0</v>
      </c>
      <c r="E57" s="6">
        <v>0</v>
      </c>
    </row>
    <row r="58" spans="1:5" x14ac:dyDescent="0.3">
      <c r="A58" s="4" t="s">
        <v>59</v>
      </c>
      <c r="B58" s="6">
        <v>714609381.50999999</v>
      </c>
      <c r="C58" s="6">
        <v>485698961.25999999</v>
      </c>
      <c r="D58" s="6">
        <v>122704106</v>
      </c>
      <c r="E58" s="6">
        <v>75684617.140000001</v>
      </c>
    </row>
    <row r="59" spans="1:5" x14ac:dyDescent="0.3">
      <c r="A59" s="4" t="s">
        <v>60</v>
      </c>
      <c r="B59" s="6">
        <v>982282.42</v>
      </c>
      <c r="C59" s="6">
        <v>860710.34</v>
      </c>
      <c r="D59" s="6">
        <v>0</v>
      </c>
      <c r="E59" s="6">
        <v>859495.56</v>
      </c>
    </row>
    <row r="60" spans="1:5" x14ac:dyDescent="0.3">
      <c r="A60" s="4" t="s">
        <v>61</v>
      </c>
      <c r="B60" s="6">
        <v>9499261</v>
      </c>
      <c r="C60" s="6">
        <v>7960661.5</v>
      </c>
      <c r="D60" s="6">
        <v>955500</v>
      </c>
      <c r="E60" s="6">
        <v>815500</v>
      </c>
    </row>
    <row r="61" spans="1:5" x14ac:dyDescent="0.3">
      <c r="A61" s="4" t="s">
        <v>6</v>
      </c>
      <c r="B61" s="6">
        <v>0</v>
      </c>
      <c r="C61" s="6">
        <v>0</v>
      </c>
      <c r="D61" s="6">
        <v>0</v>
      </c>
      <c r="E61" s="6">
        <v>0</v>
      </c>
    </row>
    <row r="62" spans="1:5" x14ac:dyDescent="0.3">
      <c r="A62" s="4" t="s">
        <v>62</v>
      </c>
      <c r="B62" s="6">
        <v>0</v>
      </c>
      <c r="C62" s="6">
        <v>0</v>
      </c>
      <c r="D62" s="6">
        <v>0</v>
      </c>
      <c r="E62" s="6">
        <v>0</v>
      </c>
    </row>
    <row r="63" spans="1:5" x14ac:dyDescent="0.3">
      <c r="A63" s="4" t="s">
        <v>63</v>
      </c>
      <c r="B63" s="6">
        <v>0</v>
      </c>
      <c r="C63" s="6">
        <v>0</v>
      </c>
      <c r="D63" s="6">
        <v>0</v>
      </c>
      <c r="E63" s="6">
        <v>0</v>
      </c>
    </row>
    <row r="64" spans="1:5" x14ac:dyDescent="0.3">
      <c r="A64" s="4" t="s">
        <v>64</v>
      </c>
      <c r="B64" s="6">
        <v>8000</v>
      </c>
      <c r="C64" s="6">
        <v>8000</v>
      </c>
      <c r="D64" s="6">
        <v>0</v>
      </c>
      <c r="E64" s="6">
        <v>0</v>
      </c>
    </row>
    <row r="65" spans="1:5" x14ac:dyDescent="0.3">
      <c r="A65" s="4" t="s">
        <v>65</v>
      </c>
      <c r="B65" s="6">
        <v>-14137678.91</v>
      </c>
      <c r="C65" s="6">
        <v>-12689754.66</v>
      </c>
      <c r="D65" s="6">
        <v>-1205618</v>
      </c>
      <c r="E65" s="6">
        <v>-178800</v>
      </c>
    </row>
    <row r="66" spans="1:5" x14ac:dyDescent="0.3">
      <c r="A66" s="4" t="s">
        <v>66</v>
      </c>
      <c r="B66" s="6">
        <v>0</v>
      </c>
      <c r="C66" s="6">
        <v>0</v>
      </c>
      <c r="D66" s="6">
        <v>0</v>
      </c>
      <c r="E66" s="6">
        <v>0</v>
      </c>
    </row>
    <row r="67" spans="1:5" x14ac:dyDescent="0.3">
      <c r="A67" s="4" t="s">
        <v>67</v>
      </c>
      <c r="B67" s="6">
        <v>76190808.400000006</v>
      </c>
      <c r="C67" s="6">
        <v>75559336.209999993</v>
      </c>
      <c r="D67" s="6">
        <v>0</v>
      </c>
      <c r="E67" s="6">
        <v>0</v>
      </c>
    </row>
    <row r="68" spans="1:5" x14ac:dyDescent="0.3">
      <c r="A68" s="4" t="s">
        <v>68</v>
      </c>
      <c r="B68" s="6">
        <v>741955</v>
      </c>
      <c r="C68" s="6">
        <v>741955</v>
      </c>
      <c r="D68" s="6">
        <v>0</v>
      </c>
      <c r="E68" s="6">
        <v>0</v>
      </c>
    </row>
    <row r="69" spans="1:5" x14ac:dyDescent="0.3">
      <c r="A69" s="4" t="s">
        <v>69</v>
      </c>
      <c r="B69" s="6">
        <v>8000</v>
      </c>
      <c r="C69" s="6">
        <v>8000</v>
      </c>
      <c r="D69" s="6">
        <v>0</v>
      </c>
      <c r="E69" s="6">
        <v>0</v>
      </c>
    </row>
    <row r="70" spans="1:5" x14ac:dyDescent="0.3">
      <c r="A70" s="4" t="s">
        <v>70</v>
      </c>
      <c r="B70" s="6">
        <v>2800000</v>
      </c>
      <c r="C70" s="6">
        <v>2800000</v>
      </c>
      <c r="D70" s="6">
        <v>0</v>
      </c>
      <c r="E70" s="6">
        <v>0</v>
      </c>
    </row>
    <row r="71" spans="1:5" x14ac:dyDescent="0.3">
      <c r="A71" s="4" t="s">
        <v>71</v>
      </c>
      <c r="B71" s="6">
        <v>0</v>
      </c>
      <c r="C71" s="6">
        <v>0</v>
      </c>
      <c r="D71" s="6">
        <v>0</v>
      </c>
      <c r="E71" s="6">
        <v>0</v>
      </c>
    </row>
    <row r="72" spans="1:5" x14ac:dyDescent="0.3">
      <c r="A72" s="4" t="s">
        <v>72</v>
      </c>
      <c r="B72" s="6">
        <v>48954105.5</v>
      </c>
      <c r="C72" s="6">
        <v>31715253.5</v>
      </c>
      <c r="D72" s="6">
        <v>9134490</v>
      </c>
      <c r="E72" s="6">
        <v>10835441</v>
      </c>
    </row>
    <row r="73" spans="1:5" x14ac:dyDescent="0.3">
      <c r="A73" s="4" t="s">
        <v>73</v>
      </c>
      <c r="B73" s="6">
        <v>500000</v>
      </c>
      <c r="C73" s="6">
        <v>500000</v>
      </c>
      <c r="D73" s="6">
        <v>0</v>
      </c>
      <c r="E73" s="6">
        <v>0</v>
      </c>
    </row>
    <row r="74" spans="1:5" x14ac:dyDescent="0.3">
      <c r="A74" s="4" t="s">
        <v>74</v>
      </c>
      <c r="B74" s="6">
        <v>12929420</v>
      </c>
      <c r="C74" s="6">
        <v>7976300</v>
      </c>
      <c r="D74" s="6">
        <v>2438140</v>
      </c>
      <c r="E74" s="6">
        <v>4214480</v>
      </c>
    </row>
    <row r="75" spans="1:5" x14ac:dyDescent="0.3">
      <c r="A75" s="4" t="s">
        <v>75</v>
      </c>
      <c r="B75" s="6">
        <v>7032877</v>
      </c>
      <c r="C75" s="6">
        <v>4186127</v>
      </c>
      <c r="D75" s="6">
        <v>1788000</v>
      </c>
      <c r="E75" s="6">
        <v>1089000</v>
      </c>
    </row>
    <row r="76" spans="1:5" x14ac:dyDescent="0.3">
      <c r="A76" s="4" t="s">
        <v>76</v>
      </c>
      <c r="B76" s="6">
        <v>8514584</v>
      </c>
      <c r="C76" s="6">
        <v>4438694</v>
      </c>
      <c r="D76" s="6">
        <v>2185000</v>
      </c>
      <c r="E76" s="6">
        <v>1568774</v>
      </c>
    </row>
    <row r="77" spans="1:5" x14ac:dyDescent="0.3">
      <c r="A77" s="4" t="s">
        <v>77</v>
      </c>
      <c r="B77" s="6">
        <v>1875402</v>
      </c>
      <c r="C77" s="6">
        <v>1710102</v>
      </c>
      <c r="D77" s="6">
        <v>0</v>
      </c>
      <c r="E77" s="6">
        <v>0</v>
      </c>
    </row>
    <row r="78" spans="1:5" x14ac:dyDescent="0.3">
      <c r="A78" s="4" t="s">
        <v>78</v>
      </c>
      <c r="B78" s="6">
        <v>561950</v>
      </c>
      <c r="C78" s="6">
        <v>561950</v>
      </c>
      <c r="D78" s="6">
        <v>0</v>
      </c>
      <c r="E78" s="6">
        <v>0</v>
      </c>
    </row>
    <row r="79" spans="1:5" x14ac:dyDescent="0.3">
      <c r="A79" s="4" t="s">
        <v>4</v>
      </c>
      <c r="B79" s="6">
        <v>2000000</v>
      </c>
      <c r="C79" s="6">
        <v>2000000</v>
      </c>
      <c r="D79" s="6">
        <v>0</v>
      </c>
      <c r="E79" s="6">
        <v>0</v>
      </c>
    </row>
    <row r="80" spans="1:5" x14ac:dyDescent="0.3">
      <c r="A80" s="4" t="s">
        <v>79</v>
      </c>
      <c r="B80" s="6">
        <v>560572</v>
      </c>
      <c r="C80" s="6">
        <v>560572</v>
      </c>
      <c r="D80" s="6">
        <v>0</v>
      </c>
      <c r="E80" s="6">
        <v>0</v>
      </c>
    </row>
    <row r="81" spans="1:5" x14ac:dyDescent="0.3">
      <c r="A81" s="4" t="s">
        <v>80</v>
      </c>
      <c r="B81" s="6">
        <v>234558</v>
      </c>
      <c r="C81" s="6">
        <v>234558</v>
      </c>
      <c r="D81" s="6">
        <v>0</v>
      </c>
      <c r="E81" s="6">
        <v>0</v>
      </c>
    </row>
    <row r="82" spans="1:5" x14ac:dyDescent="0.3">
      <c r="A82" s="4" t="s">
        <v>81</v>
      </c>
      <c r="B82" s="6">
        <v>862970396.75</v>
      </c>
      <c r="C82" s="6">
        <v>434589515</v>
      </c>
      <c r="D82" s="6">
        <v>148954041.75</v>
      </c>
      <c r="E82" s="6">
        <v>135309445</v>
      </c>
    </row>
    <row r="83" spans="1:5" x14ac:dyDescent="0.3">
      <c r="A83" s="4" t="s">
        <v>82</v>
      </c>
      <c r="B83" s="6">
        <v>1595175</v>
      </c>
      <c r="C83" s="6">
        <v>1193175</v>
      </c>
      <c r="D83" s="6">
        <v>0</v>
      </c>
      <c r="E83" s="6">
        <v>445300</v>
      </c>
    </row>
    <row r="84" spans="1:5" x14ac:dyDescent="0.3">
      <c r="A84" s="4" t="s">
        <v>66</v>
      </c>
      <c r="B84" s="6">
        <v>2836050</v>
      </c>
      <c r="C84" s="6">
        <v>2836050</v>
      </c>
      <c r="D84" s="6">
        <v>0</v>
      </c>
      <c r="E84" s="6">
        <v>-10350</v>
      </c>
    </row>
    <row r="85" spans="1:5" x14ac:dyDescent="0.3">
      <c r="A85" s="4" t="s">
        <v>83</v>
      </c>
      <c r="B85" s="6">
        <v>373000</v>
      </c>
      <c r="C85" s="6">
        <v>373000</v>
      </c>
      <c r="D85" s="6">
        <v>0</v>
      </c>
      <c r="E85" s="6">
        <v>0</v>
      </c>
    </row>
    <row r="86" spans="1:5" x14ac:dyDescent="0.3">
      <c r="A86" s="4" t="s">
        <v>84</v>
      </c>
      <c r="B86" s="6">
        <v>426000</v>
      </c>
      <c r="C86" s="6">
        <v>426000</v>
      </c>
      <c r="D86" s="6">
        <v>0</v>
      </c>
      <c r="E86" s="6">
        <v>0</v>
      </c>
    </row>
    <row r="87" spans="1:5" x14ac:dyDescent="0.3">
      <c r="A87" s="4" t="s">
        <v>85</v>
      </c>
      <c r="B87" s="6">
        <v>377000</v>
      </c>
      <c r="C87" s="6">
        <v>377000</v>
      </c>
      <c r="D87" s="6">
        <v>0</v>
      </c>
      <c r="E87" s="6">
        <v>0</v>
      </c>
    </row>
    <row r="88" spans="1:5" x14ac:dyDescent="0.3">
      <c r="A88" s="4" t="s">
        <v>86</v>
      </c>
      <c r="B88" s="6">
        <v>2331496</v>
      </c>
      <c r="C88" s="6">
        <v>210781</v>
      </c>
      <c r="D88" s="6">
        <v>438770</v>
      </c>
      <c r="E88" s="6">
        <v>109693</v>
      </c>
    </row>
    <row r="89" spans="1:5" x14ac:dyDescent="0.3">
      <c r="A89" s="4" t="s">
        <v>87</v>
      </c>
      <c r="B89" s="6">
        <v>4930125</v>
      </c>
      <c r="C89" s="6">
        <v>2031250</v>
      </c>
      <c r="D89" s="6">
        <v>877250</v>
      </c>
      <c r="E89" s="6">
        <v>1106500</v>
      </c>
    </row>
    <row r="90" spans="1:5" x14ac:dyDescent="0.3">
      <c r="A90" s="4" t="s">
        <v>88</v>
      </c>
      <c r="B90" s="6">
        <v>1123300</v>
      </c>
      <c r="C90" s="6">
        <v>729300</v>
      </c>
      <c r="D90" s="6">
        <v>0</v>
      </c>
      <c r="E90" s="6">
        <v>669800</v>
      </c>
    </row>
    <row r="91" spans="1:5" x14ac:dyDescent="0.3">
      <c r="A91" s="4" t="s">
        <v>89</v>
      </c>
      <c r="B91" s="6">
        <v>856464</v>
      </c>
      <c r="C91" s="6">
        <v>856464</v>
      </c>
      <c r="D91" s="6">
        <v>0</v>
      </c>
      <c r="E91" s="6">
        <v>436800</v>
      </c>
    </row>
    <row r="92" spans="1:5" x14ac:dyDescent="0.3">
      <c r="A92" s="4" t="s">
        <v>90</v>
      </c>
      <c r="B92" s="6">
        <v>126063</v>
      </c>
      <c r="C92" s="6">
        <v>308763</v>
      </c>
      <c r="D92" s="6">
        <v>-182700</v>
      </c>
      <c r="E92" s="6">
        <v>182700</v>
      </c>
    </row>
    <row r="93" spans="1:5" x14ac:dyDescent="0.3">
      <c r="A93" s="4" t="s">
        <v>91</v>
      </c>
      <c r="B93" s="6">
        <v>119660</v>
      </c>
      <c r="C93" s="6">
        <v>119660</v>
      </c>
      <c r="D93" s="6">
        <v>0</v>
      </c>
      <c r="E93" s="6">
        <v>29400</v>
      </c>
    </row>
    <row r="94" spans="1:5" x14ac:dyDescent="0.3">
      <c r="A94" s="4" t="s">
        <v>92</v>
      </c>
      <c r="B94" s="6">
        <v>539970</v>
      </c>
      <c r="C94" s="6">
        <v>308770</v>
      </c>
      <c r="D94" s="6">
        <v>0</v>
      </c>
      <c r="E94" s="6">
        <v>260100</v>
      </c>
    </row>
    <row r="95" spans="1:5" x14ac:dyDescent="0.3">
      <c r="A95" s="4" t="s">
        <v>93</v>
      </c>
      <c r="B95" s="6">
        <v>144500</v>
      </c>
      <c r="C95" s="6">
        <v>144500</v>
      </c>
      <c r="D95" s="6">
        <v>-127160</v>
      </c>
      <c r="E95" s="6">
        <v>86700</v>
      </c>
    </row>
    <row r="96" spans="1:5" x14ac:dyDescent="0.3">
      <c r="A96" s="4" t="s">
        <v>94</v>
      </c>
      <c r="B96" s="6">
        <v>27975001</v>
      </c>
      <c r="C96" s="6">
        <v>0</v>
      </c>
      <c r="D96" s="6">
        <v>27975001</v>
      </c>
      <c r="E96" s="6">
        <v>0</v>
      </c>
    </row>
    <row r="97" spans="1:5" customFormat="1" ht="14.5" x14ac:dyDescent="0.35">
      <c r="A97" s="7"/>
      <c r="B97" s="8"/>
      <c r="C97" s="8"/>
      <c r="D97" s="8"/>
      <c r="E97" s="8"/>
    </row>
    <row r="98" spans="1:5" x14ac:dyDescent="0.3">
      <c r="A98" s="4" t="s">
        <v>95</v>
      </c>
      <c r="B98" s="6">
        <f>ROUND(SUBTOTAL(9, B2:B97), 5)</f>
        <v>8121506716.5799999</v>
      </c>
      <c r="C98" s="6">
        <f>ROUND(SUBTOTAL(9, C2:C97), 5)</f>
        <v>6751962778.54</v>
      </c>
      <c r="D98" s="6">
        <f>ROUND(SUBTOTAL(9, D2:D97), 5)</f>
        <v>841131444.27999997</v>
      </c>
      <c r="E98" s="6">
        <f>ROUND(SUBTOTAL(9, E2:E97), 5)</f>
        <v>787615660.44000006</v>
      </c>
    </row>
    <row r="99" spans="1:5" customFormat="1" ht="14.5" x14ac:dyDescent="0.35">
      <c r="A99" s="7"/>
      <c r="B99" s="8"/>
      <c r="C99" s="8"/>
      <c r="D99" s="8"/>
      <c r="E99" s="8"/>
    </row>
    <row r="100" spans="1:5" x14ac:dyDescent="0.3">
      <c r="A100" s="9" t="s">
        <v>96</v>
      </c>
    </row>
    <row r="101" spans="1:5" x14ac:dyDescent="0.3">
      <c r="A101" s="4" t="s">
        <v>97</v>
      </c>
    </row>
    <row r="102" spans="1:5" x14ac:dyDescent="0.3">
      <c r="A102" s="4" t="s">
        <v>5</v>
      </c>
      <c r="B102" s="6">
        <v>214317072.62</v>
      </c>
      <c r="C102" s="6">
        <v>223494223.24000001</v>
      </c>
      <c r="D102" s="6">
        <v>-4028424</v>
      </c>
      <c r="E102" s="6">
        <v>12629266</v>
      </c>
    </row>
    <row r="103" spans="1:5" x14ac:dyDescent="0.3">
      <c r="A103" s="4" t="s">
        <v>6</v>
      </c>
      <c r="B103" s="6">
        <v>414352880.58999997</v>
      </c>
      <c r="C103" s="6">
        <v>376190725.5</v>
      </c>
      <c r="D103" s="6">
        <v>47718747.090000004</v>
      </c>
      <c r="E103" s="6">
        <v>108925251.92</v>
      </c>
    </row>
    <row r="104" spans="1:5" x14ac:dyDescent="0.3">
      <c r="A104" s="4" t="s">
        <v>7</v>
      </c>
      <c r="B104" s="6">
        <v>366235699.95999998</v>
      </c>
      <c r="C104" s="6">
        <v>386379559.95999998</v>
      </c>
      <c r="D104" s="6">
        <v>24035990</v>
      </c>
      <c r="E104" s="6">
        <v>8073000</v>
      </c>
    </row>
    <row r="105" spans="1:5" x14ac:dyDescent="0.3">
      <c r="A105" s="4" t="s">
        <v>8</v>
      </c>
      <c r="B105" s="6">
        <v>1600000</v>
      </c>
      <c r="C105" s="6">
        <v>0</v>
      </c>
      <c r="D105" s="6">
        <v>1060000</v>
      </c>
      <c r="E105" s="6">
        <v>0</v>
      </c>
    </row>
    <row r="106" spans="1:5" x14ac:dyDescent="0.3">
      <c r="A106" s="4" t="s">
        <v>9</v>
      </c>
      <c r="B106" s="6">
        <v>0</v>
      </c>
      <c r="C106" s="6">
        <v>0</v>
      </c>
      <c r="D106" s="6">
        <v>0</v>
      </c>
      <c r="E106" s="6">
        <v>0</v>
      </c>
    </row>
    <row r="107" spans="1:5" x14ac:dyDescent="0.3">
      <c r="A107" s="4" t="s">
        <v>10</v>
      </c>
      <c r="B107" s="6">
        <v>0</v>
      </c>
      <c r="C107" s="6">
        <v>121963.6</v>
      </c>
      <c r="D107" s="6">
        <v>0</v>
      </c>
      <c r="E107" s="6">
        <v>0</v>
      </c>
    </row>
    <row r="108" spans="1:5" x14ac:dyDescent="0.3">
      <c r="A108" s="4" t="s">
        <v>11</v>
      </c>
      <c r="B108" s="6">
        <v>180452874.69999999</v>
      </c>
      <c r="C108" s="6">
        <v>157362305.05000001</v>
      </c>
      <c r="D108" s="6">
        <v>18244510</v>
      </c>
      <c r="E108" s="6">
        <v>18146165.34</v>
      </c>
    </row>
    <row r="109" spans="1:5" x14ac:dyDescent="0.3">
      <c r="A109" s="4" t="s">
        <v>98</v>
      </c>
      <c r="B109" s="6">
        <v>494537794.5</v>
      </c>
      <c r="C109" s="6">
        <v>341237374.39999998</v>
      </c>
      <c r="D109" s="6">
        <v>66325073.600000001</v>
      </c>
      <c r="E109" s="6">
        <v>54791584</v>
      </c>
    </row>
    <row r="110" spans="1:5" x14ac:dyDescent="0.3">
      <c r="A110" s="4" t="s">
        <v>13</v>
      </c>
      <c r="B110" s="6">
        <v>154811764.80000001</v>
      </c>
      <c r="C110" s="6">
        <v>186315655.59999999</v>
      </c>
      <c r="D110" s="6">
        <v>0</v>
      </c>
      <c r="E110" s="6">
        <v>0</v>
      </c>
    </row>
    <row r="111" spans="1:5" x14ac:dyDescent="0.3">
      <c r="A111" s="4" t="s">
        <v>99</v>
      </c>
      <c r="B111" s="6">
        <v>0</v>
      </c>
      <c r="C111" s="6">
        <v>0</v>
      </c>
      <c r="D111" s="6">
        <v>0</v>
      </c>
      <c r="E111" s="6">
        <v>0</v>
      </c>
    </row>
    <row r="112" spans="1:5" x14ac:dyDescent="0.3">
      <c r="A112" s="4" t="s">
        <v>100</v>
      </c>
      <c r="B112" s="6">
        <v>0</v>
      </c>
      <c r="C112" s="6">
        <v>0</v>
      </c>
      <c r="D112" s="6">
        <v>0</v>
      </c>
      <c r="E112" s="6">
        <v>0</v>
      </c>
    </row>
    <row r="113" spans="1:5" x14ac:dyDescent="0.3">
      <c r="A113" s="4" t="s">
        <v>16</v>
      </c>
      <c r="B113" s="6">
        <v>879909975.36000001</v>
      </c>
      <c r="C113" s="6">
        <v>724699388.65999997</v>
      </c>
      <c r="D113" s="6">
        <v>109304300</v>
      </c>
      <c r="E113" s="6">
        <v>65923788.299999997</v>
      </c>
    </row>
    <row r="114" spans="1:5" x14ac:dyDescent="0.3">
      <c r="A114" s="4" t="s">
        <v>101</v>
      </c>
      <c r="B114" s="6">
        <v>0</v>
      </c>
      <c r="C114" s="6">
        <v>0</v>
      </c>
      <c r="D114" s="6">
        <v>0</v>
      </c>
      <c r="E114" s="6">
        <v>0</v>
      </c>
    </row>
    <row r="115" spans="1:5" x14ac:dyDescent="0.3">
      <c r="A115" s="4" t="s">
        <v>18</v>
      </c>
      <c r="B115" s="6">
        <v>3017411.5</v>
      </c>
      <c r="C115" s="6">
        <v>4831841.5</v>
      </c>
      <c r="D115" s="6">
        <v>0</v>
      </c>
      <c r="E115" s="6">
        <v>0</v>
      </c>
    </row>
    <row r="116" spans="1:5" x14ac:dyDescent="0.3">
      <c r="A116" s="4" t="s">
        <v>19</v>
      </c>
      <c r="B116" s="6">
        <v>503154318</v>
      </c>
      <c r="C116" s="6">
        <v>561558314</v>
      </c>
      <c r="D116" s="6">
        <v>28988050</v>
      </c>
      <c r="E116" s="6">
        <v>4869020</v>
      </c>
    </row>
    <row r="117" spans="1:5" x14ac:dyDescent="0.3">
      <c r="A117" s="4" t="s">
        <v>20</v>
      </c>
      <c r="B117" s="6">
        <v>1382750</v>
      </c>
      <c r="C117" s="6">
        <v>3722250</v>
      </c>
      <c r="D117" s="6">
        <v>7000</v>
      </c>
      <c r="E117" s="6">
        <v>0</v>
      </c>
    </row>
    <row r="118" spans="1:5" x14ac:dyDescent="0.3">
      <c r="A118" s="4" t="s">
        <v>21</v>
      </c>
      <c r="B118" s="6">
        <v>171074085.25</v>
      </c>
      <c r="C118" s="6">
        <v>133653403.65000001</v>
      </c>
      <c r="D118" s="6">
        <v>24582952</v>
      </c>
      <c r="E118" s="6">
        <v>18578676.25</v>
      </c>
    </row>
    <row r="119" spans="1:5" x14ac:dyDescent="0.3">
      <c r="A119" s="4" t="s">
        <v>22</v>
      </c>
      <c r="B119" s="6">
        <v>14443676.300000001</v>
      </c>
      <c r="C119" s="6">
        <v>24208811.52</v>
      </c>
      <c r="D119" s="6">
        <v>0</v>
      </c>
      <c r="E119" s="6">
        <v>0</v>
      </c>
    </row>
    <row r="120" spans="1:5" x14ac:dyDescent="0.3">
      <c r="A120" s="4" t="s">
        <v>23</v>
      </c>
      <c r="B120" s="6">
        <v>13453583.5</v>
      </c>
      <c r="C120" s="6">
        <v>14010069.5</v>
      </c>
      <c r="D120" s="6">
        <v>0</v>
      </c>
      <c r="E120" s="6">
        <v>434175</v>
      </c>
    </row>
    <row r="121" spans="1:5" x14ac:dyDescent="0.3">
      <c r="A121" s="4" t="s">
        <v>24</v>
      </c>
      <c r="B121" s="6">
        <v>0</v>
      </c>
      <c r="C121" s="6">
        <v>0</v>
      </c>
      <c r="D121" s="6">
        <v>0</v>
      </c>
      <c r="E121" s="6">
        <v>0</v>
      </c>
    </row>
    <row r="122" spans="1:5" x14ac:dyDescent="0.3">
      <c r="A122" s="4" t="s">
        <v>25</v>
      </c>
      <c r="B122" s="6">
        <v>0</v>
      </c>
      <c r="C122" s="6">
        <v>0</v>
      </c>
      <c r="D122" s="6">
        <v>0</v>
      </c>
      <c r="E122" s="6">
        <v>0</v>
      </c>
    </row>
    <row r="123" spans="1:5" x14ac:dyDescent="0.3">
      <c r="A123" s="4" t="s">
        <v>26</v>
      </c>
      <c r="B123" s="6">
        <v>240260</v>
      </c>
      <c r="C123" s="6">
        <v>691480</v>
      </c>
      <c r="D123" s="6">
        <v>0</v>
      </c>
      <c r="E123" s="6">
        <v>0</v>
      </c>
    </row>
    <row r="124" spans="1:5" x14ac:dyDescent="0.3">
      <c r="A124" s="4" t="s">
        <v>27</v>
      </c>
      <c r="B124" s="6">
        <v>28095418.18</v>
      </c>
      <c r="C124" s="6">
        <v>20078798.300000001</v>
      </c>
      <c r="D124" s="6">
        <v>6083982.8799999999</v>
      </c>
      <c r="E124" s="6">
        <v>3423543.3</v>
      </c>
    </row>
    <row r="125" spans="1:5" x14ac:dyDescent="0.3">
      <c r="A125" s="4" t="s">
        <v>28</v>
      </c>
      <c r="B125" s="6">
        <v>0</v>
      </c>
      <c r="C125" s="6">
        <v>0</v>
      </c>
      <c r="D125" s="6">
        <v>0</v>
      </c>
      <c r="E125" s="6">
        <v>0</v>
      </c>
    </row>
    <row r="126" spans="1:5" x14ac:dyDescent="0.3">
      <c r="A126" s="4" t="s">
        <v>29</v>
      </c>
      <c r="B126" s="6">
        <v>0</v>
      </c>
      <c r="C126" s="6">
        <v>0</v>
      </c>
      <c r="D126" s="6">
        <v>0</v>
      </c>
      <c r="E126" s="6">
        <v>0</v>
      </c>
    </row>
    <row r="127" spans="1:5" x14ac:dyDescent="0.3">
      <c r="A127" s="4" t="s">
        <v>30</v>
      </c>
      <c r="B127" s="6">
        <v>0</v>
      </c>
      <c r="C127" s="6">
        <v>0</v>
      </c>
      <c r="D127" s="6">
        <v>0</v>
      </c>
      <c r="E127" s="6">
        <v>0</v>
      </c>
    </row>
    <row r="128" spans="1:5" x14ac:dyDescent="0.3">
      <c r="A128" s="4" t="s">
        <v>31</v>
      </c>
      <c r="B128" s="6">
        <v>38705299</v>
      </c>
      <c r="C128" s="6">
        <v>32342296</v>
      </c>
      <c r="D128" s="6">
        <v>3292774</v>
      </c>
      <c r="E128" s="6">
        <v>2793210</v>
      </c>
    </row>
    <row r="129" spans="1:5" x14ac:dyDescent="0.3">
      <c r="A129" s="4" t="s">
        <v>102</v>
      </c>
      <c r="B129" s="6">
        <v>3490833</v>
      </c>
      <c r="C129" s="6">
        <v>2195454.6</v>
      </c>
      <c r="D129" s="6">
        <v>1346995</v>
      </c>
      <c r="E129" s="6">
        <v>0</v>
      </c>
    </row>
    <row r="130" spans="1:5" x14ac:dyDescent="0.3">
      <c r="A130" s="4" t="s">
        <v>33</v>
      </c>
      <c r="B130" s="6">
        <v>0</v>
      </c>
      <c r="C130" s="6">
        <v>0</v>
      </c>
      <c r="D130" s="6">
        <v>0</v>
      </c>
      <c r="E130" s="6">
        <v>0</v>
      </c>
    </row>
    <row r="131" spans="1:5" x14ac:dyDescent="0.3">
      <c r="A131" s="4" t="s">
        <v>103</v>
      </c>
      <c r="B131" s="6">
        <v>101428516.97</v>
      </c>
      <c r="C131" s="6">
        <v>86461874.799999997</v>
      </c>
      <c r="D131" s="6">
        <v>7362913.7800000003</v>
      </c>
      <c r="E131" s="6">
        <v>8080714.7000000002</v>
      </c>
    </row>
    <row r="132" spans="1:5" x14ac:dyDescent="0.3">
      <c r="A132" s="4" t="s">
        <v>35</v>
      </c>
      <c r="B132" s="6">
        <v>0</v>
      </c>
      <c r="C132" s="6">
        <v>0</v>
      </c>
      <c r="D132" s="6">
        <v>0</v>
      </c>
      <c r="E132" s="6">
        <v>0</v>
      </c>
    </row>
    <row r="133" spans="1:5" x14ac:dyDescent="0.3">
      <c r="A133" s="4" t="s">
        <v>36</v>
      </c>
      <c r="B133" s="6">
        <v>0</v>
      </c>
      <c r="C133" s="6">
        <v>0</v>
      </c>
      <c r="D133" s="6">
        <v>0</v>
      </c>
      <c r="E133" s="6">
        <v>0</v>
      </c>
    </row>
    <row r="134" spans="1:5" x14ac:dyDescent="0.3">
      <c r="A134" s="4" t="s">
        <v>37</v>
      </c>
      <c r="B134" s="6">
        <v>8943500</v>
      </c>
      <c r="C134" s="6">
        <v>3219500</v>
      </c>
      <c r="D134" s="6">
        <v>0</v>
      </c>
      <c r="E134" s="6">
        <v>1067500</v>
      </c>
    </row>
    <row r="135" spans="1:5" x14ac:dyDescent="0.3">
      <c r="A135" s="4" t="s">
        <v>38</v>
      </c>
      <c r="B135" s="6">
        <v>2376390</v>
      </c>
      <c r="C135" s="6">
        <v>2958200</v>
      </c>
      <c r="D135" s="6">
        <v>0</v>
      </c>
      <c r="E135" s="6">
        <v>0</v>
      </c>
    </row>
    <row r="136" spans="1:5" x14ac:dyDescent="0.3">
      <c r="A136" s="4" t="s">
        <v>39</v>
      </c>
      <c r="B136" s="6">
        <v>9470234</v>
      </c>
      <c r="C136" s="6">
        <v>11748677</v>
      </c>
      <c r="D136" s="6">
        <v>0</v>
      </c>
      <c r="E136" s="6">
        <v>0</v>
      </c>
    </row>
    <row r="137" spans="1:5" x14ac:dyDescent="0.3">
      <c r="A137" s="4" t="s">
        <v>40</v>
      </c>
      <c r="B137" s="6">
        <v>1190500</v>
      </c>
      <c r="C137" s="6">
        <v>1486500</v>
      </c>
      <c r="D137" s="6">
        <v>0</v>
      </c>
      <c r="E137" s="6">
        <v>2500</v>
      </c>
    </row>
    <row r="138" spans="1:5" x14ac:dyDescent="0.3">
      <c r="A138" s="4" t="s">
        <v>104</v>
      </c>
      <c r="B138" s="6">
        <v>192874060</v>
      </c>
      <c r="C138" s="6">
        <v>187913320</v>
      </c>
      <c r="D138" s="6">
        <v>3343140</v>
      </c>
      <c r="E138" s="6">
        <v>33535559.399999999</v>
      </c>
    </row>
    <row r="139" spans="1:5" x14ac:dyDescent="0.3">
      <c r="A139" s="4" t="s">
        <v>42</v>
      </c>
      <c r="B139" s="6">
        <v>5968811</v>
      </c>
      <c r="C139" s="6">
        <v>4665611</v>
      </c>
      <c r="D139" s="6">
        <v>924000</v>
      </c>
      <c r="E139" s="6">
        <v>1081200</v>
      </c>
    </row>
    <row r="140" spans="1:5" x14ac:dyDescent="0.3">
      <c r="A140" s="4" t="s">
        <v>43</v>
      </c>
      <c r="B140" s="6">
        <v>927596</v>
      </c>
      <c r="C140" s="6">
        <v>981596</v>
      </c>
      <c r="D140" s="6">
        <v>0</v>
      </c>
      <c r="E140" s="6">
        <v>0</v>
      </c>
    </row>
    <row r="141" spans="1:5" x14ac:dyDescent="0.3">
      <c r="A141" s="4" t="s">
        <v>44</v>
      </c>
      <c r="B141" s="6">
        <v>7740750</v>
      </c>
      <c r="C141" s="6">
        <v>4176000</v>
      </c>
      <c r="D141" s="6">
        <v>1350875</v>
      </c>
      <c r="E141" s="6">
        <v>3321000</v>
      </c>
    </row>
    <row r="142" spans="1:5" x14ac:dyDescent="0.3">
      <c r="A142" s="4" t="s">
        <v>45</v>
      </c>
      <c r="B142" s="6">
        <v>-15500</v>
      </c>
      <c r="C142" s="6">
        <v>0</v>
      </c>
      <c r="D142" s="6">
        <v>0</v>
      </c>
      <c r="E142" s="6">
        <v>0</v>
      </c>
    </row>
    <row r="143" spans="1:5" x14ac:dyDescent="0.3">
      <c r="A143" s="4" t="s">
        <v>46</v>
      </c>
      <c r="B143" s="6">
        <v>38107370</v>
      </c>
      <c r="C143" s="6">
        <v>43523256</v>
      </c>
      <c r="D143" s="6">
        <v>0</v>
      </c>
      <c r="E143" s="6">
        <v>4264518</v>
      </c>
    </row>
    <row r="144" spans="1:5" x14ac:dyDescent="0.3">
      <c r="A144" s="4" t="s">
        <v>47</v>
      </c>
      <c r="B144" s="6">
        <v>99921808.799999997</v>
      </c>
      <c r="C144" s="6">
        <v>92596765.099999994</v>
      </c>
      <c r="D144" s="6">
        <v>12289200</v>
      </c>
      <c r="E144" s="6">
        <v>9874000</v>
      </c>
    </row>
    <row r="145" spans="1:5" x14ac:dyDescent="0.3">
      <c r="A145" s="4" t="s">
        <v>48</v>
      </c>
      <c r="B145" s="6">
        <v>250807716</v>
      </c>
      <c r="C145" s="6">
        <v>259740945</v>
      </c>
      <c r="D145" s="6">
        <v>0</v>
      </c>
      <c r="E145" s="6">
        <v>-15477798</v>
      </c>
    </row>
    <row r="146" spans="1:5" x14ac:dyDescent="0.3">
      <c r="A146" s="4" t="s">
        <v>49</v>
      </c>
      <c r="B146" s="6">
        <v>413598758.5</v>
      </c>
      <c r="C146" s="6">
        <v>396669348.5</v>
      </c>
      <c r="D146" s="6">
        <v>9996450</v>
      </c>
      <c r="E146" s="6">
        <v>20830450</v>
      </c>
    </row>
    <row r="147" spans="1:5" x14ac:dyDescent="0.3">
      <c r="A147" s="4" t="s">
        <v>50</v>
      </c>
      <c r="B147" s="6">
        <v>36528678.380000003</v>
      </c>
      <c r="C147" s="6">
        <v>39750326.380000003</v>
      </c>
      <c r="D147" s="6">
        <v>0</v>
      </c>
      <c r="E147" s="6">
        <v>0</v>
      </c>
    </row>
    <row r="148" spans="1:5" x14ac:dyDescent="0.3">
      <c r="A148" s="4" t="s">
        <v>51</v>
      </c>
      <c r="B148" s="6">
        <v>800900</v>
      </c>
      <c r="C148" s="6">
        <v>1599500</v>
      </c>
      <c r="D148" s="6">
        <v>0</v>
      </c>
      <c r="E148" s="6">
        <v>2500</v>
      </c>
    </row>
    <row r="149" spans="1:5" x14ac:dyDescent="0.3">
      <c r="A149" s="4" t="s">
        <v>52</v>
      </c>
      <c r="B149" s="6">
        <v>5016402</v>
      </c>
      <c r="C149" s="6">
        <v>9112473</v>
      </c>
      <c r="D149" s="6">
        <v>0</v>
      </c>
      <c r="E149" s="6">
        <v>0</v>
      </c>
    </row>
    <row r="150" spans="1:5" x14ac:dyDescent="0.3">
      <c r="A150" s="4" t="s">
        <v>53</v>
      </c>
      <c r="B150" s="6">
        <v>11653584</v>
      </c>
      <c r="C150" s="6">
        <v>12021958</v>
      </c>
      <c r="D150" s="6">
        <v>0</v>
      </c>
      <c r="E150" s="6">
        <v>0</v>
      </c>
    </row>
    <row r="151" spans="1:5" x14ac:dyDescent="0.3">
      <c r="A151" s="4" t="s">
        <v>54</v>
      </c>
      <c r="B151" s="6">
        <v>1471393</v>
      </c>
      <c r="C151" s="6">
        <v>2206500.52</v>
      </c>
      <c r="D151" s="6">
        <v>0</v>
      </c>
      <c r="E151" s="6">
        <v>0</v>
      </c>
    </row>
    <row r="152" spans="1:5" x14ac:dyDescent="0.3">
      <c r="A152" s="4" t="s">
        <v>55</v>
      </c>
      <c r="B152" s="6">
        <v>581602690.20000005</v>
      </c>
      <c r="C152" s="6">
        <v>414433021.19999999</v>
      </c>
      <c r="D152" s="6">
        <v>85989573</v>
      </c>
      <c r="E152" s="6">
        <v>108420000</v>
      </c>
    </row>
    <row r="153" spans="1:5" x14ac:dyDescent="0.3">
      <c r="A153" s="4" t="s">
        <v>56</v>
      </c>
      <c r="B153" s="6">
        <v>23822459.91</v>
      </c>
      <c r="C153" s="6">
        <v>17316010</v>
      </c>
      <c r="D153" s="6">
        <v>4516205.4000000004</v>
      </c>
      <c r="E153" s="6">
        <v>2408638</v>
      </c>
    </row>
    <row r="154" spans="1:5" x14ac:dyDescent="0.3">
      <c r="A154" s="4" t="s">
        <v>57</v>
      </c>
      <c r="B154" s="6">
        <v>56959137</v>
      </c>
      <c r="C154" s="6">
        <v>41707575</v>
      </c>
      <c r="D154" s="6">
        <v>4715235.3600000003</v>
      </c>
      <c r="E154" s="6">
        <v>3770681.6</v>
      </c>
    </row>
    <row r="155" spans="1:5" x14ac:dyDescent="0.3">
      <c r="A155" s="4" t="s">
        <v>58</v>
      </c>
      <c r="B155" s="6">
        <v>0</v>
      </c>
      <c r="C155" s="6">
        <v>0</v>
      </c>
      <c r="D155" s="6">
        <v>0</v>
      </c>
      <c r="E155" s="6">
        <v>0</v>
      </c>
    </row>
    <row r="156" spans="1:5" x14ac:dyDescent="0.3">
      <c r="A156" s="4" t="s">
        <v>59</v>
      </c>
      <c r="B156" s="6">
        <v>614068259.29999995</v>
      </c>
      <c r="C156" s="6">
        <v>402214211.30000001</v>
      </c>
      <c r="D156" s="6">
        <v>112071624</v>
      </c>
      <c r="E156" s="6">
        <v>71618866.200000003</v>
      </c>
    </row>
    <row r="157" spans="1:5" x14ac:dyDescent="0.3">
      <c r="A157" s="4" t="s">
        <v>72</v>
      </c>
      <c r="B157" s="6">
        <v>36598796</v>
      </c>
      <c r="C157" s="6">
        <v>22822591</v>
      </c>
      <c r="D157" s="6">
        <v>7037170</v>
      </c>
      <c r="E157" s="6">
        <v>8439555.0800000001</v>
      </c>
    </row>
    <row r="158" spans="1:5" x14ac:dyDescent="0.3">
      <c r="A158" s="4" t="s">
        <v>105</v>
      </c>
      <c r="B158" s="6">
        <v>0</v>
      </c>
      <c r="C158" s="6">
        <v>0</v>
      </c>
      <c r="D158" s="6">
        <v>0</v>
      </c>
      <c r="E158" s="6">
        <v>0</v>
      </c>
    </row>
    <row r="159" spans="1:5" x14ac:dyDescent="0.3">
      <c r="A159" s="4" t="s">
        <v>106</v>
      </c>
      <c r="B159" s="6">
        <v>0</v>
      </c>
      <c r="C159" s="6">
        <v>0</v>
      </c>
      <c r="D159" s="6">
        <v>0</v>
      </c>
      <c r="E159" s="6">
        <v>0</v>
      </c>
    </row>
    <row r="160" spans="1:5" x14ac:dyDescent="0.3">
      <c r="A160" s="4" t="s">
        <v>107</v>
      </c>
      <c r="B160" s="6">
        <v>0</v>
      </c>
      <c r="C160" s="6">
        <v>0</v>
      </c>
      <c r="D160" s="6">
        <v>0</v>
      </c>
      <c r="E160" s="6">
        <v>0</v>
      </c>
    </row>
    <row r="161" spans="1:5" x14ac:dyDescent="0.3">
      <c r="A161" s="4" t="s">
        <v>108</v>
      </c>
      <c r="B161" s="6">
        <v>0</v>
      </c>
      <c r="C161" s="6">
        <v>0</v>
      </c>
      <c r="D161" s="6">
        <v>0</v>
      </c>
      <c r="E161" s="6">
        <v>0</v>
      </c>
    </row>
    <row r="162" spans="1:5" x14ac:dyDescent="0.3">
      <c r="A162" s="4" t="s">
        <v>109</v>
      </c>
      <c r="B162" s="6">
        <v>0</v>
      </c>
      <c r="C162" s="6">
        <v>0</v>
      </c>
      <c r="D162" s="6">
        <v>0</v>
      </c>
      <c r="E162" s="6">
        <v>0</v>
      </c>
    </row>
    <row r="163" spans="1:5" x14ac:dyDescent="0.3">
      <c r="A163" s="4" t="s">
        <v>110</v>
      </c>
      <c r="B163" s="6">
        <v>0</v>
      </c>
      <c r="C163" s="6">
        <v>0</v>
      </c>
      <c r="D163" s="6">
        <v>0</v>
      </c>
      <c r="E163" s="6">
        <v>0</v>
      </c>
    </row>
    <row r="164" spans="1:5" x14ac:dyDescent="0.3">
      <c r="A164" s="4" t="s">
        <v>111</v>
      </c>
      <c r="B164" s="6">
        <v>0</v>
      </c>
      <c r="C164" s="6">
        <v>0</v>
      </c>
      <c r="D164" s="6">
        <v>0</v>
      </c>
      <c r="E164" s="6">
        <v>0</v>
      </c>
    </row>
    <row r="165" spans="1:5" x14ac:dyDescent="0.3">
      <c r="A165" s="4" t="s">
        <v>112</v>
      </c>
      <c r="B165" s="6">
        <v>0</v>
      </c>
      <c r="C165" s="6">
        <v>0</v>
      </c>
      <c r="D165" s="6">
        <v>0</v>
      </c>
      <c r="E165" s="6">
        <v>0</v>
      </c>
    </row>
    <row r="166" spans="1:5" x14ac:dyDescent="0.3">
      <c r="A166" s="4" t="s">
        <v>68</v>
      </c>
      <c r="B166" s="6">
        <v>1055000</v>
      </c>
      <c r="C166" s="6">
        <v>1055000</v>
      </c>
      <c r="D166" s="6">
        <v>0</v>
      </c>
      <c r="E166" s="6">
        <v>0</v>
      </c>
    </row>
    <row r="167" spans="1:5" x14ac:dyDescent="0.3">
      <c r="A167" s="4" t="s">
        <v>113</v>
      </c>
      <c r="B167" s="6">
        <v>16000</v>
      </c>
      <c r="C167" s="6">
        <v>16000</v>
      </c>
      <c r="D167" s="6">
        <v>0</v>
      </c>
      <c r="E167" s="6">
        <v>0</v>
      </c>
    </row>
    <row r="168" spans="1:5" x14ac:dyDescent="0.3">
      <c r="A168" s="4" t="s">
        <v>70</v>
      </c>
      <c r="B168" s="6">
        <v>2250000</v>
      </c>
      <c r="C168" s="6">
        <v>2250000</v>
      </c>
      <c r="D168" s="6">
        <v>0</v>
      </c>
      <c r="E168" s="6">
        <v>0</v>
      </c>
    </row>
    <row r="169" spans="1:5" x14ac:dyDescent="0.3">
      <c r="A169" s="4" t="s">
        <v>71</v>
      </c>
      <c r="B169" s="6">
        <v>0</v>
      </c>
      <c r="C169" s="6">
        <v>0</v>
      </c>
      <c r="D169" s="6">
        <v>0</v>
      </c>
      <c r="E169" s="6">
        <v>0</v>
      </c>
    </row>
    <row r="170" spans="1:5" x14ac:dyDescent="0.3">
      <c r="A170" s="4" t="s">
        <v>73</v>
      </c>
      <c r="B170" s="6">
        <v>400000.04</v>
      </c>
      <c r="C170" s="6">
        <v>363636.4</v>
      </c>
      <c r="D170" s="6">
        <v>0</v>
      </c>
      <c r="E170" s="6">
        <v>0</v>
      </c>
    </row>
    <row r="171" spans="1:5" x14ac:dyDescent="0.3">
      <c r="A171" s="4" t="s">
        <v>114</v>
      </c>
      <c r="B171" s="6">
        <v>10047800</v>
      </c>
      <c r="C171" s="6">
        <v>5975770</v>
      </c>
      <c r="D171" s="6">
        <v>2029760</v>
      </c>
      <c r="E171" s="6">
        <v>3258030</v>
      </c>
    </row>
    <row r="172" spans="1:5" x14ac:dyDescent="0.3">
      <c r="A172" s="4" t="s">
        <v>75</v>
      </c>
      <c r="B172" s="6">
        <v>5344416.22</v>
      </c>
      <c r="C172" s="6">
        <v>3232600</v>
      </c>
      <c r="D172" s="6">
        <v>1250816.22</v>
      </c>
      <c r="E172" s="6">
        <v>885600</v>
      </c>
    </row>
    <row r="173" spans="1:5" x14ac:dyDescent="0.3">
      <c r="A173" s="4" t="s">
        <v>76</v>
      </c>
      <c r="B173" s="6">
        <v>7236100</v>
      </c>
      <c r="C173" s="6">
        <v>3713200</v>
      </c>
      <c r="D173" s="6">
        <v>1900000</v>
      </c>
      <c r="E173" s="6">
        <v>1263100</v>
      </c>
    </row>
    <row r="174" spans="1:5" x14ac:dyDescent="0.3">
      <c r="A174" s="4" t="s">
        <v>77</v>
      </c>
      <c r="B174" s="6">
        <v>1227000</v>
      </c>
      <c r="C174" s="6">
        <v>1149290</v>
      </c>
      <c r="D174" s="6">
        <v>0</v>
      </c>
      <c r="E174" s="6">
        <v>0</v>
      </c>
    </row>
    <row r="175" spans="1:5" x14ac:dyDescent="0.3">
      <c r="A175" s="4" t="s">
        <v>78</v>
      </c>
      <c r="B175" s="6">
        <v>561950</v>
      </c>
      <c r="C175" s="6">
        <v>561950</v>
      </c>
      <c r="D175" s="6">
        <v>0</v>
      </c>
      <c r="E175" s="6">
        <v>0</v>
      </c>
    </row>
    <row r="176" spans="1:5" x14ac:dyDescent="0.3">
      <c r="A176" s="4" t="s">
        <v>4</v>
      </c>
      <c r="B176" s="6">
        <v>1900000</v>
      </c>
      <c r="C176" s="6">
        <v>1900000</v>
      </c>
      <c r="D176" s="6">
        <v>0</v>
      </c>
      <c r="E176" s="6">
        <v>0</v>
      </c>
    </row>
    <row r="177" spans="1:5" x14ac:dyDescent="0.3">
      <c r="A177" s="4" t="s">
        <v>79</v>
      </c>
      <c r="B177" s="6">
        <v>465600</v>
      </c>
      <c r="C177" s="6">
        <v>465600</v>
      </c>
      <c r="D177" s="6">
        <v>0</v>
      </c>
      <c r="E177" s="6">
        <v>0</v>
      </c>
    </row>
    <row r="178" spans="1:5" x14ac:dyDescent="0.3">
      <c r="A178" s="4" t="s">
        <v>80</v>
      </c>
      <c r="B178" s="6">
        <v>147400</v>
      </c>
      <c r="C178" s="6">
        <v>147400</v>
      </c>
      <c r="D178" s="6">
        <v>0</v>
      </c>
      <c r="E178" s="6">
        <v>0</v>
      </c>
    </row>
    <row r="179" spans="1:5" x14ac:dyDescent="0.3">
      <c r="A179" s="4" t="s">
        <v>81</v>
      </c>
      <c r="B179" s="6">
        <v>657658748.76999998</v>
      </c>
      <c r="C179" s="6">
        <v>317946738.45999998</v>
      </c>
      <c r="D179" s="6">
        <v>118430093.58</v>
      </c>
      <c r="E179" s="6">
        <v>105198579.45999999</v>
      </c>
    </row>
    <row r="180" spans="1:5" x14ac:dyDescent="0.3">
      <c r="A180" s="4" t="s">
        <v>82</v>
      </c>
      <c r="B180" s="6">
        <v>2445000</v>
      </c>
      <c r="C180" s="6">
        <v>1203000</v>
      </c>
      <c r="D180" s="6">
        <v>0</v>
      </c>
      <c r="E180" s="6">
        <v>535500</v>
      </c>
    </row>
    <row r="181" spans="1:5" x14ac:dyDescent="0.3">
      <c r="A181" s="4" t="s">
        <v>66</v>
      </c>
      <c r="B181" s="6">
        <v>2575000</v>
      </c>
      <c r="C181" s="6">
        <v>2570500</v>
      </c>
      <c r="D181" s="6">
        <v>0</v>
      </c>
      <c r="E181" s="6">
        <v>-4500</v>
      </c>
    </row>
    <row r="182" spans="1:5" x14ac:dyDescent="0.3">
      <c r="A182" s="4" t="s">
        <v>83</v>
      </c>
      <c r="B182" s="6">
        <v>310500</v>
      </c>
      <c r="C182" s="6">
        <v>310500</v>
      </c>
      <c r="D182" s="6">
        <v>0</v>
      </c>
      <c r="E182" s="6">
        <v>0</v>
      </c>
    </row>
    <row r="183" spans="1:5" x14ac:dyDescent="0.3">
      <c r="A183" s="4" t="s">
        <v>84</v>
      </c>
      <c r="B183" s="6">
        <v>355000</v>
      </c>
      <c r="C183" s="6">
        <v>355000</v>
      </c>
      <c r="D183" s="6">
        <v>0</v>
      </c>
      <c r="E183" s="6">
        <v>0</v>
      </c>
    </row>
    <row r="184" spans="1:5" x14ac:dyDescent="0.3">
      <c r="A184" s="4" t="s">
        <v>85</v>
      </c>
      <c r="B184" s="6">
        <v>301600</v>
      </c>
      <c r="C184" s="6">
        <v>301600</v>
      </c>
      <c r="D184" s="6">
        <v>0</v>
      </c>
      <c r="E184" s="6">
        <v>0</v>
      </c>
    </row>
    <row r="185" spans="1:5" x14ac:dyDescent="0.3">
      <c r="A185" s="4" t="s">
        <v>86</v>
      </c>
      <c r="B185" s="6">
        <v>1916179.92</v>
      </c>
      <c r="C185" s="6">
        <v>175974</v>
      </c>
      <c r="D185" s="6">
        <v>362618.16</v>
      </c>
      <c r="E185" s="6">
        <v>87987</v>
      </c>
    </row>
    <row r="186" spans="1:5" x14ac:dyDescent="0.3">
      <c r="A186" s="4" t="s">
        <v>115</v>
      </c>
      <c r="B186" s="6">
        <v>3645000</v>
      </c>
      <c r="C186" s="6">
        <v>1500000</v>
      </c>
      <c r="D186" s="6">
        <v>647500</v>
      </c>
      <c r="E186" s="6">
        <v>815000</v>
      </c>
    </row>
    <row r="187" spans="1:5" x14ac:dyDescent="0.3">
      <c r="A187" s="4" t="s">
        <v>88</v>
      </c>
      <c r="B187" s="6">
        <v>3634000</v>
      </c>
      <c r="C187" s="6">
        <v>1049000</v>
      </c>
      <c r="D187" s="6">
        <v>450000</v>
      </c>
      <c r="E187" s="6">
        <v>995000</v>
      </c>
    </row>
    <row r="188" spans="1:5" x14ac:dyDescent="0.3">
      <c r="A188" s="4" t="s">
        <v>89</v>
      </c>
      <c r="B188" s="6">
        <v>800000</v>
      </c>
      <c r="C188" s="6">
        <v>800000</v>
      </c>
      <c r="D188" s="6">
        <v>0</v>
      </c>
      <c r="E188" s="6">
        <v>416000</v>
      </c>
    </row>
    <row r="189" spans="1:5" x14ac:dyDescent="0.3">
      <c r="A189" s="4" t="s">
        <v>90</v>
      </c>
      <c r="B189" s="6">
        <v>290000</v>
      </c>
      <c r="C189" s="6">
        <v>290000</v>
      </c>
      <c r="D189" s="6">
        <v>0</v>
      </c>
      <c r="E189" s="6">
        <v>174000</v>
      </c>
    </row>
    <row r="190" spans="1:5" x14ac:dyDescent="0.3">
      <c r="A190" s="4" t="s">
        <v>91</v>
      </c>
      <c r="B190" s="6">
        <v>280000</v>
      </c>
      <c r="C190" s="6">
        <v>112000</v>
      </c>
      <c r="D190" s="6">
        <v>0</v>
      </c>
      <c r="E190" s="6">
        <v>28000</v>
      </c>
    </row>
    <row r="191" spans="1:5" x14ac:dyDescent="0.3">
      <c r="A191" s="4" t="s">
        <v>92</v>
      </c>
      <c r="B191" s="6">
        <v>566500</v>
      </c>
      <c r="C191" s="6">
        <v>346500</v>
      </c>
      <c r="D191" s="6">
        <v>0</v>
      </c>
      <c r="E191" s="6">
        <v>302500</v>
      </c>
    </row>
    <row r="192" spans="1:5" x14ac:dyDescent="0.3">
      <c r="A192" s="4" t="s">
        <v>93</v>
      </c>
      <c r="B192" s="6">
        <v>616000</v>
      </c>
      <c r="C192" s="6">
        <v>192500</v>
      </c>
      <c r="D192" s="6">
        <v>0</v>
      </c>
      <c r="E192" s="6">
        <v>137500</v>
      </c>
    </row>
    <row r="193" spans="1:5" x14ac:dyDescent="0.3">
      <c r="A193" s="4" t="s">
        <v>94</v>
      </c>
      <c r="B193" s="6">
        <v>22443651.620000001</v>
      </c>
      <c r="C193" s="6">
        <v>0</v>
      </c>
      <c r="D193" s="6">
        <v>22443651.620000001</v>
      </c>
      <c r="E193" s="6">
        <v>0</v>
      </c>
    </row>
    <row r="194" spans="1:5" customFormat="1" ht="14.5" x14ac:dyDescent="0.35">
      <c r="A194" s="7"/>
      <c r="B194" s="8"/>
      <c r="C194" s="8"/>
      <c r="D194" s="8"/>
      <c r="E194" s="8"/>
    </row>
    <row r="195" spans="1:5" x14ac:dyDescent="0.3">
      <c r="A195" s="4" t="s">
        <v>116</v>
      </c>
      <c r="B195" s="6">
        <f>ROUND(SUBTOTAL(9, B100:B194), 5)</f>
        <v>6713626954.8900003</v>
      </c>
      <c r="C195" s="6">
        <f>ROUND(SUBTOTAL(9, C100:C194), 5)</f>
        <v>5600403433.7399998</v>
      </c>
      <c r="D195" s="6">
        <f>ROUND(SUBTOTAL(9, D100:D194), 5)</f>
        <v>724072776.69000006</v>
      </c>
      <c r="E195" s="6">
        <f>ROUND(SUBTOTAL(9, E100:E194), 5)</f>
        <v>673919861.54999995</v>
      </c>
    </row>
    <row r="196" spans="1:5" customFormat="1" ht="14.5" x14ac:dyDescent="0.35">
      <c r="A196" s="7"/>
      <c r="B196" s="8"/>
      <c r="C196" s="8"/>
      <c r="D196" s="8"/>
      <c r="E196" s="8"/>
    </row>
    <row r="197" spans="1:5" x14ac:dyDescent="0.3">
      <c r="A197" s="4" t="s">
        <v>117</v>
      </c>
      <c r="B197" s="6">
        <f>-(ROUND(-B98+B195, 5))</f>
        <v>1407879761.6900001</v>
      </c>
      <c r="C197" s="6">
        <f>-(ROUND(-C98+C195, 5))</f>
        <v>1151559344.8</v>
      </c>
      <c r="D197" s="6">
        <f>-(ROUND(-D98+D195, 5))</f>
        <v>117058667.59</v>
      </c>
      <c r="E197" s="6">
        <f>-(ROUND(-E98+E195, 5))</f>
        <v>113695798.89</v>
      </c>
    </row>
    <row r="198" spans="1:5" customFormat="1" ht="14.5" x14ac:dyDescent="0.35">
      <c r="A198" s="7"/>
      <c r="B198" s="8"/>
      <c r="C198" s="8"/>
      <c r="D198" s="8"/>
      <c r="E198" s="8"/>
    </row>
    <row r="199" spans="1:5" x14ac:dyDescent="0.3">
      <c r="A199" s="9" t="s">
        <v>96</v>
      </c>
    </row>
    <row r="200" spans="1:5" x14ac:dyDescent="0.3">
      <c r="A200" s="4" t="s">
        <v>118</v>
      </c>
    </row>
    <row r="201" spans="1:5" x14ac:dyDescent="0.3">
      <c r="A201" s="4" t="s">
        <v>119</v>
      </c>
      <c r="B201" s="6">
        <v>0</v>
      </c>
      <c r="C201" s="6">
        <v>0</v>
      </c>
      <c r="D201" s="6">
        <v>0</v>
      </c>
      <c r="E201" s="6">
        <v>0</v>
      </c>
    </row>
    <row r="202" spans="1:5" x14ac:dyDescent="0.3">
      <c r="A202" s="4" t="s">
        <v>120</v>
      </c>
      <c r="B202" s="6">
        <v>6515200</v>
      </c>
      <c r="C202" s="6">
        <v>6535200</v>
      </c>
      <c r="D202" s="6">
        <v>0</v>
      </c>
      <c r="E202" s="6">
        <v>0</v>
      </c>
    </row>
    <row r="203" spans="1:5" x14ac:dyDescent="0.3">
      <c r="A203" s="4" t="s">
        <v>121</v>
      </c>
      <c r="B203" s="6">
        <v>2358650</v>
      </c>
      <c r="C203" s="6">
        <v>1110000</v>
      </c>
      <c r="D203" s="6">
        <v>11000</v>
      </c>
      <c r="E203" s="6">
        <v>320000</v>
      </c>
    </row>
    <row r="204" spans="1:5" x14ac:dyDescent="0.3">
      <c r="A204" s="4" t="s">
        <v>122</v>
      </c>
      <c r="B204" s="6">
        <v>0</v>
      </c>
      <c r="C204" s="6">
        <v>0</v>
      </c>
      <c r="D204" s="6">
        <v>0</v>
      </c>
      <c r="E204" s="6">
        <v>0</v>
      </c>
    </row>
    <row r="205" spans="1:5" x14ac:dyDescent="0.3">
      <c r="A205" s="4" t="s">
        <v>123</v>
      </c>
      <c r="B205" s="6">
        <v>0</v>
      </c>
      <c r="C205" s="6">
        <v>0</v>
      </c>
      <c r="D205" s="6">
        <v>0</v>
      </c>
      <c r="E205" s="6">
        <v>0</v>
      </c>
    </row>
    <row r="206" spans="1:5" x14ac:dyDescent="0.3">
      <c r="A206" s="4" t="s">
        <v>124</v>
      </c>
      <c r="B206" s="6">
        <v>27978050</v>
      </c>
      <c r="C206" s="6">
        <v>25583830</v>
      </c>
      <c r="D206" s="6">
        <v>1767500</v>
      </c>
      <c r="E206" s="6">
        <v>3091300</v>
      </c>
    </row>
    <row r="207" spans="1:5" x14ac:dyDescent="0.3">
      <c r="A207" s="4" t="s">
        <v>125</v>
      </c>
      <c r="B207" s="6">
        <v>5154035</v>
      </c>
      <c r="C207" s="6">
        <v>4732535</v>
      </c>
      <c r="D207" s="6">
        <v>202250</v>
      </c>
      <c r="E207" s="6">
        <v>777900</v>
      </c>
    </row>
    <row r="208" spans="1:5" x14ac:dyDescent="0.3">
      <c r="A208" s="4" t="s">
        <v>126</v>
      </c>
      <c r="B208" s="6">
        <v>0</v>
      </c>
      <c r="C208" s="6">
        <v>0</v>
      </c>
      <c r="D208" s="6">
        <v>0</v>
      </c>
      <c r="E208" s="6">
        <v>0</v>
      </c>
    </row>
    <row r="209" spans="1:5" x14ac:dyDescent="0.3">
      <c r="A209" s="4" t="s">
        <v>127</v>
      </c>
      <c r="B209" s="6">
        <v>15645506.16</v>
      </c>
      <c r="C209" s="6">
        <v>15645506.16</v>
      </c>
      <c r="D209" s="6">
        <v>0</v>
      </c>
      <c r="E209" s="6">
        <v>0</v>
      </c>
    </row>
    <row r="210" spans="1:5" x14ac:dyDescent="0.3">
      <c r="A210" s="4" t="s">
        <v>128</v>
      </c>
      <c r="B210" s="6">
        <v>949789.68</v>
      </c>
      <c r="C210" s="6">
        <v>992463.46</v>
      </c>
      <c r="D210" s="6">
        <v>18975.349999999999</v>
      </c>
      <c r="E210" s="6">
        <v>58280.04</v>
      </c>
    </row>
    <row r="211" spans="1:5" x14ac:dyDescent="0.3">
      <c r="A211" s="4" t="s">
        <v>129</v>
      </c>
      <c r="B211" s="6">
        <v>31735.040000000001</v>
      </c>
      <c r="C211" s="6">
        <v>127512.54</v>
      </c>
      <c r="D211" s="6">
        <v>0</v>
      </c>
      <c r="E211" s="6">
        <v>0</v>
      </c>
    </row>
    <row r="212" spans="1:5" x14ac:dyDescent="0.3">
      <c r="A212" s="4" t="s">
        <v>130</v>
      </c>
      <c r="B212" s="6">
        <v>1222882.03</v>
      </c>
      <c r="C212" s="6">
        <v>1272027.93</v>
      </c>
      <c r="D212" s="6">
        <v>25598.35</v>
      </c>
      <c r="E212" s="6">
        <v>139608.04999999999</v>
      </c>
    </row>
    <row r="213" spans="1:5" x14ac:dyDescent="0.3">
      <c r="A213" s="4" t="s">
        <v>131</v>
      </c>
      <c r="B213" s="6">
        <v>5000</v>
      </c>
      <c r="C213" s="6">
        <v>5000</v>
      </c>
      <c r="D213" s="6">
        <v>0</v>
      </c>
      <c r="E213" s="6">
        <v>0</v>
      </c>
    </row>
    <row r="214" spans="1:5" x14ac:dyDescent="0.3">
      <c r="A214" s="4" t="s">
        <v>132</v>
      </c>
      <c r="B214" s="6">
        <v>53.75</v>
      </c>
      <c r="C214" s="6">
        <v>53.75</v>
      </c>
      <c r="D214" s="6">
        <v>0</v>
      </c>
      <c r="E214" s="6">
        <v>53.75</v>
      </c>
    </row>
    <row r="215" spans="1:5" x14ac:dyDescent="0.3">
      <c r="A215" s="4" t="s">
        <v>133</v>
      </c>
      <c r="B215" s="6">
        <v>0</v>
      </c>
      <c r="C215" s="6">
        <v>0</v>
      </c>
      <c r="D215" s="6">
        <v>0</v>
      </c>
      <c r="E215" s="6">
        <v>0</v>
      </c>
    </row>
    <row r="216" spans="1:5" x14ac:dyDescent="0.3">
      <c r="A216" s="4" t="s">
        <v>134</v>
      </c>
      <c r="B216" s="6">
        <v>0</v>
      </c>
      <c r="C216" s="6">
        <v>0</v>
      </c>
      <c r="D216" s="6">
        <v>0</v>
      </c>
      <c r="E216" s="6">
        <v>0</v>
      </c>
    </row>
    <row r="217" spans="1:5" x14ac:dyDescent="0.3">
      <c r="A217" s="4" t="s">
        <v>135</v>
      </c>
      <c r="B217" s="6">
        <v>3304400</v>
      </c>
      <c r="C217" s="6">
        <v>3951100</v>
      </c>
      <c r="D217" s="6">
        <v>0</v>
      </c>
      <c r="E217" s="6">
        <v>0</v>
      </c>
    </row>
    <row r="218" spans="1:5" x14ac:dyDescent="0.3">
      <c r="A218" s="4" t="s">
        <v>136</v>
      </c>
      <c r="B218" s="6">
        <v>11594630</v>
      </c>
      <c r="C218" s="6">
        <v>10358130</v>
      </c>
      <c r="D218" s="6">
        <v>572600</v>
      </c>
      <c r="E218" s="6">
        <v>1568650</v>
      </c>
    </row>
    <row r="219" spans="1:5" x14ac:dyDescent="0.3">
      <c r="A219" s="4" t="s">
        <v>137</v>
      </c>
      <c r="B219" s="6">
        <v>0</v>
      </c>
      <c r="C219" s="6">
        <v>0</v>
      </c>
      <c r="D219" s="6">
        <v>0</v>
      </c>
      <c r="E219" s="6">
        <v>0</v>
      </c>
    </row>
    <row r="220" spans="1:5" x14ac:dyDescent="0.3">
      <c r="A220" s="4" t="s">
        <v>138</v>
      </c>
      <c r="B220" s="6">
        <v>312025</v>
      </c>
      <c r="C220" s="6">
        <v>25000</v>
      </c>
      <c r="D220" s="6">
        <v>0</v>
      </c>
      <c r="E220" s="6">
        <v>0</v>
      </c>
    </row>
    <row r="221" spans="1:5" x14ac:dyDescent="0.3">
      <c r="A221" s="4" t="s">
        <v>139</v>
      </c>
      <c r="B221" s="6">
        <v>1190000</v>
      </c>
      <c r="C221" s="6">
        <v>1190000</v>
      </c>
      <c r="D221" s="6">
        <v>0</v>
      </c>
      <c r="E221" s="6">
        <v>0</v>
      </c>
    </row>
    <row r="222" spans="1:5" x14ac:dyDescent="0.3">
      <c r="A222" s="4" t="s">
        <v>140</v>
      </c>
      <c r="B222" s="6">
        <v>0</v>
      </c>
      <c r="C222" s="6">
        <v>0</v>
      </c>
      <c r="D222" s="6">
        <v>0</v>
      </c>
      <c r="E222" s="6">
        <v>0</v>
      </c>
    </row>
    <row r="223" spans="1:5" x14ac:dyDescent="0.3">
      <c r="A223" s="4" t="s">
        <v>141</v>
      </c>
      <c r="B223" s="6">
        <v>40941.800000000003</v>
      </c>
      <c r="C223" s="6">
        <v>40941.800000000003</v>
      </c>
      <c r="D223" s="6">
        <v>0</v>
      </c>
      <c r="E223" s="6">
        <v>0</v>
      </c>
    </row>
    <row r="224" spans="1:5" x14ac:dyDescent="0.3">
      <c r="A224" s="4" t="s">
        <v>142</v>
      </c>
      <c r="B224" s="6">
        <v>3045000</v>
      </c>
      <c r="C224" s="6">
        <v>3045000</v>
      </c>
      <c r="D224" s="6">
        <v>0</v>
      </c>
      <c r="E224" s="6">
        <v>0</v>
      </c>
    </row>
    <row r="225" spans="1:5" x14ac:dyDescent="0.3">
      <c r="A225" s="4" t="s">
        <v>143</v>
      </c>
      <c r="B225" s="6">
        <v>74000</v>
      </c>
      <c r="C225" s="6">
        <v>154000</v>
      </c>
      <c r="D225" s="6">
        <v>0</v>
      </c>
      <c r="E225" s="6">
        <v>0</v>
      </c>
    </row>
    <row r="226" spans="1:5" x14ac:dyDescent="0.3">
      <c r="A226" s="4" t="s">
        <v>144</v>
      </c>
      <c r="B226" s="6">
        <v>1466680</v>
      </c>
      <c r="C226" s="6">
        <v>199500</v>
      </c>
      <c r="D226" s="6">
        <v>427180</v>
      </c>
      <c r="E226" s="6">
        <v>0</v>
      </c>
    </row>
    <row r="227" spans="1:5" x14ac:dyDescent="0.3">
      <c r="A227" s="4" t="s">
        <v>145</v>
      </c>
      <c r="B227" s="6">
        <v>12484342</v>
      </c>
      <c r="C227" s="6">
        <v>12656142</v>
      </c>
      <c r="D227" s="6">
        <v>82600</v>
      </c>
      <c r="E227" s="6">
        <v>1807650</v>
      </c>
    </row>
    <row r="228" spans="1:5" x14ac:dyDescent="0.3">
      <c r="A228" s="4" t="s">
        <v>146</v>
      </c>
      <c r="B228" s="6">
        <v>0</v>
      </c>
      <c r="C228" s="6">
        <v>0</v>
      </c>
      <c r="D228" s="6">
        <v>0</v>
      </c>
      <c r="E228" s="6">
        <v>0</v>
      </c>
    </row>
    <row r="229" spans="1:5" x14ac:dyDescent="0.3">
      <c r="A229" s="4" t="s">
        <v>147</v>
      </c>
      <c r="B229" s="6">
        <v>731000</v>
      </c>
      <c r="C229" s="6">
        <v>993000</v>
      </c>
      <c r="D229" s="6">
        <v>0</v>
      </c>
      <c r="E229" s="6">
        <v>0</v>
      </c>
    </row>
    <row r="230" spans="1:5" x14ac:dyDescent="0.3">
      <c r="A230" s="4" t="s">
        <v>148</v>
      </c>
      <c r="B230" s="6">
        <v>436100.2</v>
      </c>
      <c r="C230" s="6">
        <v>436100.2</v>
      </c>
      <c r="D230" s="6">
        <v>0</v>
      </c>
      <c r="E230" s="6">
        <v>0</v>
      </c>
    </row>
    <row r="231" spans="1:5" x14ac:dyDescent="0.3">
      <c r="A231" s="4" t="s">
        <v>149</v>
      </c>
      <c r="B231" s="6">
        <v>1450000</v>
      </c>
      <c r="C231" s="6">
        <v>1450000</v>
      </c>
      <c r="D231" s="6">
        <v>0</v>
      </c>
      <c r="E231" s="6">
        <v>0</v>
      </c>
    </row>
    <row r="232" spans="1:5" x14ac:dyDescent="0.3">
      <c r="A232" s="4" t="s">
        <v>150</v>
      </c>
      <c r="B232" s="6">
        <v>6714552.2599999998</v>
      </c>
      <c r="C232" s="6">
        <v>5434043.1799999997</v>
      </c>
      <c r="D232" s="6">
        <v>47509.08</v>
      </c>
      <c r="E232" s="6">
        <v>1823065.45</v>
      </c>
    </row>
    <row r="233" spans="1:5" x14ac:dyDescent="0.3">
      <c r="A233" s="4" t="s">
        <v>151</v>
      </c>
      <c r="B233" s="6">
        <v>0</v>
      </c>
      <c r="C233" s="6">
        <v>0</v>
      </c>
      <c r="D233" s="6">
        <v>0</v>
      </c>
      <c r="E233" s="6">
        <v>0</v>
      </c>
    </row>
    <row r="234" spans="1:5" x14ac:dyDescent="0.3">
      <c r="A234" s="4" t="s">
        <v>152</v>
      </c>
      <c r="B234" s="6">
        <v>50000</v>
      </c>
      <c r="C234" s="6">
        <v>50000</v>
      </c>
      <c r="D234" s="6">
        <v>0</v>
      </c>
      <c r="E234" s="6">
        <v>0</v>
      </c>
    </row>
    <row r="235" spans="1:5" x14ac:dyDescent="0.3">
      <c r="A235" s="4" t="s">
        <v>153</v>
      </c>
      <c r="B235" s="6">
        <v>1125000</v>
      </c>
      <c r="C235" s="6">
        <v>1025000</v>
      </c>
      <c r="D235" s="6">
        <v>0</v>
      </c>
      <c r="E235" s="6">
        <v>0</v>
      </c>
    </row>
    <row r="236" spans="1:5" x14ac:dyDescent="0.3">
      <c r="A236" s="4" t="s">
        <v>154</v>
      </c>
      <c r="B236" s="6">
        <v>12953550.5</v>
      </c>
      <c r="C236" s="6">
        <v>12119650.5</v>
      </c>
      <c r="D236" s="6">
        <v>726900</v>
      </c>
      <c r="E236" s="6">
        <v>1650100</v>
      </c>
    </row>
    <row r="237" spans="1:5" x14ac:dyDescent="0.3">
      <c r="A237" s="4" t="s">
        <v>155</v>
      </c>
      <c r="B237" s="6">
        <v>507000</v>
      </c>
      <c r="C237" s="6">
        <v>370000</v>
      </c>
      <c r="D237" s="6">
        <v>50000</v>
      </c>
      <c r="E237" s="6">
        <v>80000</v>
      </c>
    </row>
    <row r="238" spans="1:5" x14ac:dyDescent="0.3">
      <c r="A238" s="4" t="s">
        <v>156</v>
      </c>
      <c r="B238" s="6">
        <v>31715.49</v>
      </c>
      <c r="C238" s="6">
        <v>25965.49</v>
      </c>
      <c r="D238" s="6">
        <v>0</v>
      </c>
      <c r="E238" s="6">
        <v>0</v>
      </c>
    </row>
    <row r="239" spans="1:5" x14ac:dyDescent="0.3">
      <c r="A239" s="4" t="s">
        <v>157</v>
      </c>
      <c r="B239" s="6">
        <v>1549000</v>
      </c>
      <c r="C239" s="6">
        <v>867000</v>
      </c>
      <c r="D239" s="6">
        <v>43000</v>
      </c>
      <c r="E239" s="6">
        <v>221000</v>
      </c>
    </row>
    <row r="240" spans="1:5" x14ac:dyDescent="0.3">
      <c r="A240" s="4" t="s">
        <v>158</v>
      </c>
      <c r="B240" s="6">
        <v>2785960</v>
      </c>
      <c r="C240" s="6">
        <v>2553460</v>
      </c>
      <c r="D240" s="6">
        <v>113500</v>
      </c>
      <c r="E240" s="6">
        <v>816500</v>
      </c>
    </row>
    <row r="241" spans="1:5" x14ac:dyDescent="0.3">
      <c r="A241" s="4" t="s">
        <v>159</v>
      </c>
      <c r="B241" s="6">
        <v>0</v>
      </c>
      <c r="C241" s="6">
        <v>0</v>
      </c>
      <c r="D241" s="6">
        <v>0</v>
      </c>
      <c r="E241" s="6">
        <v>0</v>
      </c>
    </row>
    <row r="242" spans="1:5" x14ac:dyDescent="0.3">
      <c r="A242" s="4" t="s">
        <v>160</v>
      </c>
      <c r="B242" s="6">
        <v>51500</v>
      </c>
      <c r="C242" s="6">
        <v>51500</v>
      </c>
      <c r="D242" s="6">
        <v>0</v>
      </c>
      <c r="E242" s="6">
        <v>0</v>
      </c>
    </row>
    <row r="243" spans="1:5" x14ac:dyDescent="0.3">
      <c r="A243" s="4" t="s">
        <v>161</v>
      </c>
      <c r="B243" s="6">
        <v>3574560</v>
      </c>
      <c r="C243" s="6">
        <v>3368410</v>
      </c>
      <c r="D243" s="6">
        <v>9500</v>
      </c>
      <c r="E243" s="6">
        <v>620950</v>
      </c>
    </row>
    <row r="244" spans="1:5" x14ac:dyDescent="0.3">
      <c r="A244" s="4" t="s">
        <v>162</v>
      </c>
      <c r="B244" s="6">
        <v>3118610</v>
      </c>
      <c r="C244" s="6">
        <v>2692290</v>
      </c>
      <c r="D244" s="6">
        <v>204300</v>
      </c>
      <c r="E244" s="6">
        <v>386900</v>
      </c>
    </row>
    <row r="245" spans="1:5" x14ac:dyDescent="0.3">
      <c r="A245" s="4" t="s">
        <v>163</v>
      </c>
      <c r="B245" s="6">
        <v>63700</v>
      </c>
      <c r="C245" s="6">
        <v>41900</v>
      </c>
      <c r="D245" s="6">
        <v>8400</v>
      </c>
      <c r="E245" s="6">
        <v>11600</v>
      </c>
    </row>
    <row r="246" spans="1:5" x14ac:dyDescent="0.3">
      <c r="A246" s="4" t="s">
        <v>164</v>
      </c>
      <c r="B246" s="6">
        <v>83733073</v>
      </c>
      <c r="C246" s="6">
        <v>67201143</v>
      </c>
      <c r="D246" s="6">
        <v>1448840</v>
      </c>
      <c r="E246" s="6">
        <v>5767500</v>
      </c>
    </row>
    <row r="247" spans="1:5" x14ac:dyDescent="0.3">
      <c r="A247" s="4" t="s">
        <v>165</v>
      </c>
      <c r="B247" s="6">
        <v>5998961.5300000003</v>
      </c>
      <c r="C247" s="6">
        <v>5471788.79</v>
      </c>
      <c r="D247" s="6">
        <v>438134</v>
      </c>
      <c r="E247" s="6">
        <v>563480.1</v>
      </c>
    </row>
    <row r="248" spans="1:5" x14ac:dyDescent="0.3">
      <c r="A248" s="4" t="s">
        <v>166</v>
      </c>
      <c r="B248" s="6">
        <v>176500</v>
      </c>
      <c r="C248" s="6">
        <v>171500</v>
      </c>
      <c r="D248" s="6">
        <v>0</v>
      </c>
      <c r="E248" s="6">
        <v>0</v>
      </c>
    </row>
    <row r="249" spans="1:5" x14ac:dyDescent="0.3">
      <c r="A249" s="4" t="s">
        <v>167</v>
      </c>
      <c r="B249" s="6">
        <v>16741882.890000001</v>
      </c>
      <c r="C249" s="6">
        <v>11766567.039999999</v>
      </c>
      <c r="D249" s="6">
        <v>50000</v>
      </c>
      <c r="E249" s="6">
        <v>1152797.8600000001</v>
      </c>
    </row>
    <row r="250" spans="1:5" x14ac:dyDescent="0.3">
      <c r="A250" s="4" t="s">
        <v>168</v>
      </c>
      <c r="B250" s="6">
        <v>0</v>
      </c>
      <c r="C250" s="6">
        <v>0</v>
      </c>
      <c r="D250" s="6">
        <v>0</v>
      </c>
      <c r="E250" s="6">
        <v>0</v>
      </c>
    </row>
    <row r="251" spans="1:5" x14ac:dyDescent="0.3">
      <c r="A251" s="4" t="s">
        <v>169</v>
      </c>
      <c r="B251" s="6">
        <v>675000</v>
      </c>
      <c r="C251" s="6">
        <v>975000</v>
      </c>
      <c r="D251" s="6">
        <v>0</v>
      </c>
      <c r="E251" s="6">
        <v>0</v>
      </c>
    </row>
    <row r="252" spans="1:5" x14ac:dyDescent="0.3">
      <c r="A252" s="4" t="s">
        <v>170</v>
      </c>
      <c r="B252" s="6">
        <v>28358356.690000001</v>
      </c>
      <c r="C252" s="6">
        <v>22673606.690000001</v>
      </c>
      <c r="D252" s="6">
        <v>2478750</v>
      </c>
      <c r="E252" s="6">
        <v>3886631</v>
      </c>
    </row>
    <row r="253" spans="1:5" x14ac:dyDescent="0.3">
      <c r="A253" s="4" t="s">
        <v>171</v>
      </c>
      <c r="B253" s="6">
        <v>15731027.18</v>
      </c>
      <c r="C253" s="6">
        <v>11870431.390000001</v>
      </c>
      <c r="D253" s="6">
        <v>984000</v>
      </c>
      <c r="E253" s="6">
        <v>856000</v>
      </c>
    </row>
    <row r="254" spans="1:5" x14ac:dyDescent="0.3">
      <c r="A254" s="4" t="s">
        <v>172</v>
      </c>
      <c r="B254" s="6">
        <v>7673660</v>
      </c>
      <c r="C254" s="6">
        <v>7293700</v>
      </c>
      <c r="D254" s="6">
        <v>362500</v>
      </c>
      <c r="E254" s="6">
        <v>857500</v>
      </c>
    </row>
    <row r="255" spans="1:5" x14ac:dyDescent="0.3">
      <c r="A255" s="4" t="s">
        <v>173</v>
      </c>
      <c r="B255" s="6">
        <v>1760100</v>
      </c>
      <c r="C255" s="6">
        <v>1574050</v>
      </c>
      <c r="D255" s="6">
        <v>90100</v>
      </c>
      <c r="E255" s="6">
        <v>346900</v>
      </c>
    </row>
    <row r="256" spans="1:5" x14ac:dyDescent="0.3">
      <c r="A256" s="4" t="s">
        <v>174</v>
      </c>
      <c r="B256" s="6">
        <v>110498497.56999999</v>
      </c>
      <c r="C256" s="6">
        <v>100473177.03</v>
      </c>
      <c r="D256" s="6">
        <v>6191046</v>
      </c>
      <c r="E256" s="6">
        <v>11609639.9</v>
      </c>
    </row>
    <row r="257" spans="1:5" x14ac:dyDescent="0.3">
      <c r="A257" s="4" t="s">
        <v>175</v>
      </c>
      <c r="B257" s="6">
        <v>4290840</v>
      </c>
      <c r="C257" s="6">
        <v>1772280</v>
      </c>
      <c r="D257" s="6">
        <v>0</v>
      </c>
      <c r="E257" s="6">
        <v>0</v>
      </c>
    </row>
    <row r="258" spans="1:5" x14ac:dyDescent="0.3">
      <c r="A258" s="4" t="s">
        <v>176</v>
      </c>
      <c r="B258" s="6">
        <v>15070165</v>
      </c>
      <c r="C258" s="6">
        <v>12038465</v>
      </c>
      <c r="D258" s="6">
        <v>1700000</v>
      </c>
      <c r="E258" s="6">
        <v>2170320</v>
      </c>
    </row>
    <row r="259" spans="1:5" x14ac:dyDescent="0.3">
      <c r="A259" s="4" t="s">
        <v>177</v>
      </c>
      <c r="B259" s="6">
        <v>1412204.74</v>
      </c>
      <c r="C259" s="6">
        <v>1412204.74</v>
      </c>
      <c r="D259" s="6">
        <v>0</v>
      </c>
      <c r="E259" s="6">
        <v>171625</v>
      </c>
    </row>
    <row r="260" spans="1:5" x14ac:dyDescent="0.3">
      <c r="A260" s="4" t="s">
        <v>178</v>
      </c>
      <c r="B260" s="6">
        <v>534730.43000000005</v>
      </c>
      <c r="C260" s="6">
        <v>534730.43000000005</v>
      </c>
      <c r="D260" s="6">
        <v>0</v>
      </c>
      <c r="E260" s="6">
        <v>229122.5</v>
      </c>
    </row>
    <row r="261" spans="1:5" x14ac:dyDescent="0.3">
      <c r="A261" s="4" t="s">
        <v>179</v>
      </c>
      <c r="B261" s="6">
        <v>0</v>
      </c>
      <c r="C261" s="6">
        <v>0</v>
      </c>
      <c r="D261" s="6">
        <v>0</v>
      </c>
      <c r="E261" s="6">
        <v>0</v>
      </c>
    </row>
    <row r="262" spans="1:5" x14ac:dyDescent="0.3">
      <c r="A262" s="4" t="s">
        <v>180</v>
      </c>
      <c r="B262" s="6">
        <v>500000</v>
      </c>
      <c r="C262" s="6">
        <v>500000</v>
      </c>
      <c r="D262" s="6">
        <v>0</v>
      </c>
      <c r="E262" s="6">
        <v>0</v>
      </c>
    </row>
    <row r="263" spans="1:5" x14ac:dyDescent="0.3">
      <c r="A263" s="4" t="s">
        <v>181</v>
      </c>
      <c r="B263" s="6">
        <v>1123400</v>
      </c>
      <c r="C263" s="6">
        <v>923500</v>
      </c>
      <c r="D263" s="6">
        <v>64500</v>
      </c>
      <c r="E263" s="6">
        <v>99000</v>
      </c>
    </row>
    <row r="264" spans="1:5" x14ac:dyDescent="0.3">
      <c r="A264" s="4" t="s">
        <v>182</v>
      </c>
      <c r="B264" s="6">
        <v>804300</v>
      </c>
      <c r="C264" s="6">
        <v>952300</v>
      </c>
      <c r="D264" s="6">
        <v>0</v>
      </c>
      <c r="E264" s="6">
        <v>0</v>
      </c>
    </row>
    <row r="265" spans="1:5" x14ac:dyDescent="0.3">
      <c r="A265" s="4" t="s">
        <v>183</v>
      </c>
      <c r="B265" s="6">
        <v>47322859.770000003</v>
      </c>
      <c r="C265" s="6">
        <v>43069980.329999998</v>
      </c>
      <c r="D265" s="6">
        <v>1392325.08</v>
      </c>
      <c r="E265" s="6">
        <v>4861814.67</v>
      </c>
    </row>
    <row r="266" spans="1:5" x14ac:dyDescent="0.3">
      <c r="A266" s="4" t="s">
        <v>184</v>
      </c>
      <c r="B266" s="6">
        <v>0</v>
      </c>
      <c r="C266" s="6">
        <v>40000</v>
      </c>
      <c r="D266" s="6">
        <v>0</v>
      </c>
      <c r="E266" s="6">
        <v>0</v>
      </c>
    </row>
    <row r="267" spans="1:5" x14ac:dyDescent="0.3">
      <c r="A267" s="4" t="s">
        <v>185</v>
      </c>
      <c r="B267" s="6">
        <v>566550</v>
      </c>
      <c r="C267" s="6">
        <v>536550</v>
      </c>
      <c r="D267" s="6">
        <v>30000</v>
      </c>
      <c r="E267" s="6">
        <v>329500</v>
      </c>
    </row>
    <row r="268" spans="1:5" x14ac:dyDescent="0.3">
      <c r="A268" s="4" t="s">
        <v>186</v>
      </c>
      <c r="B268" s="6">
        <v>1558630</v>
      </c>
      <c r="C268" s="6">
        <v>1389180</v>
      </c>
      <c r="D268" s="6">
        <v>136100</v>
      </c>
      <c r="E268" s="6">
        <v>151200</v>
      </c>
    </row>
    <row r="269" spans="1:5" x14ac:dyDescent="0.3">
      <c r="A269" s="4" t="s">
        <v>187</v>
      </c>
      <c r="B269" s="6">
        <v>0</v>
      </c>
      <c r="C269" s="6">
        <v>0</v>
      </c>
      <c r="D269" s="6">
        <v>0</v>
      </c>
      <c r="E269" s="6">
        <v>0</v>
      </c>
    </row>
    <row r="270" spans="1:5" x14ac:dyDescent="0.3">
      <c r="A270" s="4" t="s">
        <v>188</v>
      </c>
      <c r="B270" s="6">
        <v>31800</v>
      </c>
      <c r="C270" s="6">
        <v>31800</v>
      </c>
      <c r="D270" s="6">
        <v>0</v>
      </c>
      <c r="E270" s="6">
        <v>0</v>
      </c>
    </row>
    <row r="271" spans="1:5" x14ac:dyDescent="0.3">
      <c r="A271" s="4" t="s">
        <v>189</v>
      </c>
      <c r="B271" s="6">
        <v>289350</v>
      </c>
      <c r="C271" s="6">
        <v>289350</v>
      </c>
      <c r="D271" s="6">
        <v>0</v>
      </c>
      <c r="E271" s="6">
        <v>0</v>
      </c>
    </row>
    <row r="272" spans="1:5" x14ac:dyDescent="0.3">
      <c r="A272" s="4" t="s">
        <v>190</v>
      </c>
      <c r="B272" s="6">
        <v>9273080</v>
      </c>
      <c r="C272" s="6">
        <v>6386180</v>
      </c>
      <c r="D272" s="6">
        <v>1622700</v>
      </c>
      <c r="E272" s="6">
        <v>905700</v>
      </c>
    </row>
    <row r="273" spans="1:5" x14ac:dyDescent="0.3">
      <c r="A273" s="4" t="s">
        <v>191</v>
      </c>
      <c r="B273" s="6">
        <v>318700</v>
      </c>
      <c r="C273" s="6">
        <v>318700</v>
      </c>
      <c r="D273" s="6">
        <v>0</v>
      </c>
      <c r="E273" s="6">
        <v>0</v>
      </c>
    </row>
    <row r="274" spans="1:5" x14ac:dyDescent="0.3">
      <c r="A274" s="4" t="s">
        <v>192</v>
      </c>
      <c r="B274" s="6">
        <v>0</v>
      </c>
      <c r="C274" s="6">
        <v>0</v>
      </c>
      <c r="D274" s="6">
        <v>0</v>
      </c>
      <c r="E274" s="6">
        <v>0</v>
      </c>
    </row>
    <row r="275" spans="1:5" x14ac:dyDescent="0.3">
      <c r="A275" s="4" t="s">
        <v>193</v>
      </c>
      <c r="B275" s="6">
        <v>98000</v>
      </c>
      <c r="C275" s="6">
        <v>432000</v>
      </c>
      <c r="D275" s="6">
        <v>0</v>
      </c>
      <c r="E275" s="6">
        <v>0</v>
      </c>
    </row>
    <row r="276" spans="1:5" x14ac:dyDescent="0.3">
      <c r="A276" s="4" t="s">
        <v>194</v>
      </c>
      <c r="B276" s="6">
        <v>0</v>
      </c>
      <c r="C276" s="6">
        <v>0</v>
      </c>
      <c r="D276" s="6">
        <v>0</v>
      </c>
      <c r="E276" s="6">
        <v>0</v>
      </c>
    </row>
    <row r="277" spans="1:5" x14ac:dyDescent="0.3">
      <c r="A277" s="4" t="s">
        <v>195</v>
      </c>
      <c r="B277" s="6">
        <v>7369150</v>
      </c>
      <c r="C277" s="6">
        <v>5841150</v>
      </c>
      <c r="D277" s="6">
        <v>763000</v>
      </c>
      <c r="E277" s="6">
        <v>1063000</v>
      </c>
    </row>
    <row r="278" spans="1:5" x14ac:dyDescent="0.3">
      <c r="A278" s="4" t="s">
        <v>196</v>
      </c>
      <c r="B278" s="6">
        <v>542800</v>
      </c>
      <c r="C278" s="6">
        <v>906800</v>
      </c>
      <c r="D278" s="6">
        <v>0</v>
      </c>
      <c r="E278" s="6">
        <v>0</v>
      </c>
    </row>
    <row r="279" spans="1:5" x14ac:dyDescent="0.3">
      <c r="A279" s="4" t="s">
        <v>197</v>
      </c>
      <c r="B279" s="6">
        <v>17250959.940000001</v>
      </c>
      <c r="C279" s="6">
        <v>11158026.939999999</v>
      </c>
      <c r="D279" s="6">
        <v>763438</v>
      </c>
      <c r="E279" s="6">
        <v>1979410</v>
      </c>
    </row>
    <row r="280" spans="1:5" x14ac:dyDescent="0.3">
      <c r="A280" s="4" t="s">
        <v>198</v>
      </c>
      <c r="B280" s="6">
        <v>1724050</v>
      </c>
      <c r="C280" s="6">
        <v>1187950</v>
      </c>
      <c r="D280" s="6">
        <v>193600</v>
      </c>
      <c r="E280" s="6">
        <v>315100</v>
      </c>
    </row>
    <row r="281" spans="1:5" x14ac:dyDescent="0.3">
      <c r="A281" s="4" t="s">
        <v>199</v>
      </c>
      <c r="B281" s="6">
        <v>0</v>
      </c>
      <c r="C281" s="6">
        <v>0</v>
      </c>
      <c r="D281" s="6">
        <v>0</v>
      </c>
      <c r="E281" s="6">
        <v>0</v>
      </c>
    </row>
    <row r="282" spans="1:5" x14ac:dyDescent="0.3">
      <c r="A282" s="4" t="s">
        <v>200</v>
      </c>
      <c r="B282" s="6">
        <v>183500</v>
      </c>
      <c r="C282" s="6">
        <v>183500</v>
      </c>
      <c r="D282" s="6">
        <v>0</v>
      </c>
      <c r="E282" s="6">
        <v>0</v>
      </c>
    </row>
    <row r="283" spans="1:5" x14ac:dyDescent="0.3">
      <c r="A283" s="4" t="s">
        <v>201</v>
      </c>
      <c r="B283" s="6">
        <v>0</v>
      </c>
      <c r="C283" s="6">
        <v>0</v>
      </c>
      <c r="D283" s="6">
        <v>0</v>
      </c>
      <c r="E283" s="6">
        <v>0</v>
      </c>
    </row>
    <row r="284" spans="1:5" x14ac:dyDescent="0.3">
      <c r="A284" s="4" t="s">
        <v>202</v>
      </c>
      <c r="B284" s="6">
        <v>52000</v>
      </c>
      <c r="C284" s="6">
        <v>52000</v>
      </c>
      <c r="D284" s="6">
        <v>0</v>
      </c>
      <c r="E284" s="6">
        <v>52000</v>
      </c>
    </row>
    <row r="285" spans="1:5" x14ac:dyDescent="0.3">
      <c r="A285" s="4" t="s">
        <v>203</v>
      </c>
      <c r="B285" s="6">
        <v>1144440.5900000001</v>
      </c>
      <c r="C285" s="6">
        <v>1034572.38</v>
      </c>
      <c r="D285" s="6">
        <v>0</v>
      </c>
      <c r="E285" s="6">
        <v>0</v>
      </c>
    </row>
    <row r="286" spans="1:5" x14ac:dyDescent="0.3">
      <c r="A286" s="4" t="s">
        <v>204</v>
      </c>
      <c r="B286" s="6">
        <v>22644081.75</v>
      </c>
      <c r="C286" s="6">
        <v>20650614.260000002</v>
      </c>
      <c r="D286" s="6">
        <v>0</v>
      </c>
      <c r="E286" s="6">
        <v>2708136.32</v>
      </c>
    </row>
    <row r="287" spans="1:5" x14ac:dyDescent="0.3">
      <c r="A287" s="4" t="s">
        <v>205</v>
      </c>
      <c r="B287" s="6">
        <v>44857692.020000003</v>
      </c>
      <c r="C287" s="6">
        <v>28888800.300000001</v>
      </c>
      <c r="D287" s="6">
        <v>0</v>
      </c>
      <c r="E287" s="6">
        <v>0</v>
      </c>
    </row>
    <row r="288" spans="1:5" x14ac:dyDescent="0.3">
      <c r="A288" s="4" t="s">
        <v>206</v>
      </c>
      <c r="B288" s="6">
        <v>1659990</v>
      </c>
      <c r="C288" s="6">
        <v>1500500.37</v>
      </c>
      <c r="D288" s="6">
        <v>0</v>
      </c>
      <c r="E288" s="6">
        <v>0</v>
      </c>
    </row>
    <row r="289" spans="1:5" customFormat="1" ht="14.5" x14ac:dyDescent="0.35">
      <c r="A289" s="7"/>
      <c r="B289" s="8"/>
      <c r="C289" s="8"/>
      <c r="D289" s="8"/>
      <c r="E289" s="8"/>
    </row>
    <row r="290" spans="1:5" x14ac:dyDescent="0.3">
      <c r="A290" s="4" t="s">
        <v>207</v>
      </c>
      <c r="B290" s="6">
        <f>ROUND(SUBTOTAL(9, B199:B289), 5)</f>
        <v>580485502.00999999</v>
      </c>
      <c r="C290" s="6">
        <f>ROUND(SUBTOTAL(9, C199:C289), 5)</f>
        <v>490604360.69999999</v>
      </c>
      <c r="D290" s="6">
        <f>ROUND(SUBTOTAL(9, D199:D289), 5)</f>
        <v>23019845.859999999</v>
      </c>
      <c r="E290" s="6">
        <f>ROUND(SUBTOTAL(9, E199:E289), 5)</f>
        <v>53449934.640000001</v>
      </c>
    </row>
    <row r="291" spans="1:5" customFormat="1" ht="14.5" x14ac:dyDescent="0.35">
      <c r="A291" s="7"/>
      <c r="B291" s="8"/>
      <c r="C291" s="8"/>
      <c r="D291" s="8"/>
      <c r="E291" s="8"/>
    </row>
    <row r="292" spans="1:5" ht="13.5" thickBot="1" x14ac:dyDescent="0.35">
      <c r="A292" s="4" t="s">
        <v>208</v>
      </c>
      <c r="B292" s="5">
        <f>-(ROUND(-B197+B290, 5))</f>
        <v>827394259.67999995</v>
      </c>
      <c r="C292" s="5">
        <f>-(ROUND(-C197+C290, 5))</f>
        <v>660954984.10000002</v>
      </c>
      <c r="D292" s="5">
        <f>-(ROUND(-D197+D290, 5))</f>
        <v>94038821.730000004</v>
      </c>
      <c r="E292" s="5">
        <f>-(ROUND(-E197+E290, 5))</f>
        <v>60245864.25</v>
      </c>
    </row>
    <row r="293" spans="1:5" customFormat="1" ht="15.5" thickTop="1" thickBot="1" x14ac:dyDescent="0.4">
      <c r="A293" s="10"/>
      <c r="B293" s="11"/>
      <c r="C293" s="11"/>
      <c r="D293" s="11"/>
      <c r="E293" s="11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&amp;10PLACEWARE NIGERIA LIMITED
Income Statement
For the Six Months Ending June 30, 2026
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2 yrs</vt:lpstr>
      <vt:lpstr>'Income 2 yrs'!Print_Titles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2026-07-05T17:54:39Z</dcterms:created>
  <dcterms:modified xsi:type="dcterms:W3CDTF">2026-07-05T17:57:29Z</dcterms:modified>
</cp:coreProperties>
</file>