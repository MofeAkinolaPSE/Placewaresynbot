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9119B5C3-659D-47E2-AAC4-5D954935576B}" xr6:coauthVersionLast="47" xr6:coauthVersionMax="47" xr10:uidLastSave="{00000000-0000-0000-0000-000000000000}"/>
  <bookViews>
    <workbookView xWindow="-110" yWindow="-110" windowWidth="19420" windowHeight="10300" xr2:uid="{F8D49C8C-8BA3-418D-BDE8-EA6E522D4124}"/>
  </bookViews>
  <sheets>
    <sheet name="Income-Budget-Per" sheetId="1" r:id="rId1"/>
  </sheets>
  <definedNames>
    <definedName name="_xlnm.Print_Titles" localSheetId="0">'Income-Budget-Per'!$1:$1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1" i="1" l="1"/>
  <c r="G291" i="1"/>
  <c r="E291" i="1"/>
  <c r="D291" i="1"/>
  <c r="F291" i="1"/>
  <c r="C291" i="1"/>
  <c r="B291" i="1"/>
  <c r="H289" i="1"/>
  <c r="G289" i="1"/>
  <c r="E289" i="1"/>
  <c r="D289" i="1"/>
  <c r="F289" i="1"/>
  <c r="C289" i="1"/>
  <c r="B289" i="1"/>
  <c r="H287" i="1"/>
  <c r="G287" i="1"/>
  <c r="E287" i="1"/>
  <c r="D287" i="1"/>
  <c r="H286" i="1"/>
  <c r="G286" i="1"/>
  <c r="E286" i="1"/>
  <c r="D286" i="1"/>
  <c r="H285" i="1"/>
  <c r="G285" i="1"/>
  <c r="E285" i="1"/>
  <c r="D285" i="1"/>
  <c r="H284" i="1"/>
  <c r="G284" i="1"/>
  <c r="E284" i="1"/>
  <c r="D284" i="1"/>
  <c r="H283" i="1"/>
  <c r="G283" i="1"/>
  <c r="E283" i="1"/>
  <c r="D283" i="1"/>
  <c r="H282" i="1"/>
  <c r="G282" i="1"/>
  <c r="E282" i="1"/>
  <c r="D282" i="1"/>
  <c r="H281" i="1"/>
  <c r="G281" i="1"/>
  <c r="E281" i="1"/>
  <c r="D281" i="1"/>
  <c r="H280" i="1"/>
  <c r="G280" i="1"/>
  <c r="E280" i="1"/>
  <c r="D280" i="1"/>
  <c r="H279" i="1"/>
  <c r="G279" i="1"/>
  <c r="E279" i="1"/>
  <c r="D279" i="1"/>
  <c r="H278" i="1"/>
  <c r="G278" i="1"/>
  <c r="E278" i="1"/>
  <c r="D278" i="1"/>
  <c r="H277" i="1"/>
  <c r="G277" i="1"/>
  <c r="E277" i="1"/>
  <c r="D277" i="1"/>
  <c r="H276" i="1"/>
  <c r="G276" i="1"/>
  <c r="E276" i="1"/>
  <c r="D276" i="1"/>
  <c r="H275" i="1"/>
  <c r="G275" i="1"/>
  <c r="E275" i="1"/>
  <c r="D275" i="1"/>
  <c r="H274" i="1"/>
  <c r="G274" i="1"/>
  <c r="E274" i="1"/>
  <c r="D274" i="1"/>
  <c r="H273" i="1"/>
  <c r="G273" i="1"/>
  <c r="E273" i="1"/>
  <c r="D273" i="1"/>
  <c r="H272" i="1"/>
  <c r="G272" i="1"/>
  <c r="E272" i="1"/>
  <c r="D272" i="1"/>
  <c r="H271" i="1"/>
  <c r="G271" i="1"/>
  <c r="E271" i="1"/>
  <c r="D271" i="1"/>
  <c r="H270" i="1"/>
  <c r="G270" i="1"/>
  <c r="E270" i="1"/>
  <c r="D270" i="1"/>
  <c r="H269" i="1"/>
  <c r="G269" i="1"/>
  <c r="E269" i="1"/>
  <c r="D269" i="1"/>
  <c r="H268" i="1"/>
  <c r="G268" i="1"/>
  <c r="E268" i="1"/>
  <c r="D268" i="1"/>
  <c r="H267" i="1"/>
  <c r="G267" i="1"/>
  <c r="E267" i="1"/>
  <c r="D267" i="1"/>
  <c r="H266" i="1"/>
  <c r="G266" i="1"/>
  <c r="E266" i="1"/>
  <c r="D266" i="1"/>
  <c r="H265" i="1"/>
  <c r="G265" i="1"/>
  <c r="E265" i="1"/>
  <c r="D265" i="1"/>
  <c r="H264" i="1"/>
  <c r="G264" i="1"/>
  <c r="E264" i="1"/>
  <c r="D264" i="1"/>
  <c r="H263" i="1"/>
  <c r="G263" i="1"/>
  <c r="E263" i="1"/>
  <c r="D263" i="1"/>
  <c r="H262" i="1"/>
  <c r="G262" i="1"/>
  <c r="E262" i="1"/>
  <c r="D262" i="1"/>
  <c r="H261" i="1"/>
  <c r="G261" i="1"/>
  <c r="E261" i="1"/>
  <c r="D261" i="1"/>
  <c r="H260" i="1"/>
  <c r="G260" i="1"/>
  <c r="E260" i="1"/>
  <c r="D260" i="1"/>
  <c r="H259" i="1"/>
  <c r="G259" i="1"/>
  <c r="E259" i="1"/>
  <c r="D259" i="1"/>
  <c r="H258" i="1"/>
  <c r="G258" i="1"/>
  <c r="E258" i="1"/>
  <c r="D258" i="1"/>
  <c r="H257" i="1"/>
  <c r="G257" i="1"/>
  <c r="E257" i="1"/>
  <c r="D257" i="1"/>
  <c r="H256" i="1"/>
  <c r="G256" i="1"/>
  <c r="E256" i="1"/>
  <c r="D256" i="1"/>
  <c r="H255" i="1"/>
  <c r="G255" i="1"/>
  <c r="E255" i="1"/>
  <c r="D255" i="1"/>
  <c r="H254" i="1"/>
  <c r="G254" i="1"/>
  <c r="E254" i="1"/>
  <c r="D254" i="1"/>
  <c r="H253" i="1"/>
  <c r="G253" i="1"/>
  <c r="E253" i="1"/>
  <c r="D253" i="1"/>
  <c r="H252" i="1"/>
  <c r="G252" i="1"/>
  <c r="E252" i="1"/>
  <c r="D252" i="1"/>
  <c r="H251" i="1"/>
  <c r="G251" i="1"/>
  <c r="E251" i="1"/>
  <c r="D251" i="1"/>
  <c r="H250" i="1"/>
  <c r="G250" i="1"/>
  <c r="E250" i="1"/>
  <c r="D250" i="1"/>
  <c r="H249" i="1"/>
  <c r="G249" i="1"/>
  <c r="E249" i="1"/>
  <c r="D249" i="1"/>
  <c r="H248" i="1"/>
  <c r="G248" i="1"/>
  <c r="E248" i="1"/>
  <c r="D248" i="1"/>
  <c r="H247" i="1"/>
  <c r="G247" i="1"/>
  <c r="E247" i="1"/>
  <c r="D247" i="1"/>
  <c r="H246" i="1"/>
  <c r="G246" i="1"/>
  <c r="E246" i="1"/>
  <c r="D246" i="1"/>
  <c r="H245" i="1"/>
  <c r="G245" i="1"/>
  <c r="E245" i="1"/>
  <c r="D245" i="1"/>
  <c r="H244" i="1"/>
  <c r="G244" i="1"/>
  <c r="E244" i="1"/>
  <c r="D244" i="1"/>
  <c r="H243" i="1"/>
  <c r="G243" i="1"/>
  <c r="E243" i="1"/>
  <c r="D243" i="1"/>
  <c r="H242" i="1"/>
  <c r="G242" i="1"/>
  <c r="E242" i="1"/>
  <c r="D242" i="1"/>
  <c r="H241" i="1"/>
  <c r="G241" i="1"/>
  <c r="E241" i="1"/>
  <c r="D241" i="1"/>
  <c r="H240" i="1"/>
  <c r="G240" i="1"/>
  <c r="E240" i="1"/>
  <c r="D240" i="1"/>
  <c r="H239" i="1"/>
  <c r="G239" i="1"/>
  <c r="E239" i="1"/>
  <c r="D239" i="1"/>
  <c r="H238" i="1"/>
  <c r="G238" i="1"/>
  <c r="E238" i="1"/>
  <c r="D238" i="1"/>
  <c r="H237" i="1"/>
  <c r="G237" i="1"/>
  <c r="E237" i="1"/>
  <c r="D237" i="1"/>
  <c r="H236" i="1"/>
  <c r="G236" i="1"/>
  <c r="E236" i="1"/>
  <c r="D236" i="1"/>
  <c r="H235" i="1"/>
  <c r="G235" i="1"/>
  <c r="E235" i="1"/>
  <c r="D235" i="1"/>
  <c r="H234" i="1"/>
  <c r="G234" i="1"/>
  <c r="E234" i="1"/>
  <c r="D234" i="1"/>
  <c r="H233" i="1"/>
  <c r="G233" i="1"/>
  <c r="E233" i="1"/>
  <c r="D233" i="1"/>
  <c r="H232" i="1"/>
  <c r="G232" i="1"/>
  <c r="E232" i="1"/>
  <c r="D232" i="1"/>
  <c r="H231" i="1"/>
  <c r="G231" i="1"/>
  <c r="E231" i="1"/>
  <c r="D231" i="1"/>
  <c r="H230" i="1"/>
  <c r="G230" i="1"/>
  <c r="E230" i="1"/>
  <c r="D230" i="1"/>
  <c r="H229" i="1"/>
  <c r="G229" i="1"/>
  <c r="E229" i="1"/>
  <c r="D229" i="1"/>
  <c r="H228" i="1"/>
  <c r="G228" i="1"/>
  <c r="E228" i="1"/>
  <c r="D228" i="1"/>
  <c r="H227" i="1"/>
  <c r="G227" i="1"/>
  <c r="E227" i="1"/>
  <c r="D227" i="1"/>
  <c r="H226" i="1"/>
  <c r="G226" i="1"/>
  <c r="E226" i="1"/>
  <c r="D226" i="1"/>
  <c r="H225" i="1"/>
  <c r="G225" i="1"/>
  <c r="E225" i="1"/>
  <c r="D225" i="1"/>
  <c r="H224" i="1"/>
  <c r="G224" i="1"/>
  <c r="E224" i="1"/>
  <c r="D224" i="1"/>
  <c r="H223" i="1"/>
  <c r="G223" i="1"/>
  <c r="E223" i="1"/>
  <c r="D223" i="1"/>
  <c r="H222" i="1"/>
  <c r="G222" i="1"/>
  <c r="E222" i="1"/>
  <c r="D222" i="1"/>
  <c r="H221" i="1"/>
  <c r="G221" i="1"/>
  <c r="E221" i="1"/>
  <c r="D221" i="1"/>
  <c r="H220" i="1"/>
  <c r="G220" i="1"/>
  <c r="E220" i="1"/>
  <c r="D220" i="1"/>
  <c r="H219" i="1"/>
  <c r="G219" i="1"/>
  <c r="E219" i="1"/>
  <c r="D219" i="1"/>
  <c r="H218" i="1"/>
  <c r="G218" i="1"/>
  <c r="E218" i="1"/>
  <c r="D218" i="1"/>
  <c r="H217" i="1"/>
  <c r="G217" i="1"/>
  <c r="E217" i="1"/>
  <c r="D217" i="1"/>
  <c r="H216" i="1"/>
  <c r="G216" i="1"/>
  <c r="E216" i="1"/>
  <c r="D216" i="1"/>
  <c r="H215" i="1"/>
  <c r="G215" i="1"/>
  <c r="E215" i="1"/>
  <c r="D215" i="1"/>
  <c r="H214" i="1"/>
  <c r="G214" i="1"/>
  <c r="E214" i="1"/>
  <c r="D214" i="1"/>
  <c r="H213" i="1"/>
  <c r="G213" i="1"/>
  <c r="E213" i="1"/>
  <c r="D213" i="1"/>
  <c r="H212" i="1"/>
  <c r="G212" i="1"/>
  <c r="E212" i="1"/>
  <c r="D212" i="1"/>
  <c r="H211" i="1"/>
  <c r="G211" i="1"/>
  <c r="E211" i="1"/>
  <c r="D211" i="1"/>
  <c r="H210" i="1"/>
  <c r="G210" i="1"/>
  <c r="E210" i="1"/>
  <c r="D210" i="1"/>
  <c r="H209" i="1"/>
  <c r="G209" i="1"/>
  <c r="E209" i="1"/>
  <c r="D209" i="1"/>
  <c r="H208" i="1"/>
  <c r="G208" i="1"/>
  <c r="E208" i="1"/>
  <c r="D208" i="1"/>
  <c r="H207" i="1"/>
  <c r="G207" i="1"/>
  <c r="E207" i="1"/>
  <c r="D207" i="1"/>
  <c r="H206" i="1"/>
  <c r="G206" i="1"/>
  <c r="E206" i="1"/>
  <c r="D206" i="1"/>
  <c r="H205" i="1"/>
  <c r="G205" i="1"/>
  <c r="E205" i="1"/>
  <c r="D205" i="1"/>
  <c r="H204" i="1"/>
  <c r="G204" i="1"/>
  <c r="E204" i="1"/>
  <c r="D204" i="1"/>
  <c r="H203" i="1"/>
  <c r="G203" i="1"/>
  <c r="E203" i="1"/>
  <c r="D203" i="1"/>
  <c r="H202" i="1"/>
  <c r="G202" i="1"/>
  <c r="E202" i="1"/>
  <c r="D202" i="1"/>
  <c r="H201" i="1"/>
  <c r="G201" i="1"/>
  <c r="E201" i="1"/>
  <c r="D201" i="1"/>
  <c r="H200" i="1"/>
  <c r="G200" i="1"/>
  <c r="E200" i="1"/>
  <c r="D200" i="1"/>
  <c r="H197" i="1"/>
  <c r="G197" i="1"/>
  <c r="E197" i="1"/>
  <c r="D197" i="1"/>
  <c r="F197" i="1"/>
  <c r="C197" i="1"/>
  <c r="B197" i="1"/>
  <c r="H195" i="1"/>
  <c r="G195" i="1"/>
  <c r="E195" i="1"/>
  <c r="D195" i="1"/>
  <c r="F195" i="1"/>
  <c r="C195" i="1"/>
  <c r="B195" i="1"/>
  <c r="H193" i="1"/>
  <c r="G193" i="1"/>
  <c r="E193" i="1"/>
  <c r="D193" i="1"/>
  <c r="H192" i="1"/>
  <c r="G192" i="1"/>
  <c r="E192" i="1"/>
  <c r="D192" i="1"/>
  <c r="H191" i="1"/>
  <c r="G191" i="1"/>
  <c r="E191" i="1"/>
  <c r="D191" i="1"/>
  <c r="H190" i="1"/>
  <c r="G190" i="1"/>
  <c r="E190" i="1"/>
  <c r="D190" i="1"/>
  <c r="H189" i="1"/>
  <c r="G189" i="1"/>
  <c r="E189" i="1"/>
  <c r="D189" i="1"/>
  <c r="H188" i="1"/>
  <c r="G188" i="1"/>
  <c r="E188" i="1"/>
  <c r="D188" i="1"/>
  <c r="H187" i="1"/>
  <c r="G187" i="1"/>
  <c r="E187" i="1"/>
  <c r="D187" i="1"/>
  <c r="H186" i="1"/>
  <c r="G186" i="1"/>
  <c r="E186" i="1"/>
  <c r="D186" i="1"/>
  <c r="H185" i="1"/>
  <c r="G185" i="1"/>
  <c r="E185" i="1"/>
  <c r="D185" i="1"/>
  <c r="H184" i="1"/>
  <c r="G184" i="1"/>
  <c r="E184" i="1"/>
  <c r="D184" i="1"/>
  <c r="H183" i="1"/>
  <c r="G183" i="1"/>
  <c r="E183" i="1"/>
  <c r="D183" i="1"/>
  <c r="H182" i="1"/>
  <c r="G182" i="1"/>
  <c r="E182" i="1"/>
  <c r="D182" i="1"/>
  <c r="H181" i="1"/>
  <c r="G181" i="1"/>
  <c r="E181" i="1"/>
  <c r="D181" i="1"/>
  <c r="H180" i="1"/>
  <c r="G180" i="1"/>
  <c r="E180" i="1"/>
  <c r="D180" i="1"/>
  <c r="H179" i="1"/>
  <c r="G179" i="1"/>
  <c r="E179" i="1"/>
  <c r="D179" i="1"/>
  <c r="H178" i="1"/>
  <c r="G178" i="1"/>
  <c r="E178" i="1"/>
  <c r="D178" i="1"/>
  <c r="H177" i="1"/>
  <c r="G177" i="1"/>
  <c r="E177" i="1"/>
  <c r="D177" i="1"/>
  <c r="H176" i="1"/>
  <c r="G176" i="1"/>
  <c r="E176" i="1"/>
  <c r="D176" i="1"/>
  <c r="H175" i="1"/>
  <c r="G175" i="1"/>
  <c r="E175" i="1"/>
  <c r="D175" i="1"/>
  <c r="H174" i="1"/>
  <c r="G174" i="1"/>
  <c r="E174" i="1"/>
  <c r="D174" i="1"/>
  <c r="H173" i="1"/>
  <c r="G173" i="1"/>
  <c r="E173" i="1"/>
  <c r="D173" i="1"/>
  <c r="H172" i="1"/>
  <c r="G172" i="1"/>
  <c r="E172" i="1"/>
  <c r="D172" i="1"/>
  <c r="H171" i="1"/>
  <c r="G171" i="1"/>
  <c r="E171" i="1"/>
  <c r="D171" i="1"/>
  <c r="H170" i="1"/>
  <c r="G170" i="1"/>
  <c r="E170" i="1"/>
  <c r="D170" i="1"/>
  <c r="H169" i="1"/>
  <c r="G169" i="1"/>
  <c r="E169" i="1"/>
  <c r="D169" i="1"/>
  <c r="H168" i="1"/>
  <c r="G168" i="1"/>
  <c r="E168" i="1"/>
  <c r="D168" i="1"/>
  <c r="H167" i="1"/>
  <c r="G167" i="1"/>
  <c r="E167" i="1"/>
  <c r="D167" i="1"/>
  <c r="H166" i="1"/>
  <c r="G166" i="1"/>
  <c r="E166" i="1"/>
  <c r="D166" i="1"/>
  <c r="H165" i="1"/>
  <c r="G165" i="1"/>
  <c r="E165" i="1"/>
  <c r="D165" i="1"/>
  <c r="H164" i="1"/>
  <c r="G164" i="1"/>
  <c r="E164" i="1"/>
  <c r="D164" i="1"/>
  <c r="H163" i="1"/>
  <c r="G163" i="1"/>
  <c r="E163" i="1"/>
  <c r="D163" i="1"/>
  <c r="H162" i="1"/>
  <c r="G162" i="1"/>
  <c r="E162" i="1"/>
  <c r="D162" i="1"/>
  <c r="H161" i="1"/>
  <c r="G161" i="1"/>
  <c r="E161" i="1"/>
  <c r="D161" i="1"/>
  <c r="H160" i="1"/>
  <c r="G160" i="1"/>
  <c r="E160" i="1"/>
  <c r="D160" i="1"/>
  <c r="H159" i="1"/>
  <c r="G159" i="1"/>
  <c r="E159" i="1"/>
  <c r="D159" i="1"/>
  <c r="H158" i="1"/>
  <c r="G158" i="1"/>
  <c r="E158" i="1"/>
  <c r="D158" i="1"/>
  <c r="H157" i="1"/>
  <c r="G157" i="1"/>
  <c r="E157" i="1"/>
  <c r="D157" i="1"/>
  <c r="H156" i="1"/>
  <c r="G156" i="1"/>
  <c r="E156" i="1"/>
  <c r="D156" i="1"/>
  <c r="H155" i="1"/>
  <c r="G155" i="1"/>
  <c r="E155" i="1"/>
  <c r="D155" i="1"/>
  <c r="H154" i="1"/>
  <c r="G154" i="1"/>
  <c r="E154" i="1"/>
  <c r="D154" i="1"/>
  <c r="H153" i="1"/>
  <c r="G153" i="1"/>
  <c r="E153" i="1"/>
  <c r="D153" i="1"/>
  <c r="H152" i="1"/>
  <c r="G152" i="1"/>
  <c r="E152" i="1"/>
  <c r="D152" i="1"/>
  <c r="H151" i="1"/>
  <c r="G151" i="1"/>
  <c r="E151" i="1"/>
  <c r="D151" i="1"/>
  <c r="H150" i="1"/>
  <c r="G150" i="1"/>
  <c r="E150" i="1"/>
  <c r="D150" i="1"/>
  <c r="H149" i="1"/>
  <c r="G149" i="1"/>
  <c r="E149" i="1"/>
  <c r="D149" i="1"/>
  <c r="H148" i="1"/>
  <c r="G148" i="1"/>
  <c r="E148" i="1"/>
  <c r="D148" i="1"/>
  <c r="H147" i="1"/>
  <c r="G147" i="1"/>
  <c r="E147" i="1"/>
  <c r="D147" i="1"/>
  <c r="H146" i="1"/>
  <c r="G146" i="1"/>
  <c r="E146" i="1"/>
  <c r="D146" i="1"/>
  <c r="H145" i="1"/>
  <c r="G145" i="1"/>
  <c r="E145" i="1"/>
  <c r="D145" i="1"/>
  <c r="H144" i="1"/>
  <c r="G144" i="1"/>
  <c r="E144" i="1"/>
  <c r="D144" i="1"/>
  <c r="H143" i="1"/>
  <c r="G143" i="1"/>
  <c r="E143" i="1"/>
  <c r="D143" i="1"/>
  <c r="H142" i="1"/>
  <c r="G142" i="1"/>
  <c r="E142" i="1"/>
  <c r="D142" i="1"/>
  <c r="H141" i="1"/>
  <c r="G141" i="1"/>
  <c r="E141" i="1"/>
  <c r="D141" i="1"/>
  <c r="H140" i="1"/>
  <c r="G140" i="1"/>
  <c r="E140" i="1"/>
  <c r="D140" i="1"/>
  <c r="H139" i="1"/>
  <c r="G139" i="1"/>
  <c r="E139" i="1"/>
  <c r="D139" i="1"/>
  <c r="H138" i="1"/>
  <c r="G138" i="1"/>
  <c r="E138" i="1"/>
  <c r="D138" i="1"/>
  <c r="H137" i="1"/>
  <c r="G137" i="1"/>
  <c r="E137" i="1"/>
  <c r="D137" i="1"/>
  <c r="H136" i="1"/>
  <c r="G136" i="1"/>
  <c r="E136" i="1"/>
  <c r="D136" i="1"/>
  <c r="H135" i="1"/>
  <c r="G135" i="1"/>
  <c r="E135" i="1"/>
  <c r="D135" i="1"/>
  <c r="H134" i="1"/>
  <c r="G134" i="1"/>
  <c r="E134" i="1"/>
  <c r="D134" i="1"/>
  <c r="H133" i="1"/>
  <c r="G133" i="1"/>
  <c r="E133" i="1"/>
  <c r="D133" i="1"/>
  <c r="H132" i="1"/>
  <c r="G132" i="1"/>
  <c r="E132" i="1"/>
  <c r="D132" i="1"/>
  <c r="H131" i="1"/>
  <c r="G131" i="1"/>
  <c r="E131" i="1"/>
  <c r="D131" i="1"/>
  <c r="H130" i="1"/>
  <c r="G130" i="1"/>
  <c r="E130" i="1"/>
  <c r="D130" i="1"/>
  <c r="H129" i="1"/>
  <c r="G129" i="1"/>
  <c r="E129" i="1"/>
  <c r="D129" i="1"/>
  <c r="H128" i="1"/>
  <c r="G128" i="1"/>
  <c r="E128" i="1"/>
  <c r="D128" i="1"/>
  <c r="H127" i="1"/>
  <c r="G127" i="1"/>
  <c r="E127" i="1"/>
  <c r="D127" i="1"/>
  <c r="H126" i="1"/>
  <c r="G126" i="1"/>
  <c r="E126" i="1"/>
  <c r="D126" i="1"/>
  <c r="H125" i="1"/>
  <c r="G125" i="1"/>
  <c r="E125" i="1"/>
  <c r="D125" i="1"/>
  <c r="H124" i="1"/>
  <c r="G124" i="1"/>
  <c r="E124" i="1"/>
  <c r="D124" i="1"/>
  <c r="H123" i="1"/>
  <c r="G123" i="1"/>
  <c r="E123" i="1"/>
  <c r="D123" i="1"/>
  <c r="H122" i="1"/>
  <c r="G122" i="1"/>
  <c r="E122" i="1"/>
  <c r="D122" i="1"/>
  <c r="H121" i="1"/>
  <c r="G121" i="1"/>
  <c r="E121" i="1"/>
  <c r="D121" i="1"/>
  <c r="H120" i="1"/>
  <c r="G120" i="1"/>
  <c r="E120" i="1"/>
  <c r="D120" i="1"/>
  <c r="H119" i="1"/>
  <c r="G119" i="1"/>
  <c r="E119" i="1"/>
  <c r="D119" i="1"/>
  <c r="H118" i="1"/>
  <c r="G118" i="1"/>
  <c r="E118" i="1"/>
  <c r="D118" i="1"/>
  <c r="H117" i="1"/>
  <c r="G117" i="1"/>
  <c r="E117" i="1"/>
  <c r="D117" i="1"/>
  <c r="H116" i="1"/>
  <c r="G116" i="1"/>
  <c r="E116" i="1"/>
  <c r="D116" i="1"/>
  <c r="H115" i="1"/>
  <c r="G115" i="1"/>
  <c r="E115" i="1"/>
  <c r="D115" i="1"/>
  <c r="H114" i="1"/>
  <c r="G114" i="1"/>
  <c r="E114" i="1"/>
  <c r="D114" i="1"/>
  <c r="H113" i="1"/>
  <c r="G113" i="1"/>
  <c r="E113" i="1"/>
  <c r="D113" i="1"/>
  <c r="H112" i="1"/>
  <c r="G112" i="1"/>
  <c r="E112" i="1"/>
  <c r="D112" i="1"/>
  <c r="H111" i="1"/>
  <c r="G111" i="1"/>
  <c r="E111" i="1"/>
  <c r="D111" i="1"/>
  <c r="H110" i="1"/>
  <c r="G110" i="1"/>
  <c r="E110" i="1"/>
  <c r="D110" i="1"/>
  <c r="H109" i="1"/>
  <c r="G109" i="1"/>
  <c r="E109" i="1"/>
  <c r="D109" i="1"/>
  <c r="H108" i="1"/>
  <c r="G108" i="1"/>
  <c r="E108" i="1"/>
  <c r="D108" i="1"/>
  <c r="H107" i="1"/>
  <c r="G107" i="1"/>
  <c r="E107" i="1"/>
  <c r="D107" i="1"/>
  <c r="H106" i="1"/>
  <c r="G106" i="1"/>
  <c r="E106" i="1"/>
  <c r="D106" i="1"/>
  <c r="H105" i="1"/>
  <c r="G105" i="1"/>
  <c r="E105" i="1"/>
  <c r="D105" i="1"/>
  <c r="H104" i="1"/>
  <c r="G104" i="1"/>
  <c r="E104" i="1"/>
  <c r="D104" i="1"/>
  <c r="H103" i="1"/>
  <c r="G103" i="1"/>
  <c r="E103" i="1"/>
  <c r="D103" i="1"/>
  <c r="H102" i="1"/>
  <c r="G102" i="1"/>
  <c r="E102" i="1"/>
  <c r="D102" i="1"/>
  <c r="H98" i="1"/>
  <c r="G98" i="1"/>
  <c r="E98" i="1"/>
  <c r="D98" i="1"/>
  <c r="F98" i="1"/>
  <c r="C98" i="1"/>
  <c r="B98" i="1"/>
  <c r="H96" i="1"/>
  <c r="G96" i="1"/>
  <c r="E96" i="1"/>
  <c r="D96" i="1"/>
  <c r="H95" i="1"/>
  <c r="G95" i="1"/>
  <c r="E95" i="1"/>
  <c r="D95" i="1"/>
  <c r="H94" i="1"/>
  <c r="G94" i="1"/>
  <c r="E94" i="1"/>
  <c r="D94" i="1"/>
  <c r="H93" i="1"/>
  <c r="G93" i="1"/>
  <c r="E93" i="1"/>
  <c r="D93" i="1"/>
  <c r="H92" i="1"/>
  <c r="G92" i="1"/>
  <c r="E92" i="1"/>
  <c r="D92" i="1"/>
  <c r="H91" i="1"/>
  <c r="G91" i="1"/>
  <c r="E91" i="1"/>
  <c r="D91" i="1"/>
  <c r="H90" i="1"/>
  <c r="G90" i="1"/>
  <c r="E90" i="1"/>
  <c r="D90" i="1"/>
  <c r="H89" i="1"/>
  <c r="G89" i="1"/>
  <c r="E89" i="1"/>
  <c r="D89" i="1"/>
  <c r="H88" i="1"/>
  <c r="G88" i="1"/>
  <c r="E88" i="1"/>
  <c r="D88" i="1"/>
  <c r="H87" i="1"/>
  <c r="G87" i="1"/>
  <c r="E87" i="1"/>
  <c r="D87" i="1"/>
  <c r="H86" i="1"/>
  <c r="G86" i="1"/>
  <c r="E86" i="1"/>
  <c r="D86" i="1"/>
  <c r="H85" i="1"/>
  <c r="G85" i="1"/>
  <c r="E85" i="1"/>
  <c r="D85" i="1"/>
  <c r="H84" i="1"/>
  <c r="G84" i="1"/>
  <c r="E84" i="1"/>
  <c r="D84" i="1"/>
  <c r="H83" i="1"/>
  <c r="G83" i="1"/>
  <c r="E83" i="1"/>
  <c r="D83" i="1"/>
  <c r="H82" i="1"/>
  <c r="G82" i="1"/>
  <c r="E82" i="1"/>
  <c r="D82" i="1"/>
  <c r="H81" i="1"/>
  <c r="G81" i="1"/>
  <c r="E81" i="1"/>
  <c r="D81" i="1"/>
  <c r="H80" i="1"/>
  <c r="G80" i="1"/>
  <c r="E80" i="1"/>
  <c r="D80" i="1"/>
  <c r="H79" i="1"/>
  <c r="G79" i="1"/>
  <c r="E79" i="1"/>
  <c r="D79" i="1"/>
  <c r="H78" i="1"/>
  <c r="G78" i="1"/>
  <c r="E78" i="1"/>
  <c r="D78" i="1"/>
  <c r="H77" i="1"/>
  <c r="G77" i="1"/>
  <c r="E77" i="1"/>
  <c r="D77" i="1"/>
  <c r="H76" i="1"/>
  <c r="G76" i="1"/>
  <c r="E76" i="1"/>
  <c r="D76" i="1"/>
  <c r="H75" i="1"/>
  <c r="G75" i="1"/>
  <c r="E75" i="1"/>
  <c r="D75" i="1"/>
  <c r="H74" i="1"/>
  <c r="G74" i="1"/>
  <c r="E74" i="1"/>
  <c r="D74" i="1"/>
  <c r="H73" i="1"/>
  <c r="G73" i="1"/>
  <c r="E73" i="1"/>
  <c r="D73" i="1"/>
  <c r="H72" i="1"/>
  <c r="G72" i="1"/>
  <c r="E72" i="1"/>
  <c r="D72" i="1"/>
  <c r="H71" i="1"/>
  <c r="G71" i="1"/>
  <c r="E71" i="1"/>
  <c r="D71" i="1"/>
  <c r="H70" i="1"/>
  <c r="G70" i="1"/>
  <c r="E70" i="1"/>
  <c r="D70" i="1"/>
  <c r="H69" i="1"/>
  <c r="G69" i="1"/>
  <c r="E69" i="1"/>
  <c r="D69" i="1"/>
  <c r="H68" i="1"/>
  <c r="G68" i="1"/>
  <c r="E68" i="1"/>
  <c r="D68" i="1"/>
  <c r="H67" i="1"/>
  <c r="G67" i="1"/>
  <c r="E67" i="1"/>
  <c r="D67" i="1"/>
  <c r="H66" i="1"/>
  <c r="G66" i="1"/>
  <c r="E66" i="1"/>
  <c r="D66" i="1"/>
  <c r="H65" i="1"/>
  <c r="G65" i="1"/>
  <c r="E65" i="1"/>
  <c r="D65" i="1"/>
  <c r="H64" i="1"/>
  <c r="G64" i="1"/>
  <c r="E64" i="1"/>
  <c r="D64" i="1"/>
  <c r="H63" i="1"/>
  <c r="G63" i="1"/>
  <c r="E63" i="1"/>
  <c r="D63" i="1"/>
  <c r="H62" i="1"/>
  <c r="G62" i="1"/>
  <c r="E62" i="1"/>
  <c r="D62" i="1"/>
  <c r="H61" i="1"/>
  <c r="G61" i="1"/>
  <c r="E61" i="1"/>
  <c r="D61" i="1"/>
  <c r="H60" i="1"/>
  <c r="G60" i="1"/>
  <c r="E60" i="1"/>
  <c r="D60" i="1"/>
  <c r="H59" i="1"/>
  <c r="G59" i="1"/>
  <c r="E59" i="1"/>
  <c r="D59" i="1"/>
  <c r="H58" i="1"/>
  <c r="G58" i="1"/>
  <c r="E58" i="1"/>
  <c r="D58" i="1"/>
  <c r="H57" i="1"/>
  <c r="G57" i="1"/>
  <c r="E57" i="1"/>
  <c r="D57" i="1"/>
  <c r="H56" i="1"/>
  <c r="G56" i="1"/>
  <c r="E56" i="1"/>
  <c r="D56" i="1"/>
  <c r="H55" i="1"/>
  <c r="G55" i="1"/>
  <c r="E55" i="1"/>
  <c r="D55" i="1"/>
  <c r="H54" i="1"/>
  <c r="G54" i="1"/>
  <c r="E54" i="1"/>
  <c r="D54" i="1"/>
  <c r="H53" i="1"/>
  <c r="G53" i="1"/>
  <c r="E53" i="1"/>
  <c r="D53" i="1"/>
  <c r="H52" i="1"/>
  <c r="G52" i="1"/>
  <c r="E52" i="1"/>
  <c r="D52" i="1"/>
  <c r="H51" i="1"/>
  <c r="G51" i="1"/>
  <c r="E51" i="1"/>
  <c r="D51" i="1"/>
  <c r="H50" i="1"/>
  <c r="G50" i="1"/>
  <c r="E50" i="1"/>
  <c r="D50" i="1"/>
  <c r="H49" i="1"/>
  <c r="G49" i="1"/>
  <c r="E49" i="1"/>
  <c r="D49" i="1"/>
  <c r="H48" i="1"/>
  <c r="G48" i="1"/>
  <c r="E48" i="1"/>
  <c r="D48" i="1"/>
  <c r="H47" i="1"/>
  <c r="G47" i="1"/>
  <c r="E47" i="1"/>
  <c r="D47" i="1"/>
  <c r="H46" i="1"/>
  <c r="G46" i="1"/>
  <c r="E46" i="1"/>
  <c r="D46" i="1"/>
  <c r="H45" i="1"/>
  <c r="G45" i="1"/>
  <c r="E45" i="1"/>
  <c r="D45" i="1"/>
  <c r="H44" i="1"/>
  <c r="G44" i="1"/>
  <c r="E44" i="1"/>
  <c r="D44" i="1"/>
  <c r="H43" i="1"/>
  <c r="G43" i="1"/>
  <c r="E43" i="1"/>
  <c r="D43" i="1"/>
  <c r="H42" i="1"/>
  <c r="G42" i="1"/>
  <c r="E42" i="1"/>
  <c r="D42" i="1"/>
  <c r="H41" i="1"/>
  <c r="G41" i="1"/>
  <c r="E41" i="1"/>
  <c r="D41" i="1"/>
  <c r="H40" i="1"/>
  <c r="G40" i="1"/>
  <c r="E40" i="1"/>
  <c r="D40" i="1"/>
  <c r="H39" i="1"/>
  <c r="G39" i="1"/>
  <c r="E39" i="1"/>
  <c r="D39" i="1"/>
  <c r="H38" i="1"/>
  <c r="G38" i="1"/>
  <c r="E38" i="1"/>
  <c r="D38" i="1"/>
  <c r="H37" i="1"/>
  <c r="G37" i="1"/>
  <c r="E37" i="1"/>
  <c r="D37" i="1"/>
  <c r="H36" i="1"/>
  <c r="G36" i="1"/>
  <c r="E36" i="1"/>
  <c r="D36" i="1"/>
  <c r="H35" i="1"/>
  <c r="G35" i="1"/>
  <c r="E35" i="1"/>
  <c r="D35" i="1"/>
  <c r="H34" i="1"/>
  <c r="G34" i="1"/>
  <c r="E34" i="1"/>
  <c r="D34" i="1"/>
  <c r="H33" i="1"/>
  <c r="G33" i="1"/>
  <c r="E33" i="1"/>
  <c r="D33" i="1"/>
  <c r="H32" i="1"/>
  <c r="G32" i="1"/>
  <c r="E32" i="1"/>
  <c r="D32" i="1"/>
  <c r="H31" i="1"/>
  <c r="G31" i="1"/>
  <c r="E31" i="1"/>
  <c r="D31" i="1"/>
  <c r="H30" i="1"/>
  <c r="G30" i="1"/>
  <c r="E30" i="1"/>
  <c r="D30" i="1"/>
  <c r="H29" i="1"/>
  <c r="G29" i="1"/>
  <c r="E29" i="1"/>
  <c r="D29" i="1"/>
  <c r="H28" i="1"/>
  <c r="G28" i="1"/>
  <c r="E28" i="1"/>
  <c r="D28" i="1"/>
  <c r="H27" i="1"/>
  <c r="G27" i="1"/>
  <c r="E27" i="1"/>
  <c r="D27" i="1"/>
  <c r="H26" i="1"/>
  <c r="G26" i="1"/>
  <c r="E26" i="1"/>
  <c r="D26" i="1"/>
  <c r="H25" i="1"/>
  <c r="G25" i="1"/>
  <c r="E25" i="1"/>
  <c r="D25" i="1"/>
  <c r="H24" i="1"/>
  <c r="G24" i="1"/>
  <c r="E24" i="1"/>
  <c r="D24" i="1"/>
  <c r="H23" i="1"/>
  <c r="G23" i="1"/>
  <c r="E23" i="1"/>
  <c r="D23" i="1"/>
  <c r="H22" i="1"/>
  <c r="G22" i="1"/>
  <c r="E22" i="1"/>
  <c r="D22" i="1"/>
  <c r="H21" i="1"/>
  <c r="G21" i="1"/>
  <c r="E21" i="1"/>
  <c r="D21" i="1"/>
  <c r="H20" i="1"/>
  <c r="G20" i="1"/>
  <c r="E20" i="1"/>
  <c r="D20" i="1"/>
  <c r="H19" i="1"/>
  <c r="G19" i="1"/>
  <c r="E19" i="1"/>
  <c r="D19" i="1"/>
  <c r="H18" i="1"/>
  <c r="G18" i="1"/>
  <c r="E18" i="1"/>
  <c r="D18" i="1"/>
  <c r="H17" i="1"/>
  <c r="G17" i="1"/>
  <c r="E17" i="1"/>
  <c r="D17" i="1"/>
  <c r="H16" i="1"/>
  <c r="G16" i="1"/>
  <c r="E16" i="1"/>
  <c r="D16" i="1"/>
  <c r="H15" i="1"/>
  <c r="G15" i="1"/>
  <c r="E15" i="1"/>
  <c r="D15" i="1"/>
  <c r="H14" i="1"/>
  <c r="G14" i="1"/>
  <c r="E14" i="1"/>
  <c r="D14" i="1"/>
  <c r="H13" i="1"/>
  <c r="G13" i="1"/>
  <c r="E13" i="1"/>
  <c r="D13" i="1"/>
  <c r="H12" i="1"/>
  <c r="G12" i="1"/>
  <c r="E12" i="1"/>
  <c r="D12" i="1"/>
  <c r="H11" i="1"/>
  <c r="G11" i="1"/>
  <c r="E11" i="1"/>
  <c r="D11" i="1"/>
  <c r="H10" i="1"/>
  <c r="G10" i="1"/>
  <c r="E10" i="1"/>
  <c r="D10" i="1"/>
  <c r="H9" i="1"/>
  <c r="G9" i="1"/>
  <c r="E9" i="1"/>
  <c r="D9" i="1"/>
  <c r="H8" i="1"/>
  <c r="G8" i="1"/>
  <c r="E8" i="1"/>
  <c r="D8" i="1"/>
  <c r="H7" i="1"/>
  <c r="G7" i="1"/>
  <c r="E7" i="1"/>
  <c r="D7" i="1"/>
  <c r="H6" i="1"/>
  <c r="G6" i="1"/>
  <c r="E6" i="1"/>
  <c r="D6" i="1"/>
  <c r="H5" i="1"/>
  <c r="G5" i="1"/>
  <c r="E5" i="1"/>
  <c r="D5" i="1"/>
  <c r="H4" i="1"/>
  <c r="G4" i="1"/>
  <c r="E4" i="1"/>
  <c r="D4" i="1"/>
  <c r="H3" i="1"/>
  <c r="G3" i="1"/>
  <c r="E3" i="1"/>
  <c r="D3" i="1"/>
</calcChain>
</file>

<file path=xl/sharedStrings.xml><?xml version="1.0" encoding="utf-8"?>
<sst xmlns="http://schemas.openxmlformats.org/spreadsheetml/2006/main" count="291" uniqueCount="212">
  <si>
    <t xml:space="preserve">
</t>
  </si>
  <si>
    <t>Current
Month</t>
  </si>
  <si>
    <t>Variance 
Amount</t>
  </si>
  <si>
    <t>Variance
Percent</t>
  </si>
  <si>
    <t>Change from
Last Year</t>
  </si>
  <si>
    <t>Percent
Change</t>
  </si>
  <si>
    <t>Revenues</t>
  </si>
  <si>
    <t>Thymoglobulin 25mg/5ml</t>
  </si>
  <si>
    <t>Hepatitis B Vaccine</t>
  </si>
  <si>
    <t>Hepatitis A Vaccine</t>
  </si>
  <si>
    <t>Cervarix Vaccines</t>
  </si>
  <si>
    <t>Gardasil 4</t>
  </si>
  <si>
    <t>Haemohpilus Influenzae Type B</t>
  </si>
  <si>
    <t>Priorix Tetra 1D</t>
  </si>
  <si>
    <t>Typhoid Fever Vaccine</t>
  </si>
  <si>
    <t>Measles,Mumps&amp;Rubella Vaccine</t>
  </si>
  <si>
    <t>Chicken Pox Vaccine</t>
  </si>
  <si>
    <t>Dipthtera,Teta,Pertusis(w),hep</t>
  </si>
  <si>
    <t>Dipth,Tetan,pertu(w),HepB&amp;Hib</t>
  </si>
  <si>
    <t>Meningitis Vaccine</t>
  </si>
  <si>
    <t>Chronic Hep BTreat(lamivudine</t>
  </si>
  <si>
    <t>Antibiotics</t>
  </si>
  <si>
    <t>Rotavirus</t>
  </si>
  <si>
    <t>Synflorix</t>
  </si>
  <si>
    <t>Prevenar 13</t>
  </si>
  <si>
    <t>Pentaxim</t>
  </si>
  <si>
    <t>Verorab</t>
  </si>
  <si>
    <t>Pneumo - 23</t>
  </si>
  <si>
    <t>Insulatard 40  I.U</t>
  </si>
  <si>
    <t>Insulatard 100  I.U</t>
  </si>
  <si>
    <t>Actrapid 100 i.u</t>
  </si>
  <si>
    <t>Mixtard 30 HM 40 i.u</t>
  </si>
  <si>
    <t>Mixtard 30 Penfill 100 i.u</t>
  </si>
  <si>
    <t>Actrapid HM 40 i.u</t>
  </si>
  <si>
    <t>Mixtard 30 HM 100 i.u</t>
  </si>
  <si>
    <t>Stamaril 1 vial</t>
  </si>
  <si>
    <t>Dultavax 0.5ml</t>
  </si>
  <si>
    <t>Novomix 30 Flexpen</t>
  </si>
  <si>
    <t>Insulatard Penfil 100  I.U</t>
  </si>
  <si>
    <t>Actrapid Penfill 100 I.U</t>
  </si>
  <si>
    <t>Polprotec Vaccines</t>
  </si>
  <si>
    <t>NovoTwist Needles</t>
  </si>
  <si>
    <t>Special Order</t>
  </si>
  <si>
    <t>Pentavalent</t>
  </si>
  <si>
    <t>Chicken Pox Vaccine(Zolon)</t>
  </si>
  <si>
    <t>Tetanus Toxoid</t>
  </si>
  <si>
    <t>Tetraxim</t>
  </si>
  <si>
    <t>Anti Rabis</t>
  </si>
  <si>
    <t>Rhogam (Anti - D)</t>
  </si>
  <si>
    <t>Victoza</t>
  </si>
  <si>
    <t>Sanofi Insulin</t>
  </si>
  <si>
    <t>Cholera Vaccines</t>
  </si>
  <si>
    <t>Clexane</t>
  </si>
  <si>
    <t>Anti-biotics</t>
  </si>
  <si>
    <t>Yellow Fever</t>
  </si>
  <si>
    <t>Anti- Hypertensive</t>
  </si>
  <si>
    <t>Amaryl Tabs</t>
  </si>
  <si>
    <t>Apidra</t>
  </si>
  <si>
    <t>Flu Vaccines</t>
  </si>
  <si>
    <t>Tresiba</t>
  </si>
  <si>
    <t>Adacel Polio Tdap/Ipv</t>
  </si>
  <si>
    <t>RHOCLONE</t>
  </si>
  <si>
    <t>Hexaxim</t>
  </si>
  <si>
    <t>Interest Income</t>
  </si>
  <si>
    <t>Other Income</t>
  </si>
  <si>
    <t>Finance Charge Income</t>
  </si>
  <si>
    <t>Shipping Charges Reimbursed</t>
  </si>
  <si>
    <t>Sales Returns and Allowances</t>
  </si>
  <si>
    <t>Sales Discounts</t>
  </si>
  <si>
    <t>ACRETIN 0.05%</t>
  </si>
  <si>
    <t>Discounts Received</t>
  </si>
  <si>
    <t>Lilly(CHI) Insulin</t>
  </si>
  <si>
    <t>Actrapid Flexpen 100IU</t>
  </si>
  <si>
    <t>Taxotere</t>
  </si>
  <si>
    <t>Epilim</t>
  </si>
  <si>
    <t>Tavanic</t>
  </si>
  <si>
    <t>Tetglob inj 250iu</t>
  </si>
  <si>
    <t>Nucard  160mg</t>
  </si>
  <si>
    <t>Nucard 80mg</t>
  </si>
  <si>
    <t>Androgel 1.62% Pump</t>
  </si>
  <si>
    <t>AVSAR 160/10mg Tab</t>
  </si>
  <si>
    <t>RECORMON 400IU</t>
  </si>
  <si>
    <t>XPLENDED 10MG</t>
  </si>
  <si>
    <t>Utrogestan 100Mg Cap Oral</t>
  </si>
  <si>
    <t>VARIRID</t>
  </si>
  <si>
    <t>ACRETIN 0.025%</t>
  </si>
  <si>
    <t>EVOFIX CAP 400MG</t>
  </si>
  <si>
    <t>EVOFIX SUSP 100MG</t>
  </si>
  <si>
    <t>UNI FRESH 30UD</t>
  </si>
  <si>
    <t>NOVOFINE NEEDLE 32G</t>
  </si>
  <si>
    <t>tetanus dipthteria</t>
  </si>
  <si>
    <t>FUSIBACT 15G</t>
  </si>
  <si>
    <t>ELICASAL OINTMENT</t>
  </si>
  <si>
    <t>LOXTRA</t>
  </si>
  <si>
    <t>OPTIFLOX OPTH</t>
  </si>
  <si>
    <t>FUSIBACT OINTMENT</t>
  </si>
  <si>
    <t>FUSIBACT CREAM 15G (A)</t>
  </si>
  <si>
    <t>Euvichol - S</t>
  </si>
  <si>
    <t>Total Revenues</t>
  </si>
  <si>
    <t/>
  </si>
  <si>
    <t>Cost of Sales</t>
  </si>
  <si>
    <t>Measles.Mumps &amp; Rubella Vac</t>
  </si>
  <si>
    <t>Dipthteria,Tetanu,Pertus(w),He</t>
  </si>
  <si>
    <t>Dipth,Tetan,Pertu(w),HepB&amp;Hib</t>
  </si>
  <si>
    <t>Chronic Hep B treat(Lamivudine</t>
  </si>
  <si>
    <t>Stamaril 1 Vial</t>
  </si>
  <si>
    <t>Novomix 30 Flexpen 100u</t>
  </si>
  <si>
    <t>Chicken Pox Vaccine(zolon)</t>
  </si>
  <si>
    <t>Cost of Sales-notions</t>
  </si>
  <si>
    <t>Cost of Sales-accessories</t>
  </si>
  <si>
    <t>Cost of Sales-Salaries and Wag</t>
  </si>
  <si>
    <t>Cost of Sales-Freight</t>
  </si>
  <si>
    <t>Cost of Sales-Other</t>
  </si>
  <si>
    <t>Inventory Adjustments</t>
  </si>
  <si>
    <t>Purchase Returns and Allowance</t>
  </si>
  <si>
    <t>Purchase Discounts</t>
  </si>
  <si>
    <t>Actrapid Flexpen</t>
  </si>
  <si>
    <t>Nucard 160mg</t>
  </si>
  <si>
    <t>Tetanus dipthteria multiple</t>
  </si>
  <si>
    <t>Total Cost of Sales</t>
  </si>
  <si>
    <t>Gross Profit</t>
  </si>
  <si>
    <t>Expenses</t>
  </si>
  <si>
    <t>Default Purchase Expense</t>
  </si>
  <si>
    <t>Advertising Expense</t>
  </si>
  <si>
    <t>Marketing expense-Local</t>
  </si>
  <si>
    <t>Marketing exp-International</t>
  </si>
  <si>
    <t>Amortization Expense</t>
  </si>
  <si>
    <t>Motor Repairs/Maintainance</t>
  </si>
  <si>
    <t>Power Bike Repairs/Maintain</t>
  </si>
  <si>
    <t>Motor oil/ fuel</t>
  </si>
  <si>
    <t>Bad Debt Expense</t>
  </si>
  <si>
    <t>Bank Charges (ZIB)</t>
  </si>
  <si>
    <t>Bank Charges (Diamond)</t>
  </si>
  <si>
    <t>Bank Charges (Fidelity)</t>
  </si>
  <si>
    <t>Business Premises</t>
  </si>
  <si>
    <t>Cash Over and Short</t>
  </si>
  <si>
    <t>Cash Lost</t>
  </si>
  <si>
    <t>Charitable Contributions Exp</t>
  </si>
  <si>
    <t>Commissions and Fees Exp</t>
  </si>
  <si>
    <t>Delivery Expense</t>
  </si>
  <si>
    <t>Depreciation Expense</t>
  </si>
  <si>
    <t>Dues and Subscriptions Exp</t>
  </si>
  <si>
    <t>Legal Fees Exp</t>
  </si>
  <si>
    <t>DSTV exp</t>
  </si>
  <si>
    <t>Discount Allowed</t>
  </si>
  <si>
    <t>Employee Benefit  Exp</t>
  </si>
  <si>
    <t>Employee Welfare &amp; Gift</t>
  </si>
  <si>
    <t>Traning and Development</t>
  </si>
  <si>
    <t>Staff Medical</t>
  </si>
  <si>
    <t>Freight Expense</t>
  </si>
  <si>
    <t>Public relations Expense</t>
  </si>
  <si>
    <t>Income Tax Expense</t>
  </si>
  <si>
    <t>Audit fee</t>
  </si>
  <si>
    <t>Insurance Expense</t>
  </si>
  <si>
    <t>Interest Expense</t>
  </si>
  <si>
    <t>Consultancy  Expense</t>
  </si>
  <si>
    <t>Accounting/auditing expense</t>
  </si>
  <si>
    <t>Registration &amp;Licenses Expense</t>
  </si>
  <si>
    <t>Lawma</t>
  </si>
  <si>
    <t>Land Use Charge</t>
  </si>
  <si>
    <t>Computer repairs/maintainance</t>
  </si>
  <si>
    <t>Internet Expenses</t>
  </si>
  <si>
    <t>General Office Expenses</t>
  </si>
  <si>
    <t>Contract Expenses</t>
  </si>
  <si>
    <t>Meals and Entertainment Exp</t>
  </si>
  <si>
    <t>Office Expense</t>
  </si>
  <si>
    <t>Parking Ticket</t>
  </si>
  <si>
    <t>Gift &amp; Donation</t>
  </si>
  <si>
    <t>Payroll Tax Expense</t>
  </si>
  <si>
    <t>Penalties and Fines Exp</t>
  </si>
  <si>
    <t>Other Taxes</t>
  </si>
  <si>
    <t>Postage Expense</t>
  </si>
  <si>
    <t>Rent or Lease Expense</t>
  </si>
  <si>
    <t>Electricity &amp; Diesel</t>
  </si>
  <si>
    <t>Repairs &amp; Maintenance</t>
  </si>
  <si>
    <t>Printing  Expense</t>
  </si>
  <si>
    <t>Stationery Expense</t>
  </si>
  <si>
    <t>Salaries Expense</t>
  </si>
  <si>
    <t>Staff Pension</t>
  </si>
  <si>
    <t>End of year bonus &amp; Leave Allo</t>
  </si>
  <si>
    <t>Industrial Training Fund</t>
  </si>
  <si>
    <t>Nig Social Insurance Trust Fun</t>
  </si>
  <si>
    <t>Wages Expense</t>
  </si>
  <si>
    <t>Staff Welfare</t>
  </si>
  <si>
    <t>Office telephone  Expense</t>
  </si>
  <si>
    <t>Business telephone  Expense</t>
  </si>
  <si>
    <t>Wth tax</t>
  </si>
  <si>
    <t>Storage Expenses</t>
  </si>
  <si>
    <t>Packaging And Branding</t>
  </si>
  <si>
    <t>Transportation</t>
  </si>
  <si>
    <t>Marketing expense- Mr Lateef</t>
  </si>
  <si>
    <t>Marketing expenses-Ajayi Temil</t>
  </si>
  <si>
    <t>Marketiing Exp- Mr Oladimeji</t>
  </si>
  <si>
    <t>Marketing Exp-Mr Femi Ogunmoku</t>
  </si>
  <si>
    <t>Marketing Expenses- Mrs Jegede</t>
  </si>
  <si>
    <t>Marketing expense- Mr Bankole</t>
  </si>
  <si>
    <t>Marketing expense - Mr Ayodele</t>
  </si>
  <si>
    <t>Marketing expense- Mr Vincent</t>
  </si>
  <si>
    <t>Marketing Expenses - Mr Isaac</t>
  </si>
  <si>
    <t>Marketing Expenses- Mr Sulymon</t>
  </si>
  <si>
    <t>Travelling Expenses</t>
  </si>
  <si>
    <t>Marketing Exp - Mr demilade</t>
  </si>
  <si>
    <t>Bad Debt</t>
  </si>
  <si>
    <t>Marketing expenses -Mr Kabir</t>
  </si>
  <si>
    <t>Purchase Disc-Expense Items</t>
  </si>
  <si>
    <t>Gain/Loss on Sale of Assets</t>
  </si>
  <si>
    <t>Deprec - Furnitur &amp; Fix</t>
  </si>
  <si>
    <t>Deprec - Office Equipment</t>
  </si>
  <si>
    <t>Deprec. Motor Vehicle</t>
  </si>
  <si>
    <t>Deprec. Plant &amp; Machinery</t>
  </si>
  <si>
    <t>Total Expenses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</si>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</sst>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* #,##0.00;\(&quot;$&quot;* #,##0.00\)"/>
    <numFmt numFmtId="165" formatCode="#,##0.00;\(#,##0.00\)"/>
  </numFmts>
  <fonts count="2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right" wrapText="1"/>
    </xf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165" fontId="0" fillId="0" borderId="1" xfId="0" applyNumberFormat="1" applyBorder="1" applyAlignment="1">
      <alignment horizontal="right"/>
    </xf>
    <xf numFmtId="49" fontId="1" fillId="0" borderId="0" xfId="0" applyNumberFormat="1" applyFont="1" applyAlignment="1">
      <alignment horizontal="center"/>
    </xf>
    <xf numFmtId="49" fontId="0" fillId="0" borderId="2" xfId="0" applyNumberFormat="1" applyBorder="1" applyAlignment="1">
      <alignment horizontal="left"/>
    </xf>
    <xf numFmtId="165" fontId="0" fillId="0" borderId="3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800BF-5E44-4621-ACB3-E34FF25E264F}">
  <dimension ref="A1:H292"/>
  <sheetViews>
    <sheetView tabSelected="1" workbookViewId="0">
      <pane ySplit="1" topLeftCell="A2" activePane="bottomLeft" state="frozenSplit"/>
      <selection pane="bottomLeft"/>
    </sheetView>
  </sheetViews>
  <sheetFormatPr defaultRowHeight="13" x14ac:dyDescent="0.3"/>
  <cols>
    <col min="1" max="1" width="28.6328125" style="1" customWidth="1"/>
    <col min="2" max="4" width="14.6328125" style="1" customWidth="1"/>
    <col min="5" max="5" width="10.6328125" style="1" customWidth="1"/>
    <col min="6" max="7" width="14.6328125" style="1" customWidth="1"/>
    <col min="8" max="8" width="10.6328125" style="1" customWidth="1"/>
    <col min="9" max="16384" width="8.7265625" style="1"/>
  </cols>
  <sheetData>
    <row r="1" spans="1:8" ht="26" x14ac:dyDescent="0.3">
      <c r="A1" s="2" t="s">
        <v>0</v>
      </c>
      <c r="B1" s="3" t="s">
        <v>1</v>
      </c>
      <c r="C1" s="3" t="s">
        <v>1</v>
      </c>
      <c r="D1" s="3" t="s">
        <v>2</v>
      </c>
      <c r="E1" s="3" t="s">
        <v>3</v>
      </c>
      <c r="F1" s="3" t="s">
        <v>1</v>
      </c>
      <c r="G1" s="3" t="s">
        <v>4</v>
      </c>
      <c r="H1" s="3" t="s">
        <v>5</v>
      </c>
    </row>
    <row r="2" spans="1:8" x14ac:dyDescent="0.3">
      <c r="A2" s="4" t="s">
        <v>6</v>
      </c>
    </row>
    <row r="3" spans="1:8" x14ac:dyDescent="0.3">
      <c r="A3" s="4" t="s">
        <v>7</v>
      </c>
      <c r="B3" s="5">
        <v>0</v>
      </c>
      <c r="C3" s="5">
        <v>0</v>
      </c>
      <c r="D3" s="6">
        <f>B3-C3</f>
        <v>0</v>
      </c>
      <c r="E3" s="6">
        <f>IF(C3&lt;&gt;0, (D3/C3)*100, 0)</f>
        <v>0</v>
      </c>
      <c r="F3" s="5">
        <v>0</v>
      </c>
      <c r="G3" s="6">
        <f>B3-F3</f>
        <v>0</v>
      </c>
      <c r="H3" s="6">
        <f>IF(F3&lt;&gt;0, (G3/F3)*100, 0)</f>
        <v>0</v>
      </c>
    </row>
    <row r="4" spans="1:8" x14ac:dyDescent="0.3">
      <c r="A4" s="4" t="s">
        <v>8</v>
      </c>
      <c r="B4" s="6">
        <v>282225828.13999999</v>
      </c>
      <c r="C4" s="6">
        <v>0</v>
      </c>
      <c r="D4" s="6">
        <f>B4-C4</f>
        <v>282225828.13999999</v>
      </c>
      <c r="E4" s="6">
        <f>IF(C4&lt;&gt;0, (D4/C4)*100, 0)</f>
        <v>0</v>
      </c>
      <c r="F4" s="6">
        <v>274086625.48000002</v>
      </c>
      <c r="G4" s="6">
        <f>B4-F4</f>
        <v>8139202.6599999666</v>
      </c>
      <c r="H4" s="6">
        <f>IF(F4&lt;&gt;0, (G4/F4)*100, 0)</f>
        <v>2.9695730850587894</v>
      </c>
    </row>
    <row r="5" spans="1:8" x14ac:dyDescent="0.3">
      <c r="A5" s="4" t="s">
        <v>9</v>
      </c>
      <c r="B5" s="6">
        <v>505644628.91000003</v>
      </c>
      <c r="C5" s="6">
        <v>0</v>
      </c>
      <c r="D5" s="6">
        <f>B5-C5</f>
        <v>505644628.91000003</v>
      </c>
      <c r="E5" s="6">
        <f>IF(C5&lt;&gt;0, (D5/C5)*100, 0)</f>
        <v>0</v>
      </c>
      <c r="F5" s="6">
        <v>406654850.26999998</v>
      </c>
      <c r="G5" s="6">
        <f>B5-F5</f>
        <v>98989778.640000045</v>
      </c>
      <c r="H5" s="6">
        <f>IF(F5&lt;&gt;0, (G5/F5)*100, 0)</f>
        <v>24.342456157666735</v>
      </c>
    </row>
    <row r="6" spans="1:8" x14ac:dyDescent="0.3">
      <c r="A6" s="4" t="s">
        <v>10</v>
      </c>
      <c r="B6" s="6">
        <v>488674722</v>
      </c>
      <c r="C6" s="6">
        <v>0</v>
      </c>
      <c r="D6" s="6">
        <f>B6-C6</f>
        <v>488674722</v>
      </c>
      <c r="E6" s="6">
        <f>IF(C6&lt;&gt;0, (D6/C6)*100, 0)</f>
        <v>0</v>
      </c>
      <c r="F6" s="6">
        <v>498021964</v>
      </c>
      <c r="G6" s="6">
        <f>B6-F6</f>
        <v>-9347242</v>
      </c>
      <c r="H6" s="6">
        <f>IF(F6&lt;&gt;0, (G6/F6)*100, 0)</f>
        <v>-1.8768734464891996</v>
      </c>
    </row>
    <row r="7" spans="1:8" x14ac:dyDescent="0.3">
      <c r="A7" s="4" t="s">
        <v>11</v>
      </c>
      <c r="B7" s="6">
        <v>2000000</v>
      </c>
      <c r="C7" s="6">
        <v>0</v>
      </c>
      <c r="D7" s="6">
        <f>B7-C7</f>
        <v>2000000</v>
      </c>
      <c r="E7" s="6">
        <f>IF(C7&lt;&gt;0, (D7/C7)*100, 0)</f>
        <v>0</v>
      </c>
      <c r="F7" s="6">
        <v>0</v>
      </c>
      <c r="G7" s="6">
        <f>B7-F7</f>
        <v>2000000</v>
      </c>
      <c r="H7" s="6">
        <f>IF(F7&lt;&gt;0, (G7/F7)*100, 0)</f>
        <v>0</v>
      </c>
    </row>
    <row r="8" spans="1:8" x14ac:dyDescent="0.3">
      <c r="A8" s="4" t="s">
        <v>12</v>
      </c>
      <c r="B8" s="6">
        <v>0</v>
      </c>
      <c r="C8" s="6">
        <v>0</v>
      </c>
      <c r="D8" s="6">
        <f>B8-C8</f>
        <v>0</v>
      </c>
      <c r="E8" s="6">
        <f>IF(C8&lt;&gt;0, (D8/C8)*100, 0)</f>
        <v>0</v>
      </c>
      <c r="F8" s="6">
        <v>0</v>
      </c>
      <c r="G8" s="6">
        <f>B8-F8</f>
        <v>0</v>
      </c>
      <c r="H8" s="6">
        <f>IF(F8&lt;&gt;0, (G8/F8)*100, 0)</f>
        <v>0</v>
      </c>
    </row>
    <row r="9" spans="1:8" x14ac:dyDescent="0.3">
      <c r="A9" s="4" t="s">
        <v>13</v>
      </c>
      <c r="B9" s="6">
        <v>0</v>
      </c>
      <c r="C9" s="6">
        <v>0</v>
      </c>
      <c r="D9" s="6">
        <f>B9-C9</f>
        <v>0</v>
      </c>
      <c r="E9" s="6">
        <f>IF(C9&lt;&gt;0, (D9/C9)*100, 0)</f>
        <v>0</v>
      </c>
      <c r="F9" s="6">
        <v>354600</v>
      </c>
      <c r="G9" s="6">
        <f>B9-F9</f>
        <v>-354600</v>
      </c>
      <c r="H9" s="6">
        <f>IF(F9&lt;&gt;0, (G9/F9)*100, 0)</f>
        <v>-100</v>
      </c>
    </row>
    <row r="10" spans="1:8" x14ac:dyDescent="0.3">
      <c r="A10" s="4" t="s">
        <v>14</v>
      </c>
      <c r="B10" s="6">
        <v>227878815.75999999</v>
      </c>
      <c r="C10" s="6">
        <v>0</v>
      </c>
      <c r="D10" s="6">
        <f>B10-C10</f>
        <v>227878815.75999999</v>
      </c>
      <c r="E10" s="6">
        <f>IF(C10&lt;&gt;0, (D10/C10)*100, 0)</f>
        <v>0</v>
      </c>
      <c r="F10" s="6">
        <v>195379784</v>
      </c>
      <c r="G10" s="6">
        <f>B10-F10</f>
        <v>32499031.75999999</v>
      </c>
      <c r="H10" s="6">
        <f>IF(F10&lt;&gt;0, (G10/F10)*100, 0)</f>
        <v>16.633774024440516</v>
      </c>
    </row>
    <row r="11" spans="1:8" x14ac:dyDescent="0.3">
      <c r="A11" s="4" t="s">
        <v>15</v>
      </c>
      <c r="B11" s="6">
        <v>619784401.54999995</v>
      </c>
      <c r="C11" s="6">
        <v>0</v>
      </c>
      <c r="D11" s="6">
        <f>B11-C11</f>
        <v>619784401.54999995</v>
      </c>
      <c r="E11" s="6">
        <f>IF(C11&lt;&gt;0, (D11/C11)*100, 0)</f>
        <v>0</v>
      </c>
      <c r="F11" s="6">
        <v>426934166.85000002</v>
      </c>
      <c r="G11" s="6">
        <f>B11-F11</f>
        <v>192850234.69999993</v>
      </c>
      <c r="H11" s="6">
        <f>IF(F11&lt;&gt;0, (G11/F11)*100, 0)</f>
        <v>45.1709536678418</v>
      </c>
    </row>
    <row r="12" spans="1:8" x14ac:dyDescent="0.3">
      <c r="A12" s="4" t="s">
        <v>16</v>
      </c>
      <c r="B12" s="6">
        <v>179277096</v>
      </c>
      <c r="C12" s="6">
        <v>0</v>
      </c>
      <c r="D12" s="6">
        <f>B12-C12</f>
        <v>179277096</v>
      </c>
      <c r="E12" s="6">
        <f>IF(C12&lt;&gt;0, (D12/C12)*100, 0)</f>
        <v>0</v>
      </c>
      <c r="F12" s="6">
        <v>216837160.53999999</v>
      </c>
      <c r="G12" s="6">
        <f>B12-F12</f>
        <v>-37560064.539999992</v>
      </c>
      <c r="H12" s="6">
        <f>IF(F12&lt;&gt;0, (G12/F12)*100, 0)</f>
        <v>-17.321783981335283</v>
      </c>
    </row>
    <row r="13" spans="1:8" x14ac:dyDescent="0.3">
      <c r="A13" s="4" t="s">
        <v>17</v>
      </c>
      <c r="B13" s="6">
        <v>0</v>
      </c>
      <c r="C13" s="6">
        <v>0</v>
      </c>
      <c r="D13" s="6">
        <f>B13-C13</f>
        <v>0</v>
      </c>
      <c r="E13" s="6">
        <f>IF(C13&lt;&gt;0, (D13/C13)*100, 0)</f>
        <v>0</v>
      </c>
      <c r="F13" s="6">
        <v>0</v>
      </c>
      <c r="G13" s="6">
        <f>B13-F13</f>
        <v>0</v>
      </c>
      <c r="H13" s="6">
        <f>IF(F13&lt;&gt;0, (G13/F13)*100, 0)</f>
        <v>0</v>
      </c>
    </row>
    <row r="14" spans="1:8" x14ac:dyDescent="0.3">
      <c r="A14" s="4" t="s">
        <v>18</v>
      </c>
      <c r="B14" s="6">
        <v>0</v>
      </c>
      <c r="C14" s="6">
        <v>0</v>
      </c>
      <c r="D14" s="6">
        <f>B14-C14</f>
        <v>0</v>
      </c>
      <c r="E14" s="6">
        <f>IF(C14&lt;&gt;0, (D14/C14)*100, 0)</f>
        <v>0</v>
      </c>
      <c r="F14" s="6">
        <v>0</v>
      </c>
      <c r="G14" s="6">
        <f>B14-F14</f>
        <v>0</v>
      </c>
      <c r="H14" s="6">
        <f>IF(F14&lt;&gt;0, (G14/F14)*100, 0)</f>
        <v>0</v>
      </c>
    </row>
    <row r="15" spans="1:8" x14ac:dyDescent="0.3">
      <c r="A15" s="4" t="s">
        <v>19</v>
      </c>
      <c r="B15" s="6">
        <v>938965076.29999995</v>
      </c>
      <c r="C15" s="6">
        <v>0</v>
      </c>
      <c r="D15" s="6">
        <f>B15-C15</f>
        <v>938965076.29999995</v>
      </c>
      <c r="E15" s="6">
        <f>IF(C15&lt;&gt;0, (D15/C15)*100, 0)</f>
        <v>0</v>
      </c>
      <c r="F15" s="6">
        <v>810678054.39999998</v>
      </c>
      <c r="G15" s="6">
        <f>B15-F15</f>
        <v>128287021.89999998</v>
      </c>
      <c r="H15" s="6">
        <f>IF(F15&lt;&gt;0, (G15/F15)*100, 0)</f>
        <v>15.824657051429364</v>
      </c>
    </row>
    <row r="16" spans="1:8" x14ac:dyDescent="0.3">
      <c r="A16" s="4" t="s">
        <v>20</v>
      </c>
      <c r="B16" s="6">
        <v>0</v>
      </c>
      <c r="C16" s="6">
        <v>0</v>
      </c>
      <c r="D16" s="6">
        <f>B16-C16</f>
        <v>0</v>
      </c>
      <c r="E16" s="6">
        <f>IF(C16&lt;&gt;0, (D16/C16)*100, 0)</f>
        <v>0</v>
      </c>
      <c r="F16" s="6">
        <v>0</v>
      </c>
      <c r="G16" s="6">
        <f>B16-F16</f>
        <v>0</v>
      </c>
      <c r="H16" s="6">
        <f>IF(F16&lt;&gt;0, (G16/F16)*100, 0)</f>
        <v>0</v>
      </c>
    </row>
    <row r="17" spans="1:8" x14ac:dyDescent="0.3">
      <c r="A17" s="4" t="s">
        <v>21</v>
      </c>
      <c r="B17" s="6">
        <v>5005292</v>
      </c>
      <c r="C17" s="6">
        <v>0</v>
      </c>
      <c r="D17" s="6">
        <f>B17-C17</f>
        <v>5005292</v>
      </c>
      <c r="E17" s="6">
        <f>IF(C17&lt;&gt;0, (D17/C17)*100, 0)</f>
        <v>0</v>
      </c>
      <c r="F17" s="6">
        <v>7053842</v>
      </c>
      <c r="G17" s="6">
        <f>B17-F17</f>
        <v>-2048550</v>
      </c>
      <c r="H17" s="6">
        <f>IF(F17&lt;&gt;0, (G17/F17)*100, 0)</f>
        <v>-29.041620155370644</v>
      </c>
    </row>
    <row r="18" spans="1:8" x14ac:dyDescent="0.3">
      <c r="A18" s="4" t="s">
        <v>22</v>
      </c>
      <c r="B18" s="6">
        <v>582639849.55999994</v>
      </c>
      <c r="C18" s="6">
        <v>0</v>
      </c>
      <c r="D18" s="6">
        <f>B18-C18</f>
        <v>582639849.55999994</v>
      </c>
      <c r="E18" s="6">
        <f>IF(C18&lt;&gt;0, (D18/C18)*100, 0)</f>
        <v>0</v>
      </c>
      <c r="F18" s="6">
        <v>647633229.55999994</v>
      </c>
      <c r="G18" s="6">
        <f>B18-F18</f>
        <v>-64993380</v>
      </c>
      <c r="H18" s="6">
        <f>IF(F18&lt;&gt;0, (G18/F18)*100, 0)</f>
        <v>-10.035522736249391</v>
      </c>
    </row>
    <row r="19" spans="1:8" x14ac:dyDescent="0.3">
      <c r="A19" s="4" t="s">
        <v>23</v>
      </c>
      <c r="B19" s="6">
        <v>1840107.5</v>
      </c>
      <c r="C19" s="6">
        <v>0</v>
      </c>
      <c r="D19" s="6">
        <f>B19-C19</f>
        <v>1840107.5</v>
      </c>
      <c r="E19" s="6">
        <f>IF(C19&lt;&gt;0, (D19/C19)*100, 0)</f>
        <v>0</v>
      </c>
      <c r="F19" s="6">
        <v>4567037.5</v>
      </c>
      <c r="G19" s="6">
        <f>B19-F19</f>
        <v>-2726930</v>
      </c>
      <c r="H19" s="6">
        <f>IF(F19&lt;&gt;0, (G19/F19)*100, 0)</f>
        <v>-59.708946992443131</v>
      </c>
    </row>
    <row r="20" spans="1:8" x14ac:dyDescent="0.3">
      <c r="A20" s="4" t="s">
        <v>24</v>
      </c>
      <c r="B20" s="6">
        <v>192486183.40000001</v>
      </c>
      <c r="C20" s="6">
        <v>0</v>
      </c>
      <c r="D20" s="6">
        <f>B20-C20</f>
        <v>192486183.40000001</v>
      </c>
      <c r="E20" s="6">
        <f>IF(C20&lt;&gt;0, (D20/C20)*100, 0)</f>
        <v>0</v>
      </c>
      <c r="F20" s="6">
        <v>151717941.40000001</v>
      </c>
      <c r="G20" s="6">
        <f>B20-F20</f>
        <v>40768242</v>
      </c>
      <c r="H20" s="6">
        <f>IF(F20&lt;&gt;0, (G20/F20)*100, 0)</f>
        <v>26.871075117289983</v>
      </c>
    </row>
    <row r="21" spans="1:8" x14ac:dyDescent="0.3">
      <c r="A21" s="4" t="s">
        <v>25</v>
      </c>
      <c r="B21" s="6">
        <v>17318080.5</v>
      </c>
      <c r="C21" s="6">
        <v>0</v>
      </c>
      <c r="D21" s="6">
        <f>B21-C21</f>
        <v>17318080.5</v>
      </c>
      <c r="E21" s="6">
        <f>IF(C21&lt;&gt;0, (D21/C21)*100, 0)</f>
        <v>0</v>
      </c>
      <c r="F21" s="6">
        <v>27821224.5</v>
      </c>
      <c r="G21" s="6">
        <f>B21-F21</f>
        <v>-10503144</v>
      </c>
      <c r="H21" s="6">
        <f>IF(F21&lt;&gt;0, (G21/F21)*100, 0)</f>
        <v>-37.752270752856333</v>
      </c>
    </row>
    <row r="22" spans="1:8" x14ac:dyDescent="0.3">
      <c r="A22" s="4" t="s">
        <v>26</v>
      </c>
      <c r="B22" s="6">
        <v>16646004.359999999</v>
      </c>
      <c r="C22" s="6">
        <v>0</v>
      </c>
      <c r="D22" s="6">
        <f>B22-C22</f>
        <v>16646004.359999999</v>
      </c>
      <c r="E22" s="6">
        <f>IF(C22&lt;&gt;0, (D22/C22)*100, 0)</f>
        <v>0</v>
      </c>
      <c r="F22" s="6">
        <v>17300799.359999999</v>
      </c>
      <c r="G22" s="6">
        <f>B22-F22</f>
        <v>-654795</v>
      </c>
      <c r="H22" s="6">
        <f>IF(F22&lt;&gt;0, (G22/F22)*100, 0)</f>
        <v>-3.7847673184044139</v>
      </c>
    </row>
    <row r="23" spans="1:8" x14ac:dyDescent="0.3">
      <c r="A23" s="4" t="s">
        <v>27</v>
      </c>
      <c r="B23" s="6">
        <v>0</v>
      </c>
      <c r="C23" s="6">
        <v>0</v>
      </c>
      <c r="D23" s="6">
        <f>B23-C23</f>
        <v>0</v>
      </c>
      <c r="E23" s="6">
        <f>IF(C23&lt;&gt;0, (D23/C23)*100, 0)</f>
        <v>0</v>
      </c>
      <c r="F23" s="6">
        <v>0</v>
      </c>
      <c r="G23" s="6">
        <f>B23-F23</f>
        <v>0</v>
      </c>
      <c r="H23" s="6">
        <f>IF(F23&lt;&gt;0, (G23/F23)*100, 0)</f>
        <v>0</v>
      </c>
    </row>
    <row r="24" spans="1:8" x14ac:dyDescent="0.3">
      <c r="A24" s="4" t="s">
        <v>28</v>
      </c>
      <c r="B24" s="6">
        <v>0</v>
      </c>
      <c r="C24" s="6">
        <v>0</v>
      </c>
      <c r="D24" s="6">
        <f>B24-C24</f>
        <v>0</v>
      </c>
      <c r="E24" s="6">
        <f>IF(C24&lt;&gt;0, (D24/C24)*100, 0)</f>
        <v>0</v>
      </c>
      <c r="F24" s="6">
        <v>0</v>
      </c>
      <c r="G24" s="6">
        <f>B24-F24</f>
        <v>0</v>
      </c>
      <c r="H24" s="6">
        <f>IF(F24&lt;&gt;0, (G24/F24)*100, 0)</f>
        <v>0</v>
      </c>
    </row>
    <row r="25" spans="1:8" x14ac:dyDescent="0.3">
      <c r="A25" s="4" t="s">
        <v>29</v>
      </c>
      <c r="B25" s="6">
        <v>163869</v>
      </c>
      <c r="C25" s="6">
        <v>0</v>
      </c>
      <c r="D25" s="6">
        <f>B25-C25</f>
        <v>163869</v>
      </c>
      <c r="E25" s="6">
        <f>IF(C25&lt;&gt;0, (D25/C25)*100, 0)</f>
        <v>0</v>
      </c>
      <c r="F25" s="6">
        <v>654062</v>
      </c>
      <c r="G25" s="6">
        <f>B25-F25</f>
        <v>-490193</v>
      </c>
      <c r="H25" s="6">
        <f>IF(F25&lt;&gt;0, (G25/F25)*100, 0)</f>
        <v>-74.945953135941252</v>
      </c>
    </row>
    <row r="26" spans="1:8" x14ac:dyDescent="0.3">
      <c r="A26" s="4" t="s">
        <v>30</v>
      </c>
      <c r="B26" s="6">
        <v>33323538.5</v>
      </c>
      <c r="C26" s="6">
        <v>0</v>
      </c>
      <c r="D26" s="6">
        <f>B26-C26</f>
        <v>33323538.5</v>
      </c>
      <c r="E26" s="6">
        <f>IF(C26&lt;&gt;0, (D26/C26)*100, 0)</f>
        <v>0</v>
      </c>
      <c r="F26" s="6">
        <v>24192806.5</v>
      </c>
      <c r="G26" s="6">
        <f>B26-F26</f>
        <v>9130732</v>
      </c>
      <c r="H26" s="6">
        <f>IF(F26&lt;&gt;0, (G26/F26)*100, 0)</f>
        <v>37.741516264349073</v>
      </c>
    </row>
    <row r="27" spans="1:8" x14ac:dyDescent="0.3">
      <c r="A27" s="4" t="s">
        <v>31</v>
      </c>
      <c r="B27" s="6">
        <v>0</v>
      </c>
      <c r="C27" s="6">
        <v>0</v>
      </c>
      <c r="D27" s="6">
        <f>B27-C27</f>
        <v>0</v>
      </c>
      <c r="E27" s="6">
        <f>IF(C27&lt;&gt;0, (D27/C27)*100, 0)</f>
        <v>0</v>
      </c>
      <c r="F27" s="6">
        <v>0</v>
      </c>
      <c r="G27" s="6">
        <f>B27-F27</f>
        <v>0</v>
      </c>
      <c r="H27" s="6">
        <f>IF(F27&lt;&gt;0, (G27/F27)*100, 0)</f>
        <v>0</v>
      </c>
    </row>
    <row r="28" spans="1:8" x14ac:dyDescent="0.3">
      <c r="A28" s="4" t="s">
        <v>32</v>
      </c>
      <c r="B28" s="6">
        <v>0</v>
      </c>
      <c r="C28" s="6">
        <v>0</v>
      </c>
      <c r="D28" s="6">
        <f>B28-C28</f>
        <v>0</v>
      </c>
      <c r="E28" s="6">
        <f>IF(C28&lt;&gt;0, (D28/C28)*100, 0)</f>
        <v>0</v>
      </c>
      <c r="F28" s="6">
        <v>0</v>
      </c>
      <c r="G28" s="6">
        <f>B28-F28</f>
        <v>0</v>
      </c>
      <c r="H28" s="6">
        <f>IF(F28&lt;&gt;0, (G28/F28)*100, 0)</f>
        <v>0</v>
      </c>
    </row>
    <row r="29" spans="1:8" x14ac:dyDescent="0.3">
      <c r="A29" s="4" t="s">
        <v>33</v>
      </c>
      <c r="B29" s="6">
        <v>0</v>
      </c>
      <c r="C29" s="6">
        <v>0</v>
      </c>
      <c r="D29" s="6">
        <f>B29-C29</f>
        <v>0</v>
      </c>
      <c r="E29" s="6">
        <f>IF(C29&lt;&gt;0, (D29/C29)*100, 0)</f>
        <v>0</v>
      </c>
      <c r="F29" s="6">
        <v>0</v>
      </c>
      <c r="G29" s="6">
        <f>B29-F29</f>
        <v>0</v>
      </c>
      <c r="H29" s="6">
        <f>IF(F29&lt;&gt;0, (G29/F29)*100, 0)</f>
        <v>0</v>
      </c>
    </row>
    <row r="30" spans="1:8" x14ac:dyDescent="0.3">
      <c r="A30" s="4" t="s">
        <v>34</v>
      </c>
      <c r="B30" s="6">
        <v>45015846.700000003</v>
      </c>
      <c r="C30" s="6">
        <v>0</v>
      </c>
      <c r="D30" s="6">
        <f>B30-C30</f>
        <v>45015846.700000003</v>
      </c>
      <c r="E30" s="6">
        <f>IF(C30&lt;&gt;0, (D30/C30)*100, 0)</f>
        <v>0</v>
      </c>
      <c r="F30" s="6">
        <v>37954958.700000003</v>
      </c>
      <c r="G30" s="6">
        <f>B30-F30</f>
        <v>7060888</v>
      </c>
      <c r="H30" s="6">
        <f>IF(F30&lt;&gt;0, (G30/F30)*100, 0)</f>
        <v>18.603334694183186</v>
      </c>
    </row>
    <row r="31" spans="1:8" x14ac:dyDescent="0.3">
      <c r="A31" s="4" t="s">
        <v>35</v>
      </c>
      <c r="B31" s="6">
        <v>4341755.9800000004</v>
      </c>
      <c r="C31" s="6">
        <v>0</v>
      </c>
      <c r="D31" s="6">
        <f>B31-C31</f>
        <v>4341755.9800000004</v>
      </c>
      <c r="E31" s="6">
        <f>IF(C31&lt;&gt;0, (D31/C31)*100, 0)</f>
        <v>0</v>
      </c>
      <c r="F31" s="6">
        <v>2914269.4</v>
      </c>
      <c r="G31" s="6">
        <f>B31-F31</f>
        <v>1427486.5800000005</v>
      </c>
      <c r="H31" s="6">
        <f>IF(F31&lt;&gt;0, (G31/F31)*100, 0)</f>
        <v>48.982656853892799</v>
      </c>
    </row>
    <row r="32" spans="1:8" x14ac:dyDescent="0.3">
      <c r="A32" s="4" t="s">
        <v>36</v>
      </c>
      <c r="B32" s="6">
        <v>0</v>
      </c>
      <c r="C32" s="6">
        <v>0</v>
      </c>
      <c r="D32" s="6">
        <f>B32-C32</f>
        <v>0</v>
      </c>
      <c r="E32" s="6">
        <f>IF(C32&lt;&gt;0, (D32/C32)*100, 0)</f>
        <v>0</v>
      </c>
      <c r="F32" s="6">
        <v>0</v>
      </c>
      <c r="G32" s="6">
        <f>B32-F32</f>
        <v>0</v>
      </c>
      <c r="H32" s="6">
        <f>IF(F32&lt;&gt;0, (G32/F32)*100, 0)</f>
        <v>0</v>
      </c>
    </row>
    <row r="33" spans="1:8" x14ac:dyDescent="0.3">
      <c r="A33" s="4" t="s">
        <v>37</v>
      </c>
      <c r="B33" s="6">
        <v>118786877.12</v>
      </c>
      <c r="C33" s="6">
        <v>0</v>
      </c>
      <c r="D33" s="6">
        <f>B33-C33</f>
        <v>118786877.12</v>
      </c>
      <c r="E33" s="6">
        <f>IF(C33&lt;&gt;0, (D33/C33)*100, 0)</f>
        <v>0</v>
      </c>
      <c r="F33" s="6">
        <v>101775142</v>
      </c>
      <c r="G33" s="6">
        <f>B33-F33</f>
        <v>17011735.120000005</v>
      </c>
      <c r="H33" s="6">
        <f>IF(F33&lt;&gt;0, (G33/F33)*100, 0)</f>
        <v>16.715019783514528</v>
      </c>
    </row>
    <row r="34" spans="1:8" x14ac:dyDescent="0.3">
      <c r="A34" s="4" t="s">
        <v>38</v>
      </c>
      <c r="B34" s="6">
        <v>0</v>
      </c>
      <c r="C34" s="6">
        <v>0</v>
      </c>
      <c r="D34" s="6">
        <f>B34-C34</f>
        <v>0</v>
      </c>
      <c r="E34" s="6">
        <f>IF(C34&lt;&gt;0, (D34/C34)*100, 0)</f>
        <v>0</v>
      </c>
      <c r="F34" s="6">
        <v>0</v>
      </c>
      <c r="G34" s="6">
        <f>B34-F34</f>
        <v>0</v>
      </c>
      <c r="H34" s="6">
        <f>IF(F34&lt;&gt;0, (G34/F34)*100, 0)</f>
        <v>0</v>
      </c>
    </row>
    <row r="35" spans="1:8" x14ac:dyDescent="0.3">
      <c r="A35" s="4" t="s">
        <v>39</v>
      </c>
      <c r="B35" s="6">
        <v>0</v>
      </c>
      <c r="C35" s="6">
        <v>0</v>
      </c>
      <c r="D35" s="6">
        <f>B35-C35</f>
        <v>0</v>
      </c>
      <c r="E35" s="6">
        <f>IF(C35&lt;&gt;0, (D35/C35)*100, 0)</f>
        <v>0</v>
      </c>
      <c r="F35" s="6">
        <v>0</v>
      </c>
      <c r="G35" s="6">
        <f>B35-F35</f>
        <v>0</v>
      </c>
      <c r="H35" s="6">
        <f>IF(F35&lt;&gt;0, (G35/F35)*100, 0)</f>
        <v>0</v>
      </c>
    </row>
    <row r="36" spans="1:8" x14ac:dyDescent="0.3">
      <c r="A36" s="4" t="s">
        <v>40</v>
      </c>
      <c r="B36" s="6">
        <v>12142250</v>
      </c>
      <c r="C36" s="6">
        <v>0</v>
      </c>
      <c r="D36" s="6">
        <f>B36-C36</f>
        <v>12142250</v>
      </c>
      <c r="E36" s="6">
        <f>IF(C36&lt;&gt;0, (D36/C36)*100, 0)</f>
        <v>0</v>
      </c>
      <c r="F36" s="6">
        <v>4580125</v>
      </c>
      <c r="G36" s="6">
        <f>B36-F36</f>
        <v>7562125</v>
      </c>
      <c r="H36" s="6">
        <f>IF(F36&lt;&gt;0, (G36/F36)*100, 0)</f>
        <v>165.10739335716821</v>
      </c>
    </row>
    <row r="37" spans="1:8" x14ac:dyDescent="0.3">
      <c r="A37" s="4" t="s">
        <v>41</v>
      </c>
      <c r="B37" s="6">
        <v>2674927</v>
      </c>
      <c r="C37" s="6">
        <v>0</v>
      </c>
      <c r="D37" s="6">
        <f>B37-C37</f>
        <v>2674927</v>
      </c>
      <c r="E37" s="6">
        <f>IF(C37&lt;&gt;0, (D37/C37)*100, 0)</f>
        <v>0</v>
      </c>
      <c r="F37" s="6">
        <v>3311137</v>
      </c>
      <c r="G37" s="6">
        <f>B37-F37</f>
        <v>-636210</v>
      </c>
      <c r="H37" s="6">
        <f>IF(F37&lt;&gt;0, (G37/F37)*100, 0)</f>
        <v>-19.214245740964508</v>
      </c>
    </row>
    <row r="38" spans="1:8" x14ac:dyDescent="0.3">
      <c r="A38" s="4" t="s">
        <v>42</v>
      </c>
      <c r="B38" s="6">
        <v>10590339.119999999</v>
      </c>
      <c r="C38" s="6">
        <v>0</v>
      </c>
      <c r="D38" s="6">
        <f>B38-C38</f>
        <v>10590339.119999999</v>
      </c>
      <c r="E38" s="6">
        <f>IF(C38&lt;&gt;0, (D38/C38)*100, 0)</f>
        <v>0</v>
      </c>
      <c r="F38" s="6">
        <v>13441586.890000001</v>
      </c>
      <c r="G38" s="6">
        <f>B38-F38</f>
        <v>-2851247.7700000014</v>
      </c>
      <c r="H38" s="6">
        <f>IF(F38&lt;&gt;0, (G38/F38)*100, 0)</f>
        <v>-21.21213658278112</v>
      </c>
    </row>
    <row r="39" spans="1:8" x14ac:dyDescent="0.3">
      <c r="A39" s="4" t="s">
        <v>43</v>
      </c>
      <c r="B39" s="6">
        <v>1881500</v>
      </c>
      <c r="C39" s="6">
        <v>0</v>
      </c>
      <c r="D39" s="6">
        <f>B39-C39</f>
        <v>1881500</v>
      </c>
      <c r="E39" s="6">
        <f>IF(C39&lt;&gt;0, (D39/C39)*100, 0)</f>
        <v>0</v>
      </c>
      <c r="F39" s="6">
        <v>2401000</v>
      </c>
      <c r="G39" s="6">
        <f>B39-F39</f>
        <v>-519500</v>
      </c>
      <c r="H39" s="6">
        <f>IF(F39&lt;&gt;0, (G39/F39)*100, 0)</f>
        <v>-21.636817992503126</v>
      </c>
    </row>
    <row r="40" spans="1:8" x14ac:dyDescent="0.3">
      <c r="A40" s="4" t="s">
        <v>44</v>
      </c>
      <c r="B40" s="6">
        <v>228207444.5</v>
      </c>
      <c r="C40" s="6">
        <v>0</v>
      </c>
      <c r="D40" s="6">
        <f>B40-C40</f>
        <v>228207444.5</v>
      </c>
      <c r="E40" s="6">
        <f>IF(C40&lt;&gt;0, (D40/C40)*100, 0)</f>
        <v>0</v>
      </c>
      <c r="F40" s="6">
        <v>222157988.5</v>
      </c>
      <c r="G40" s="6">
        <f>B40-F40</f>
        <v>6049456</v>
      </c>
      <c r="H40" s="6">
        <f>IF(F40&lt;&gt;0, (G40/F40)*100, 0)</f>
        <v>2.72304230014218</v>
      </c>
    </row>
    <row r="41" spans="1:8" x14ac:dyDescent="0.3">
      <c r="A41" s="4" t="s">
        <v>45</v>
      </c>
      <c r="B41" s="6">
        <v>8330545</v>
      </c>
      <c r="C41" s="6">
        <v>0</v>
      </c>
      <c r="D41" s="6">
        <f>B41-C41</f>
        <v>8330545</v>
      </c>
      <c r="E41" s="6">
        <f>IF(C41&lt;&gt;0, (D41/C41)*100, 0)</f>
        <v>0</v>
      </c>
      <c r="F41" s="6">
        <v>6824335</v>
      </c>
      <c r="G41" s="6">
        <f>B41-F41</f>
        <v>1506210</v>
      </c>
      <c r="H41" s="6">
        <f>IF(F41&lt;&gt;0, (G41/F41)*100, 0)</f>
        <v>22.071161512440408</v>
      </c>
    </row>
    <row r="42" spans="1:8" x14ac:dyDescent="0.3">
      <c r="A42" s="4" t="s">
        <v>46</v>
      </c>
      <c r="B42" s="6">
        <v>931292</v>
      </c>
      <c r="C42" s="6">
        <v>0</v>
      </c>
      <c r="D42" s="6">
        <f>B42-C42</f>
        <v>931292</v>
      </c>
      <c r="E42" s="6">
        <f>IF(C42&lt;&gt;0, (D42/C42)*100, 0)</f>
        <v>0</v>
      </c>
      <c r="F42" s="6">
        <v>1042992</v>
      </c>
      <c r="G42" s="6">
        <f>B42-F42</f>
        <v>-111700</v>
      </c>
      <c r="H42" s="6">
        <f>IF(F42&lt;&gt;0, (G42/F42)*100, 0)</f>
        <v>-10.709573994814917</v>
      </c>
    </row>
    <row r="43" spans="1:8" x14ac:dyDescent="0.3">
      <c r="A43" s="4" t="s">
        <v>47</v>
      </c>
      <c r="B43" s="6">
        <v>9327823</v>
      </c>
      <c r="C43" s="6">
        <v>0</v>
      </c>
      <c r="D43" s="6">
        <f>B43-C43</f>
        <v>9327823</v>
      </c>
      <c r="E43" s="6">
        <f>IF(C43&lt;&gt;0, (D43/C43)*100, 0)</f>
        <v>0</v>
      </c>
      <c r="F43" s="6">
        <v>4659541</v>
      </c>
      <c r="G43" s="6">
        <f>B43-F43</f>
        <v>4668282</v>
      </c>
      <c r="H43" s="6">
        <f>IF(F43&lt;&gt;0, (G43/F43)*100, 0)</f>
        <v>100.18759358486169</v>
      </c>
    </row>
    <row r="44" spans="1:8" x14ac:dyDescent="0.3">
      <c r="A44" s="4" t="s">
        <v>48</v>
      </c>
      <c r="B44" s="6">
        <v>0</v>
      </c>
      <c r="C44" s="6">
        <v>0</v>
      </c>
      <c r="D44" s="6">
        <f>B44-C44</f>
        <v>0</v>
      </c>
      <c r="E44" s="6">
        <f>IF(C44&lt;&gt;0, (D44/C44)*100, 0)</f>
        <v>0</v>
      </c>
      <c r="F44" s="6">
        <v>57000</v>
      </c>
      <c r="G44" s="6">
        <f>B44-F44</f>
        <v>-57000</v>
      </c>
      <c r="H44" s="6">
        <f>IF(F44&lt;&gt;0, (G44/F44)*100, 0)</f>
        <v>-100</v>
      </c>
    </row>
    <row r="45" spans="1:8" x14ac:dyDescent="0.3">
      <c r="A45" s="4" t="s">
        <v>49</v>
      </c>
      <c r="B45" s="6">
        <v>46503594</v>
      </c>
      <c r="C45" s="6">
        <v>0</v>
      </c>
      <c r="D45" s="6">
        <f>B45-C45</f>
        <v>46503594</v>
      </c>
      <c r="E45" s="6">
        <f>IF(C45&lt;&gt;0, (D45/C45)*100, 0)</f>
        <v>0</v>
      </c>
      <c r="F45" s="6">
        <v>52342998</v>
      </c>
      <c r="G45" s="6">
        <f>B45-F45</f>
        <v>-5839404</v>
      </c>
      <c r="H45" s="6">
        <f>IF(F45&lt;&gt;0, (G45/F45)*100, 0)</f>
        <v>-11.156036572456166</v>
      </c>
    </row>
    <row r="46" spans="1:8" x14ac:dyDescent="0.3">
      <c r="A46" s="4" t="s">
        <v>50</v>
      </c>
      <c r="B46" s="6">
        <v>126807528.91</v>
      </c>
      <c r="C46" s="6">
        <v>0</v>
      </c>
      <c r="D46" s="6">
        <f>B46-C46</f>
        <v>126807528.91</v>
      </c>
      <c r="E46" s="6">
        <f>IF(C46&lt;&gt;0, (D46/C46)*100, 0)</f>
        <v>0</v>
      </c>
      <c r="F46" s="6">
        <v>119206748.91</v>
      </c>
      <c r="G46" s="6">
        <f>B46-F46</f>
        <v>7600780</v>
      </c>
      <c r="H46" s="6">
        <f>IF(F46&lt;&gt;0, (G46/F46)*100, 0)</f>
        <v>6.3761322823580393</v>
      </c>
    </row>
    <row r="47" spans="1:8" x14ac:dyDescent="0.3">
      <c r="A47" s="4" t="s">
        <v>51</v>
      </c>
      <c r="B47" s="6">
        <v>324054309.01999998</v>
      </c>
      <c r="C47" s="6">
        <v>0</v>
      </c>
      <c r="D47" s="6">
        <f>B47-C47</f>
        <v>324054309.01999998</v>
      </c>
      <c r="E47" s="6">
        <f>IF(C47&lt;&gt;0, (D47/C47)*100, 0)</f>
        <v>0</v>
      </c>
      <c r="F47" s="6">
        <v>334592663.94</v>
      </c>
      <c r="G47" s="6">
        <f>B47-F47</f>
        <v>-10538354.920000017</v>
      </c>
      <c r="H47" s="6">
        <f>IF(F47&lt;&gt;0, (G47/F47)*100, 0)</f>
        <v>-3.1496072854394028</v>
      </c>
    </row>
    <row r="48" spans="1:8" x14ac:dyDescent="0.3">
      <c r="A48" s="4" t="s">
        <v>52</v>
      </c>
      <c r="B48" s="6">
        <v>457067859.62</v>
      </c>
      <c r="C48" s="6">
        <v>0</v>
      </c>
      <c r="D48" s="6">
        <f>B48-C48</f>
        <v>457067859.62</v>
      </c>
      <c r="E48" s="6">
        <f>IF(C48&lt;&gt;0, (D48/C48)*100, 0)</f>
        <v>0</v>
      </c>
      <c r="F48" s="6">
        <v>438143064.62</v>
      </c>
      <c r="G48" s="6">
        <f>B48-F48</f>
        <v>18924795</v>
      </c>
      <c r="H48" s="6">
        <f>IF(F48&lt;&gt;0, (G48/F48)*100, 0)</f>
        <v>4.3193186263060932</v>
      </c>
    </row>
    <row r="49" spans="1:8" x14ac:dyDescent="0.3">
      <c r="A49" s="4" t="s">
        <v>53</v>
      </c>
      <c r="B49" s="6">
        <v>45745264.009999998</v>
      </c>
      <c r="C49" s="6">
        <v>0</v>
      </c>
      <c r="D49" s="6">
        <f>B49-C49</f>
        <v>45745264.009999998</v>
      </c>
      <c r="E49" s="6">
        <f>IF(C49&lt;&gt;0, (D49/C49)*100, 0)</f>
        <v>0</v>
      </c>
      <c r="F49" s="6">
        <v>49675814.009999998</v>
      </c>
      <c r="G49" s="6">
        <f>B49-F49</f>
        <v>-3930550</v>
      </c>
      <c r="H49" s="6">
        <f>IF(F49&lt;&gt;0, (G49/F49)*100, 0)</f>
        <v>-7.9124017961915234</v>
      </c>
    </row>
    <row r="50" spans="1:8" x14ac:dyDescent="0.3">
      <c r="A50" s="4" t="s">
        <v>54</v>
      </c>
      <c r="B50" s="6">
        <v>1356500</v>
      </c>
      <c r="C50" s="6">
        <v>0</v>
      </c>
      <c r="D50" s="6">
        <f>B50-C50</f>
        <v>1356500</v>
      </c>
      <c r="E50" s="6">
        <f>IF(C50&lt;&gt;0, (D50/C50)*100, 0)</f>
        <v>0</v>
      </c>
      <c r="F50" s="6">
        <v>3278834</v>
      </c>
      <c r="G50" s="6">
        <f>B50-F50</f>
        <v>-1922334</v>
      </c>
      <c r="H50" s="6">
        <f>IF(F50&lt;&gt;0, (G50/F50)*100, 0)</f>
        <v>-58.628585649654731</v>
      </c>
    </row>
    <row r="51" spans="1:8" x14ac:dyDescent="0.3">
      <c r="A51" s="4" t="s">
        <v>55</v>
      </c>
      <c r="B51" s="6">
        <v>5562863</v>
      </c>
      <c r="C51" s="6">
        <v>0</v>
      </c>
      <c r="D51" s="6">
        <f>B51-C51</f>
        <v>5562863</v>
      </c>
      <c r="E51" s="6">
        <f>IF(C51&lt;&gt;0, (D51/C51)*100, 0)</f>
        <v>0</v>
      </c>
      <c r="F51" s="6">
        <v>10132968.529999999</v>
      </c>
      <c r="G51" s="6">
        <f>B51-F51</f>
        <v>-4570105.5299999993</v>
      </c>
      <c r="H51" s="6">
        <f>IF(F51&lt;&gt;0, (G51/F51)*100, 0)</f>
        <v>-45.101349288410347</v>
      </c>
    </row>
    <row r="52" spans="1:8" x14ac:dyDescent="0.3">
      <c r="A52" s="4" t="s">
        <v>56</v>
      </c>
      <c r="B52" s="6">
        <v>10799643</v>
      </c>
      <c r="C52" s="6">
        <v>0</v>
      </c>
      <c r="D52" s="6">
        <f>B52-C52</f>
        <v>10799643</v>
      </c>
      <c r="E52" s="6">
        <f>IF(C52&lt;&gt;0, (D52/C52)*100, 0)</f>
        <v>0</v>
      </c>
      <c r="F52" s="6">
        <v>11317681</v>
      </c>
      <c r="G52" s="6">
        <f>B52-F52</f>
        <v>-518038</v>
      </c>
      <c r="H52" s="6">
        <f>IF(F52&lt;&gt;0, (G52/F52)*100, 0)</f>
        <v>-4.5772451087815611</v>
      </c>
    </row>
    <row r="53" spans="1:8" x14ac:dyDescent="0.3">
      <c r="A53" s="4" t="s">
        <v>57</v>
      </c>
      <c r="B53" s="6">
        <v>1754979.8</v>
      </c>
      <c r="C53" s="6">
        <v>0</v>
      </c>
      <c r="D53" s="6">
        <f>B53-C53</f>
        <v>1754979.8</v>
      </c>
      <c r="E53" s="6">
        <f>IF(C53&lt;&gt;0, (D53/C53)*100, 0)</f>
        <v>0</v>
      </c>
      <c r="F53" s="6">
        <v>2543774.7999999998</v>
      </c>
      <c r="G53" s="6">
        <f>B53-F53</f>
        <v>-788794.99999999977</v>
      </c>
      <c r="H53" s="6">
        <f>IF(F53&lt;&gt;0, (G53/F53)*100, 0)</f>
        <v>-31.008837732019352</v>
      </c>
    </row>
    <row r="54" spans="1:8" x14ac:dyDescent="0.3">
      <c r="A54" s="4" t="s">
        <v>58</v>
      </c>
      <c r="B54" s="6">
        <v>687265777.78999996</v>
      </c>
      <c r="C54" s="6">
        <v>0</v>
      </c>
      <c r="D54" s="6">
        <f>B54-C54</f>
        <v>687265777.78999996</v>
      </c>
      <c r="E54" s="6">
        <f>IF(C54&lt;&gt;0, (D54/C54)*100, 0)</f>
        <v>0</v>
      </c>
      <c r="F54" s="6">
        <v>487526871.29000002</v>
      </c>
      <c r="G54" s="6">
        <f>B54-F54</f>
        <v>199738906.49999994</v>
      </c>
      <c r="H54" s="6">
        <f>IF(F54&lt;&gt;0, (G54/F54)*100, 0)</f>
        <v>40.969825103483878</v>
      </c>
    </row>
    <row r="55" spans="1:8" x14ac:dyDescent="0.3">
      <c r="A55" s="4" t="s">
        <v>59</v>
      </c>
      <c r="B55" s="6">
        <v>28796461</v>
      </c>
      <c r="C55" s="6">
        <v>0</v>
      </c>
      <c r="D55" s="6">
        <f>B55-C55</f>
        <v>28796461</v>
      </c>
      <c r="E55" s="6">
        <f>IF(C55&lt;&gt;0, (D55/C55)*100, 0)</f>
        <v>0</v>
      </c>
      <c r="F55" s="6">
        <v>21410872</v>
      </c>
      <c r="G55" s="6">
        <f>B55-F55</f>
        <v>7385589</v>
      </c>
      <c r="H55" s="6">
        <f>IF(F55&lt;&gt;0, (G55/F55)*100, 0)</f>
        <v>34.494573597936601</v>
      </c>
    </row>
    <row r="56" spans="1:8" x14ac:dyDescent="0.3">
      <c r="A56" s="4" t="s">
        <v>60</v>
      </c>
      <c r="B56" s="6">
        <v>69098163.859999999</v>
      </c>
      <c r="C56" s="6">
        <v>0</v>
      </c>
      <c r="D56" s="6">
        <f>B56-C56</f>
        <v>69098163.859999999</v>
      </c>
      <c r="E56" s="6">
        <f>IF(C56&lt;&gt;0, (D56/C56)*100, 0)</f>
        <v>0</v>
      </c>
      <c r="F56" s="6">
        <v>51446609.439999998</v>
      </c>
      <c r="G56" s="6">
        <f>B56-F56</f>
        <v>17651554.420000002</v>
      </c>
      <c r="H56" s="6">
        <f>IF(F56&lt;&gt;0, (G56/F56)*100, 0)</f>
        <v>34.310432917034625</v>
      </c>
    </row>
    <row r="57" spans="1:8" x14ac:dyDescent="0.3">
      <c r="A57" s="4" t="s">
        <v>61</v>
      </c>
      <c r="B57" s="6">
        <v>0</v>
      </c>
      <c r="C57" s="6">
        <v>0</v>
      </c>
      <c r="D57" s="6">
        <f>B57-C57</f>
        <v>0</v>
      </c>
      <c r="E57" s="6">
        <f>IF(C57&lt;&gt;0, (D57/C57)*100, 0)</f>
        <v>0</v>
      </c>
      <c r="F57" s="6">
        <v>0</v>
      </c>
      <c r="G57" s="6">
        <f>B57-F57</f>
        <v>0</v>
      </c>
      <c r="H57" s="6">
        <f>IF(F57&lt;&gt;0, (G57/F57)*100, 0)</f>
        <v>0</v>
      </c>
    </row>
    <row r="58" spans="1:8" x14ac:dyDescent="0.3">
      <c r="A58" s="4" t="s">
        <v>62</v>
      </c>
      <c r="B58" s="6">
        <v>714609381.50999999</v>
      </c>
      <c r="C58" s="6">
        <v>0</v>
      </c>
      <c r="D58" s="6">
        <f>B58-C58</f>
        <v>714609381.50999999</v>
      </c>
      <c r="E58" s="6">
        <f>IF(C58&lt;&gt;0, (D58/C58)*100, 0)</f>
        <v>0</v>
      </c>
      <c r="F58" s="6">
        <v>485698961.25999999</v>
      </c>
      <c r="G58" s="6">
        <f>B58-F58</f>
        <v>228910420.25</v>
      </c>
      <c r="H58" s="6">
        <f>IF(F58&lt;&gt;0, (G58/F58)*100, 0)</f>
        <v>47.130102904927099</v>
      </c>
    </row>
    <row r="59" spans="1:8" x14ac:dyDescent="0.3">
      <c r="A59" s="4" t="s">
        <v>63</v>
      </c>
      <c r="B59" s="6">
        <v>982282.42</v>
      </c>
      <c r="C59" s="6">
        <v>0</v>
      </c>
      <c r="D59" s="6">
        <f>B59-C59</f>
        <v>982282.42</v>
      </c>
      <c r="E59" s="6">
        <f>IF(C59&lt;&gt;0, (D59/C59)*100, 0)</f>
        <v>0</v>
      </c>
      <c r="F59" s="6">
        <v>860710.34</v>
      </c>
      <c r="G59" s="6">
        <f>B59-F59</f>
        <v>121572.08000000007</v>
      </c>
      <c r="H59" s="6">
        <f>IF(F59&lt;&gt;0, (G59/F59)*100, 0)</f>
        <v>14.124621762996373</v>
      </c>
    </row>
    <row r="60" spans="1:8" x14ac:dyDescent="0.3">
      <c r="A60" s="4" t="s">
        <v>64</v>
      </c>
      <c r="B60" s="6">
        <v>9499261</v>
      </c>
      <c r="C60" s="6">
        <v>0</v>
      </c>
      <c r="D60" s="6">
        <f>B60-C60</f>
        <v>9499261</v>
      </c>
      <c r="E60" s="6">
        <f>IF(C60&lt;&gt;0, (D60/C60)*100, 0)</f>
        <v>0</v>
      </c>
      <c r="F60" s="6">
        <v>7960661.5</v>
      </c>
      <c r="G60" s="6">
        <f>B60-F60</f>
        <v>1538599.5</v>
      </c>
      <c r="H60" s="6">
        <f>IF(F60&lt;&gt;0, (G60/F60)*100, 0)</f>
        <v>19.327533270947395</v>
      </c>
    </row>
    <row r="61" spans="1:8" x14ac:dyDescent="0.3">
      <c r="A61" s="4" t="s">
        <v>9</v>
      </c>
      <c r="B61" s="6">
        <v>0</v>
      </c>
      <c r="C61" s="6">
        <v>0</v>
      </c>
      <c r="D61" s="6">
        <f>B61-C61</f>
        <v>0</v>
      </c>
      <c r="E61" s="6">
        <f>IF(C61&lt;&gt;0, (D61/C61)*100, 0)</f>
        <v>0</v>
      </c>
      <c r="F61" s="6">
        <v>0</v>
      </c>
      <c r="G61" s="6">
        <f>B61-F61</f>
        <v>0</v>
      </c>
      <c r="H61" s="6">
        <f>IF(F61&lt;&gt;0, (G61/F61)*100, 0)</f>
        <v>0</v>
      </c>
    </row>
    <row r="62" spans="1:8" x14ac:dyDescent="0.3">
      <c r="A62" s="4" t="s">
        <v>65</v>
      </c>
      <c r="B62" s="6">
        <v>0</v>
      </c>
      <c r="C62" s="6">
        <v>0</v>
      </c>
      <c r="D62" s="6">
        <f>B62-C62</f>
        <v>0</v>
      </c>
      <c r="E62" s="6">
        <f>IF(C62&lt;&gt;0, (D62/C62)*100, 0)</f>
        <v>0</v>
      </c>
      <c r="F62" s="6">
        <v>0</v>
      </c>
      <c r="G62" s="6">
        <f>B62-F62</f>
        <v>0</v>
      </c>
      <c r="H62" s="6">
        <f>IF(F62&lt;&gt;0, (G62/F62)*100, 0)</f>
        <v>0</v>
      </c>
    </row>
    <row r="63" spans="1:8" x14ac:dyDescent="0.3">
      <c r="A63" s="4" t="s">
        <v>66</v>
      </c>
      <c r="B63" s="6">
        <v>0</v>
      </c>
      <c r="C63" s="6">
        <v>0</v>
      </c>
      <c r="D63" s="6">
        <f>B63-C63</f>
        <v>0</v>
      </c>
      <c r="E63" s="6">
        <f>IF(C63&lt;&gt;0, (D63/C63)*100, 0)</f>
        <v>0</v>
      </c>
      <c r="F63" s="6">
        <v>0</v>
      </c>
      <c r="G63" s="6">
        <f>B63-F63</f>
        <v>0</v>
      </c>
      <c r="H63" s="6">
        <f>IF(F63&lt;&gt;0, (G63/F63)*100, 0)</f>
        <v>0</v>
      </c>
    </row>
    <row r="64" spans="1:8" x14ac:dyDescent="0.3">
      <c r="A64" s="4" t="s">
        <v>67</v>
      </c>
      <c r="B64" s="6">
        <v>8000</v>
      </c>
      <c r="C64" s="6">
        <v>0</v>
      </c>
      <c r="D64" s="6">
        <f>B64-C64</f>
        <v>8000</v>
      </c>
      <c r="E64" s="6">
        <f>IF(C64&lt;&gt;0, (D64/C64)*100, 0)</f>
        <v>0</v>
      </c>
      <c r="F64" s="6">
        <v>8000</v>
      </c>
      <c r="G64" s="6">
        <f>B64-F64</f>
        <v>0</v>
      </c>
      <c r="H64" s="6">
        <f>IF(F64&lt;&gt;0, (G64/F64)*100, 0)</f>
        <v>0</v>
      </c>
    </row>
    <row r="65" spans="1:8" x14ac:dyDescent="0.3">
      <c r="A65" s="4" t="s">
        <v>68</v>
      </c>
      <c r="B65" s="6">
        <v>-14137678.91</v>
      </c>
      <c r="C65" s="6">
        <v>0</v>
      </c>
      <c r="D65" s="6">
        <f>B65-C65</f>
        <v>-14137678.91</v>
      </c>
      <c r="E65" s="6">
        <f>IF(C65&lt;&gt;0, (D65/C65)*100, 0)</f>
        <v>0</v>
      </c>
      <c r="F65" s="6">
        <v>-12689754.66</v>
      </c>
      <c r="G65" s="6">
        <f>B65-F65</f>
        <v>-1447924.25</v>
      </c>
      <c r="H65" s="6">
        <f>IF(F65&lt;&gt;0, (G65/F65)*100, 0)</f>
        <v>11.410183165826469</v>
      </c>
    </row>
    <row r="66" spans="1:8" x14ac:dyDescent="0.3">
      <c r="A66" s="4" t="s">
        <v>69</v>
      </c>
      <c r="B66" s="6">
        <v>0</v>
      </c>
      <c r="C66" s="6">
        <v>0</v>
      </c>
      <c r="D66" s="6">
        <f>B66-C66</f>
        <v>0</v>
      </c>
      <c r="E66" s="6">
        <f>IF(C66&lt;&gt;0, (D66/C66)*100, 0)</f>
        <v>0</v>
      </c>
      <c r="F66" s="6">
        <v>0</v>
      </c>
      <c r="G66" s="6">
        <f>B66-F66</f>
        <v>0</v>
      </c>
      <c r="H66" s="6">
        <f>IF(F66&lt;&gt;0, (G66/F66)*100, 0)</f>
        <v>0</v>
      </c>
    </row>
    <row r="67" spans="1:8" x14ac:dyDescent="0.3">
      <c r="A67" s="4" t="s">
        <v>70</v>
      </c>
      <c r="B67" s="6">
        <v>76190808.400000006</v>
      </c>
      <c r="C67" s="6">
        <v>0</v>
      </c>
      <c r="D67" s="6">
        <f>B67-C67</f>
        <v>76190808.400000006</v>
      </c>
      <c r="E67" s="6">
        <f>IF(C67&lt;&gt;0, (D67/C67)*100, 0)</f>
        <v>0</v>
      </c>
      <c r="F67" s="6">
        <v>75559336.209999993</v>
      </c>
      <c r="G67" s="6">
        <f>B67-F67</f>
        <v>631472.19000001252</v>
      </c>
      <c r="H67" s="6">
        <f>IF(F67&lt;&gt;0, (G67/F67)*100, 0)</f>
        <v>0.83573019784739655</v>
      </c>
    </row>
    <row r="68" spans="1:8" x14ac:dyDescent="0.3">
      <c r="A68" s="4" t="s">
        <v>71</v>
      </c>
      <c r="B68" s="6">
        <v>741955</v>
      </c>
      <c r="C68" s="6">
        <v>0</v>
      </c>
      <c r="D68" s="6">
        <f>B68-C68</f>
        <v>741955</v>
      </c>
      <c r="E68" s="6">
        <f>IF(C68&lt;&gt;0, (D68/C68)*100, 0)</f>
        <v>0</v>
      </c>
      <c r="F68" s="6">
        <v>741955</v>
      </c>
      <c r="G68" s="6">
        <f>B68-F68</f>
        <v>0</v>
      </c>
      <c r="H68" s="6">
        <f>IF(F68&lt;&gt;0, (G68/F68)*100, 0)</f>
        <v>0</v>
      </c>
    </row>
    <row r="69" spans="1:8" x14ac:dyDescent="0.3">
      <c r="A69" s="4" t="s">
        <v>72</v>
      </c>
      <c r="B69" s="6">
        <v>8000</v>
      </c>
      <c r="C69" s="6">
        <v>0</v>
      </c>
      <c r="D69" s="6">
        <f>B69-C69</f>
        <v>8000</v>
      </c>
      <c r="E69" s="6">
        <f>IF(C69&lt;&gt;0, (D69/C69)*100, 0)</f>
        <v>0</v>
      </c>
      <c r="F69" s="6">
        <v>8000</v>
      </c>
      <c r="G69" s="6">
        <f>B69-F69</f>
        <v>0</v>
      </c>
      <c r="H69" s="6">
        <f>IF(F69&lt;&gt;0, (G69/F69)*100, 0)</f>
        <v>0</v>
      </c>
    </row>
    <row r="70" spans="1:8" x14ac:dyDescent="0.3">
      <c r="A70" s="4" t="s">
        <v>73</v>
      </c>
      <c r="B70" s="6">
        <v>2800000</v>
      </c>
      <c r="C70" s="6">
        <v>0</v>
      </c>
      <c r="D70" s="6">
        <f>B70-C70</f>
        <v>2800000</v>
      </c>
      <c r="E70" s="6">
        <f>IF(C70&lt;&gt;0, (D70/C70)*100, 0)</f>
        <v>0</v>
      </c>
      <c r="F70" s="6">
        <v>2800000</v>
      </c>
      <c r="G70" s="6">
        <f>B70-F70</f>
        <v>0</v>
      </c>
      <c r="H70" s="6">
        <f>IF(F70&lt;&gt;0, (G70/F70)*100, 0)</f>
        <v>0</v>
      </c>
    </row>
    <row r="71" spans="1:8" x14ac:dyDescent="0.3">
      <c r="A71" s="4" t="s">
        <v>74</v>
      </c>
      <c r="B71" s="6">
        <v>0</v>
      </c>
      <c r="C71" s="6">
        <v>0</v>
      </c>
      <c r="D71" s="6">
        <f>B71-C71</f>
        <v>0</v>
      </c>
      <c r="E71" s="6">
        <f>IF(C71&lt;&gt;0, (D71/C71)*100, 0)</f>
        <v>0</v>
      </c>
      <c r="F71" s="6">
        <v>0</v>
      </c>
      <c r="G71" s="6">
        <f>B71-F71</f>
        <v>0</v>
      </c>
      <c r="H71" s="6">
        <f>IF(F71&lt;&gt;0, (G71/F71)*100, 0)</f>
        <v>0</v>
      </c>
    </row>
    <row r="72" spans="1:8" x14ac:dyDescent="0.3">
      <c r="A72" s="4" t="s">
        <v>75</v>
      </c>
      <c r="B72" s="6">
        <v>48954105.5</v>
      </c>
      <c r="C72" s="6">
        <v>0</v>
      </c>
      <c r="D72" s="6">
        <f>B72-C72</f>
        <v>48954105.5</v>
      </c>
      <c r="E72" s="6">
        <f>IF(C72&lt;&gt;0, (D72/C72)*100, 0)</f>
        <v>0</v>
      </c>
      <c r="F72" s="6">
        <v>31715253.5</v>
      </c>
      <c r="G72" s="6">
        <f>B72-F72</f>
        <v>17238852</v>
      </c>
      <c r="H72" s="6">
        <f>IF(F72&lt;&gt;0, (G72/F72)*100, 0)</f>
        <v>54.35508185359452</v>
      </c>
    </row>
    <row r="73" spans="1:8" x14ac:dyDescent="0.3">
      <c r="A73" s="4" t="s">
        <v>76</v>
      </c>
      <c r="B73" s="6">
        <v>500000</v>
      </c>
      <c r="C73" s="6">
        <v>0</v>
      </c>
      <c r="D73" s="6">
        <f>B73-C73</f>
        <v>500000</v>
      </c>
      <c r="E73" s="6">
        <f>IF(C73&lt;&gt;0, (D73/C73)*100, 0)</f>
        <v>0</v>
      </c>
      <c r="F73" s="6">
        <v>500000</v>
      </c>
      <c r="G73" s="6">
        <f>B73-F73</f>
        <v>0</v>
      </c>
      <c r="H73" s="6">
        <f>IF(F73&lt;&gt;0, (G73/F73)*100, 0)</f>
        <v>0</v>
      </c>
    </row>
    <row r="74" spans="1:8" x14ac:dyDescent="0.3">
      <c r="A74" s="4" t="s">
        <v>77</v>
      </c>
      <c r="B74" s="6">
        <v>12929420</v>
      </c>
      <c r="C74" s="6">
        <v>0</v>
      </c>
      <c r="D74" s="6">
        <f>B74-C74</f>
        <v>12929420</v>
      </c>
      <c r="E74" s="6">
        <f>IF(C74&lt;&gt;0, (D74/C74)*100, 0)</f>
        <v>0</v>
      </c>
      <c r="F74" s="6">
        <v>7976300</v>
      </c>
      <c r="G74" s="6">
        <f>B74-F74</f>
        <v>4953120</v>
      </c>
      <c r="H74" s="6">
        <f>IF(F74&lt;&gt;0, (G74/F74)*100, 0)</f>
        <v>62.097965221970085</v>
      </c>
    </row>
    <row r="75" spans="1:8" x14ac:dyDescent="0.3">
      <c r="A75" s="4" t="s">
        <v>78</v>
      </c>
      <c r="B75" s="6">
        <v>7032877</v>
      </c>
      <c r="C75" s="6">
        <v>0</v>
      </c>
      <c r="D75" s="6">
        <f>B75-C75</f>
        <v>7032877</v>
      </c>
      <c r="E75" s="6">
        <f>IF(C75&lt;&gt;0, (D75/C75)*100, 0)</f>
        <v>0</v>
      </c>
      <c r="F75" s="6">
        <v>4186127</v>
      </c>
      <c r="G75" s="6">
        <f>B75-F75</f>
        <v>2846750</v>
      </c>
      <c r="H75" s="6">
        <f>IF(F75&lt;&gt;0, (G75/F75)*100, 0)</f>
        <v>68.004386871205767</v>
      </c>
    </row>
    <row r="76" spans="1:8" x14ac:dyDescent="0.3">
      <c r="A76" s="4" t="s">
        <v>79</v>
      </c>
      <c r="B76" s="6">
        <v>8514584</v>
      </c>
      <c r="C76" s="6">
        <v>0</v>
      </c>
      <c r="D76" s="6">
        <f>B76-C76</f>
        <v>8514584</v>
      </c>
      <c r="E76" s="6">
        <f>IF(C76&lt;&gt;0, (D76/C76)*100, 0)</f>
        <v>0</v>
      </c>
      <c r="F76" s="6">
        <v>4438694</v>
      </c>
      <c r="G76" s="6">
        <f>B76-F76</f>
        <v>4075890</v>
      </c>
      <c r="H76" s="6">
        <f>IF(F76&lt;&gt;0, (G76/F76)*100, 0)</f>
        <v>91.826334502896572</v>
      </c>
    </row>
    <row r="77" spans="1:8" x14ac:dyDescent="0.3">
      <c r="A77" s="4" t="s">
        <v>80</v>
      </c>
      <c r="B77" s="6">
        <v>1875402</v>
      </c>
      <c r="C77" s="6">
        <v>0</v>
      </c>
      <c r="D77" s="6">
        <f>B77-C77</f>
        <v>1875402</v>
      </c>
      <c r="E77" s="6">
        <f>IF(C77&lt;&gt;0, (D77/C77)*100, 0)</f>
        <v>0</v>
      </c>
      <c r="F77" s="6">
        <v>1710102</v>
      </c>
      <c r="G77" s="6">
        <f>B77-F77</f>
        <v>165300</v>
      </c>
      <c r="H77" s="6">
        <f>IF(F77&lt;&gt;0, (G77/F77)*100, 0)</f>
        <v>9.6660900928716522</v>
      </c>
    </row>
    <row r="78" spans="1:8" x14ac:dyDescent="0.3">
      <c r="A78" s="4" t="s">
        <v>81</v>
      </c>
      <c r="B78" s="6">
        <v>561950</v>
      </c>
      <c r="C78" s="6">
        <v>0</v>
      </c>
      <c r="D78" s="6">
        <f>B78-C78</f>
        <v>561950</v>
      </c>
      <c r="E78" s="6">
        <f>IF(C78&lt;&gt;0, (D78/C78)*100, 0)</f>
        <v>0</v>
      </c>
      <c r="F78" s="6">
        <v>561950</v>
      </c>
      <c r="G78" s="6">
        <f>B78-F78</f>
        <v>0</v>
      </c>
      <c r="H78" s="6">
        <f>IF(F78&lt;&gt;0, (G78/F78)*100, 0)</f>
        <v>0</v>
      </c>
    </row>
    <row r="79" spans="1:8" x14ac:dyDescent="0.3">
      <c r="A79" s="4" t="s">
        <v>7</v>
      </c>
      <c r="B79" s="6">
        <v>2000000</v>
      </c>
      <c r="C79" s="6">
        <v>0</v>
      </c>
      <c r="D79" s="6">
        <f>B79-C79</f>
        <v>2000000</v>
      </c>
      <c r="E79" s="6">
        <f>IF(C79&lt;&gt;0, (D79/C79)*100, 0)</f>
        <v>0</v>
      </c>
      <c r="F79" s="6">
        <v>2000000</v>
      </c>
      <c r="G79" s="6">
        <f>B79-F79</f>
        <v>0</v>
      </c>
      <c r="H79" s="6">
        <f>IF(F79&lt;&gt;0, (G79/F79)*100, 0)</f>
        <v>0</v>
      </c>
    </row>
    <row r="80" spans="1:8" x14ac:dyDescent="0.3">
      <c r="A80" s="4" t="s">
        <v>82</v>
      </c>
      <c r="B80" s="6">
        <v>560572</v>
      </c>
      <c r="C80" s="6">
        <v>0</v>
      </c>
      <c r="D80" s="6">
        <f>B80-C80</f>
        <v>560572</v>
      </c>
      <c r="E80" s="6">
        <f>IF(C80&lt;&gt;0, (D80/C80)*100, 0)</f>
        <v>0</v>
      </c>
      <c r="F80" s="6">
        <v>560572</v>
      </c>
      <c r="G80" s="6">
        <f>B80-F80</f>
        <v>0</v>
      </c>
      <c r="H80" s="6">
        <f>IF(F80&lt;&gt;0, (G80/F80)*100, 0)</f>
        <v>0</v>
      </c>
    </row>
    <row r="81" spans="1:8" x14ac:dyDescent="0.3">
      <c r="A81" s="4" t="s">
        <v>83</v>
      </c>
      <c r="B81" s="6">
        <v>234558</v>
      </c>
      <c r="C81" s="6">
        <v>0</v>
      </c>
      <c r="D81" s="6">
        <f>B81-C81</f>
        <v>234558</v>
      </c>
      <c r="E81" s="6">
        <f>IF(C81&lt;&gt;0, (D81/C81)*100, 0)</f>
        <v>0</v>
      </c>
      <c r="F81" s="6">
        <v>234558</v>
      </c>
      <c r="G81" s="6">
        <f>B81-F81</f>
        <v>0</v>
      </c>
      <c r="H81" s="6">
        <f>IF(F81&lt;&gt;0, (G81/F81)*100, 0)</f>
        <v>0</v>
      </c>
    </row>
    <row r="82" spans="1:8" x14ac:dyDescent="0.3">
      <c r="A82" s="4" t="s">
        <v>84</v>
      </c>
      <c r="B82" s="6">
        <v>862970396.75</v>
      </c>
      <c r="C82" s="6">
        <v>0</v>
      </c>
      <c r="D82" s="6">
        <f>B82-C82</f>
        <v>862970396.75</v>
      </c>
      <c r="E82" s="6">
        <f>IF(C82&lt;&gt;0, (D82/C82)*100, 0)</f>
        <v>0</v>
      </c>
      <c r="F82" s="6">
        <v>434589515</v>
      </c>
      <c r="G82" s="6">
        <f>B82-F82</f>
        <v>428380881.75</v>
      </c>
      <c r="H82" s="6">
        <f>IF(F82&lt;&gt;0, (G82/F82)*100, 0)</f>
        <v>98.571379880161174</v>
      </c>
    </row>
    <row r="83" spans="1:8" x14ac:dyDescent="0.3">
      <c r="A83" s="4" t="s">
        <v>85</v>
      </c>
      <c r="B83" s="6">
        <v>1595175</v>
      </c>
      <c r="C83" s="6">
        <v>0</v>
      </c>
      <c r="D83" s="6">
        <f>B83-C83</f>
        <v>1595175</v>
      </c>
      <c r="E83" s="6">
        <f>IF(C83&lt;&gt;0, (D83/C83)*100, 0)</f>
        <v>0</v>
      </c>
      <c r="F83" s="6">
        <v>1193175</v>
      </c>
      <c r="G83" s="6">
        <f>B83-F83</f>
        <v>402000</v>
      </c>
      <c r="H83" s="6">
        <f>IF(F83&lt;&gt;0, (G83/F83)*100, 0)</f>
        <v>33.691621094977684</v>
      </c>
    </row>
    <row r="84" spans="1:8" x14ac:dyDescent="0.3">
      <c r="A84" s="4" t="s">
        <v>69</v>
      </c>
      <c r="B84" s="6">
        <v>2836050</v>
      </c>
      <c r="C84" s="6">
        <v>0</v>
      </c>
      <c r="D84" s="6">
        <f>B84-C84</f>
        <v>2836050</v>
      </c>
      <c r="E84" s="6">
        <f>IF(C84&lt;&gt;0, (D84/C84)*100, 0)</f>
        <v>0</v>
      </c>
      <c r="F84" s="6">
        <v>2836050</v>
      </c>
      <c r="G84" s="6">
        <f>B84-F84</f>
        <v>0</v>
      </c>
      <c r="H84" s="6">
        <f>IF(F84&lt;&gt;0, (G84/F84)*100, 0)</f>
        <v>0</v>
      </c>
    </row>
    <row r="85" spans="1:8" x14ac:dyDescent="0.3">
      <c r="A85" s="4" t="s">
        <v>86</v>
      </c>
      <c r="B85" s="6">
        <v>373000</v>
      </c>
      <c r="C85" s="6">
        <v>0</v>
      </c>
      <c r="D85" s="6">
        <f>B85-C85</f>
        <v>373000</v>
      </c>
      <c r="E85" s="6">
        <f>IF(C85&lt;&gt;0, (D85/C85)*100, 0)</f>
        <v>0</v>
      </c>
      <c r="F85" s="6">
        <v>373000</v>
      </c>
      <c r="G85" s="6">
        <f>B85-F85</f>
        <v>0</v>
      </c>
      <c r="H85" s="6">
        <f>IF(F85&lt;&gt;0, (G85/F85)*100, 0)</f>
        <v>0</v>
      </c>
    </row>
    <row r="86" spans="1:8" x14ac:dyDescent="0.3">
      <c r="A86" s="4" t="s">
        <v>87</v>
      </c>
      <c r="B86" s="6">
        <v>426000</v>
      </c>
      <c r="C86" s="6">
        <v>0</v>
      </c>
      <c r="D86" s="6">
        <f>B86-C86</f>
        <v>426000</v>
      </c>
      <c r="E86" s="6">
        <f>IF(C86&lt;&gt;0, (D86/C86)*100, 0)</f>
        <v>0</v>
      </c>
      <c r="F86" s="6">
        <v>426000</v>
      </c>
      <c r="G86" s="6">
        <f>B86-F86</f>
        <v>0</v>
      </c>
      <c r="H86" s="6">
        <f>IF(F86&lt;&gt;0, (G86/F86)*100, 0)</f>
        <v>0</v>
      </c>
    </row>
    <row r="87" spans="1:8" x14ac:dyDescent="0.3">
      <c r="A87" s="4" t="s">
        <v>88</v>
      </c>
      <c r="B87" s="6">
        <v>377000</v>
      </c>
      <c r="C87" s="6">
        <v>0</v>
      </c>
      <c r="D87" s="6">
        <f>B87-C87</f>
        <v>377000</v>
      </c>
      <c r="E87" s="6">
        <f>IF(C87&lt;&gt;0, (D87/C87)*100, 0)</f>
        <v>0</v>
      </c>
      <c r="F87" s="6">
        <v>377000</v>
      </c>
      <c r="G87" s="6">
        <f>B87-F87</f>
        <v>0</v>
      </c>
      <c r="H87" s="6">
        <f>IF(F87&lt;&gt;0, (G87/F87)*100, 0)</f>
        <v>0</v>
      </c>
    </row>
    <row r="88" spans="1:8" x14ac:dyDescent="0.3">
      <c r="A88" s="4" t="s">
        <v>89</v>
      </c>
      <c r="B88" s="6">
        <v>2331496</v>
      </c>
      <c r="C88" s="6">
        <v>0</v>
      </c>
      <c r="D88" s="6">
        <f>B88-C88</f>
        <v>2331496</v>
      </c>
      <c r="E88" s="6">
        <f>IF(C88&lt;&gt;0, (D88/C88)*100, 0)</f>
        <v>0</v>
      </c>
      <c r="F88" s="6">
        <v>210781</v>
      </c>
      <c r="G88" s="6">
        <f>B88-F88</f>
        <v>2120715</v>
      </c>
      <c r="H88" s="6">
        <f>IF(F88&lt;&gt;0, (G88/F88)*100, 0)</f>
        <v>1006.122468343921</v>
      </c>
    </row>
    <row r="89" spans="1:8" x14ac:dyDescent="0.3">
      <c r="A89" s="4" t="s">
        <v>90</v>
      </c>
      <c r="B89" s="6">
        <v>4930125</v>
      </c>
      <c r="C89" s="6">
        <v>0</v>
      </c>
      <c r="D89" s="6">
        <f>B89-C89</f>
        <v>4930125</v>
      </c>
      <c r="E89" s="6">
        <f>IF(C89&lt;&gt;0, (D89/C89)*100, 0)</f>
        <v>0</v>
      </c>
      <c r="F89" s="6">
        <v>2031250</v>
      </c>
      <c r="G89" s="6">
        <f>B89-F89</f>
        <v>2898875</v>
      </c>
      <c r="H89" s="6">
        <f>IF(F89&lt;&gt;0, (G89/F89)*100, 0)</f>
        <v>142.71384615384613</v>
      </c>
    </row>
    <row r="90" spans="1:8" x14ac:dyDescent="0.3">
      <c r="A90" s="4" t="s">
        <v>91</v>
      </c>
      <c r="B90" s="6">
        <v>1123300</v>
      </c>
      <c r="C90" s="6">
        <v>0</v>
      </c>
      <c r="D90" s="6">
        <f>B90-C90</f>
        <v>1123300</v>
      </c>
      <c r="E90" s="6">
        <f>IF(C90&lt;&gt;0, (D90/C90)*100, 0)</f>
        <v>0</v>
      </c>
      <c r="F90" s="6">
        <v>729300</v>
      </c>
      <c r="G90" s="6">
        <f>B90-F90</f>
        <v>394000</v>
      </c>
      <c r="H90" s="6">
        <f>IF(F90&lt;&gt;0, (G90/F90)*100, 0)</f>
        <v>54.024406965583438</v>
      </c>
    </row>
    <row r="91" spans="1:8" x14ac:dyDescent="0.3">
      <c r="A91" s="4" t="s">
        <v>92</v>
      </c>
      <c r="B91" s="6">
        <v>856464</v>
      </c>
      <c r="C91" s="6">
        <v>0</v>
      </c>
      <c r="D91" s="6">
        <f>B91-C91</f>
        <v>856464</v>
      </c>
      <c r="E91" s="6">
        <f>IF(C91&lt;&gt;0, (D91/C91)*100, 0)</f>
        <v>0</v>
      </c>
      <c r="F91" s="6">
        <v>856464</v>
      </c>
      <c r="G91" s="6">
        <f>B91-F91</f>
        <v>0</v>
      </c>
      <c r="H91" s="6">
        <f>IF(F91&lt;&gt;0, (G91/F91)*100, 0)</f>
        <v>0</v>
      </c>
    </row>
    <row r="92" spans="1:8" x14ac:dyDescent="0.3">
      <c r="A92" s="4" t="s">
        <v>93</v>
      </c>
      <c r="B92" s="6">
        <v>126063</v>
      </c>
      <c r="C92" s="6">
        <v>0</v>
      </c>
      <c r="D92" s="6">
        <f>B92-C92</f>
        <v>126063</v>
      </c>
      <c r="E92" s="6">
        <f>IF(C92&lt;&gt;0, (D92/C92)*100, 0)</f>
        <v>0</v>
      </c>
      <c r="F92" s="6">
        <v>308763</v>
      </c>
      <c r="G92" s="6">
        <f>B92-F92</f>
        <v>-182700</v>
      </c>
      <c r="H92" s="6">
        <f>IF(F92&lt;&gt;0, (G92/F92)*100, 0)</f>
        <v>-59.171597633136095</v>
      </c>
    </row>
    <row r="93" spans="1:8" x14ac:dyDescent="0.3">
      <c r="A93" s="4" t="s">
        <v>94</v>
      </c>
      <c r="B93" s="6">
        <v>119660</v>
      </c>
      <c r="C93" s="6">
        <v>0</v>
      </c>
      <c r="D93" s="6">
        <f>B93-C93</f>
        <v>119660</v>
      </c>
      <c r="E93" s="6">
        <f>IF(C93&lt;&gt;0, (D93/C93)*100, 0)</f>
        <v>0</v>
      </c>
      <c r="F93" s="6">
        <v>119660</v>
      </c>
      <c r="G93" s="6">
        <f>B93-F93</f>
        <v>0</v>
      </c>
      <c r="H93" s="6">
        <f>IF(F93&lt;&gt;0, (G93/F93)*100, 0)</f>
        <v>0</v>
      </c>
    </row>
    <row r="94" spans="1:8" x14ac:dyDescent="0.3">
      <c r="A94" s="4" t="s">
        <v>95</v>
      </c>
      <c r="B94" s="6">
        <v>539970</v>
      </c>
      <c r="C94" s="6">
        <v>0</v>
      </c>
      <c r="D94" s="6">
        <f>B94-C94</f>
        <v>539970</v>
      </c>
      <c r="E94" s="6">
        <f>IF(C94&lt;&gt;0, (D94/C94)*100, 0)</f>
        <v>0</v>
      </c>
      <c r="F94" s="6">
        <v>308770</v>
      </c>
      <c r="G94" s="6">
        <f>B94-F94</f>
        <v>231200</v>
      </c>
      <c r="H94" s="6">
        <f>IF(F94&lt;&gt;0, (G94/F94)*100, 0)</f>
        <v>74.877740713152178</v>
      </c>
    </row>
    <row r="95" spans="1:8" x14ac:dyDescent="0.3">
      <c r="A95" s="4" t="s">
        <v>96</v>
      </c>
      <c r="B95" s="6">
        <v>144500</v>
      </c>
      <c r="C95" s="6">
        <v>0</v>
      </c>
      <c r="D95" s="6">
        <f>B95-C95</f>
        <v>144500</v>
      </c>
      <c r="E95" s="6">
        <f>IF(C95&lt;&gt;0, (D95/C95)*100, 0)</f>
        <v>0</v>
      </c>
      <c r="F95" s="6">
        <v>144500</v>
      </c>
      <c r="G95" s="6">
        <f>B95-F95</f>
        <v>0</v>
      </c>
      <c r="H95" s="6">
        <f>IF(F95&lt;&gt;0, (G95/F95)*100, 0)</f>
        <v>0</v>
      </c>
    </row>
    <row r="96" spans="1:8" x14ac:dyDescent="0.3">
      <c r="A96" s="4" t="s">
        <v>97</v>
      </c>
      <c r="B96" s="6">
        <v>27975001</v>
      </c>
      <c r="C96" s="6">
        <v>0</v>
      </c>
      <c r="D96" s="6">
        <f>B96-C96</f>
        <v>27975001</v>
      </c>
      <c r="E96" s="6">
        <f>IF(C96&lt;&gt;0, (D96/C96)*100, 0)</f>
        <v>0</v>
      </c>
      <c r="F96" s="6">
        <v>0</v>
      </c>
      <c r="G96" s="6">
        <f>B96-F96</f>
        <v>27975001</v>
      </c>
      <c r="H96" s="6">
        <f>IF(F96&lt;&gt;0, (G96/F96)*100, 0)</f>
        <v>0</v>
      </c>
    </row>
    <row r="97" spans="1:8" customFormat="1" ht="14.5" x14ac:dyDescent="0.35">
      <c r="A97" s="7"/>
      <c r="B97" s="9"/>
      <c r="C97" s="9"/>
      <c r="D97" s="9"/>
      <c r="E97" s="8"/>
      <c r="F97" s="9"/>
      <c r="G97" s="9"/>
      <c r="H97" s="8"/>
    </row>
    <row r="98" spans="1:8" x14ac:dyDescent="0.3">
      <c r="A98" s="4" t="s">
        <v>98</v>
      </c>
      <c r="B98" s="6">
        <f>ROUND(SUBTOTAL(9, B2:B97), 5)</f>
        <v>8121506716.5799999</v>
      </c>
      <c r="C98" s="6">
        <f>ROUND(SUBTOTAL(9, C2:C97), 5)</f>
        <v>0</v>
      </c>
      <c r="D98" s="6">
        <f>B98-C98</f>
        <v>8121506716.5799999</v>
      </c>
      <c r="E98" s="6">
        <f>IF(C98&lt;&gt;0, (D98/C98)*100, 0)</f>
        <v>0</v>
      </c>
      <c r="F98" s="6">
        <f>ROUND(SUBTOTAL(9, F2:F97), 5)</f>
        <v>6751962778.54</v>
      </c>
      <c r="G98" s="6">
        <f>B98-F98</f>
        <v>1369543938.04</v>
      </c>
      <c r="H98" s="6">
        <f>IF(F98&lt;&gt;0, (G98/F98)*100, 0)</f>
        <v>20.283641704792412</v>
      </c>
    </row>
    <row r="99" spans="1:8" customFormat="1" ht="14.5" x14ac:dyDescent="0.35">
      <c r="A99" s="7"/>
      <c r="B99" s="9"/>
      <c r="C99" s="9"/>
      <c r="D99" s="9"/>
      <c r="E99" s="8"/>
      <c r="F99" s="9"/>
      <c r="G99" s="9"/>
      <c r="H99" s="8"/>
    </row>
    <row r="100" spans="1:8" x14ac:dyDescent="0.3">
      <c r="A100" s="10" t="s">
        <v>99</v>
      </c>
    </row>
    <row r="101" spans="1:8" x14ac:dyDescent="0.3">
      <c r="A101" s="4" t="s">
        <v>100</v>
      </c>
    </row>
    <row r="102" spans="1:8" x14ac:dyDescent="0.3">
      <c r="A102" s="4" t="s">
        <v>8</v>
      </c>
      <c r="B102" s="6">
        <v>214317072.62</v>
      </c>
      <c r="C102" s="6">
        <v>0</v>
      </c>
      <c r="D102" s="6">
        <f>B102-C102</f>
        <v>214317072.62</v>
      </c>
      <c r="E102" s="6">
        <f>IF(C102&lt;&gt;0, (D102/C102)*100, 0)</f>
        <v>0</v>
      </c>
      <c r="F102" s="6">
        <v>223494223.24000001</v>
      </c>
      <c r="G102" s="6">
        <f>B102-F102</f>
        <v>-9177150.6200000048</v>
      </c>
      <c r="H102" s="6">
        <f>IF(F102&lt;&gt;0, (G102/F102)*100, 0)</f>
        <v>-4.1062137924455842</v>
      </c>
    </row>
    <row r="103" spans="1:8" x14ac:dyDescent="0.3">
      <c r="A103" s="4" t="s">
        <v>9</v>
      </c>
      <c r="B103" s="6">
        <v>414352880.58999997</v>
      </c>
      <c r="C103" s="6">
        <v>0</v>
      </c>
      <c r="D103" s="6">
        <f>B103-C103</f>
        <v>414352880.58999997</v>
      </c>
      <c r="E103" s="6">
        <f>IF(C103&lt;&gt;0, (D103/C103)*100, 0)</f>
        <v>0</v>
      </c>
      <c r="F103" s="6">
        <v>376190725.5</v>
      </c>
      <c r="G103" s="6">
        <f>B103-F103</f>
        <v>38162155.089999974</v>
      </c>
      <c r="H103" s="6">
        <f>IF(F103&lt;&gt;0, (G103/F103)*100, 0)</f>
        <v>10.144363617491674</v>
      </c>
    </row>
    <row r="104" spans="1:8" x14ac:dyDescent="0.3">
      <c r="A104" s="4" t="s">
        <v>10</v>
      </c>
      <c r="B104" s="6">
        <v>366235699.95999998</v>
      </c>
      <c r="C104" s="6">
        <v>0</v>
      </c>
      <c r="D104" s="6">
        <f>B104-C104</f>
        <v>366235699.95999998</v>
      </c>
      <c r="E104" s="6">
        <f>IF(C104&lt;&gt;0, (D104/C104)*100, 0)</f>
        <v>0</v>
      </c>
      <c r="F104" s="6">
        <v>386379559.95999998</v>
      </c>
      <c r="G104" s="6">
        <f>B104-F104</f>
        <v>-20143860</v>
      </c>
      <c r="H104" s="6">
        <f>IF(F104&lt;&gt;0, (G104/F104)*100, 0)</f>
        <v>-5.2134900723230277</v>
      </c>
    </row>
    <row r="105" spans="1:8" x14ac:dyDescent="0.3">
      <c r="A105" s="4" t="s">
        <v>11</v>
      </c>
      <c r="B105" s="6">
        <v>1600000</v>
      </c>
      <c r="C105" s="6">
        <v>0</v>
      </c>
      <c r="D105" s="6">
        <f>B105-C105</f>
        <v>1600000</v>
      </c>
      <c r="E105" s="6">
        <f>IF(C105&lt;&gt;0, (D105/C105)*100, 0)</f>
        <v>0</v>
      </c>
      <c r="F105" s="6">
        <v>0</v>
      </c>
      <c r="G105" s="6">
        <f>B105-F105</f>
        <v>1600000</v>
      </c>
      <c r="H105" s="6">
        <f>IF(F105&lt;&gt;0, (G105/F105)*100, 0)</f>
        <v>0</v>
      </c>
    </row>
    <row r="106" spans="1:8" x14ac:dyDescent="0.3">
      <c r="A106" s="4" t="s">
        <v>12</v>
      </c>
      <c r="B106" s="6">
        <v>0</v>
      </c>
      <c r="C106" s="6">
        <v>0</v>
      </c>
      <c r="D106" s="6">
        <f>B106-C106</f>
        <v>0</v>
      </c>
      <c r="E106" s="6">
        <f>IF(C106&lt;&gt;0, (D106/C106)*100, 0)</f>
        <v>0</v>
      </c>
      <c r="F106" s="6">
        <v>0</v>
      </c>
      <c r="G106" s="6">
        <f>B106-F106</f>
        <v>0</v>
      </c>
      <c r="H106" s="6">
        <f>IF(F106&lt;&gt;0, (G106/F106)*100, 0)</f>
        <v>0</v>
      </c>
    </row>
    <row r="107" spans="1:8" x14ac:dyDescent="0.3">
      <c r="A107" s="4" t="s">
        <v>13</v>
      </c>
      <c r="B107" s="6">
        <v>0</v>
      </c>
      <c r="C107" s="6">
        <v>0</v>
      </c>
      <c r="D107" s="6">
        <f>B107-C107</f>
        <v>0</v>
      </c>
      <c r="E107" s="6">
        <f>IF(C107&lt;&gt;0, (D107/C107)*100, 0)</f>
        <v>0</v>
      </c>
      <c r="F107" s="6">
        <v>121963.6</v>
      </c>
      <c r="G107" s="6">
        <f>B107-F107</f>
        <v>-121963.6</v>
      </c>
      <c r="H107" s="6">
        <f>IF(F107&lt;&gt;0, (G107/F107)*100, 0)</f>
        <v>-100</v>
      </c>
    </row>
    <row r="108" spans="1:8" x14ac:dyDescent="0.3">
      <c r="A108" s="4" t="s">
        <v>14</v>
      </c>
      <c r="B108" s="6">
        <v>180452874.69999999</v>
      </c>
      <c r="C108" s="6">
        <v>0</v>
      </c>
      <c r="D108" s="6">
        <f>B108-C108</f>
        <v>180452874.69999999</v>
      </c>
      <c r="E108" s="6">
        <f>IF(C108&lt;&gt;0, (D108/C108)*100, 0)</f>
        <v>0</v>
      </c>
      <c r="F108" s="6">
        <v>157362305.05000001</v>
      </c>
      <c r="G108" s="6">
        <f>B108-F108</f>
        <v>23090569.649999976</v>
      </c>
      <c r="H108" s="6">
        <f>IF(F108&lt;&gt;0, (G108/F108)*100, 0)</f>
        <v>14.673507510368013</v>
      </c>
    </row>
    <row r="109" spans="1:8" x14ac:dyDescent="0.3">
      <c r="A109" s="4" t="s">
        <v>101</v>
      </c>
      <c r="B109" s="6">
        <v>494537794.5</v>
      </c>
      <c r="C109" s="6">
        <v>0</v>
      </c>
      <c r="D109" s="6">
        <f>B109-C109</f>
        <v>494537794.5</v>
      </c>
      <c r="E109" s="6">
        <f>IF(C109&lt;&gt;0, (D109/C109)*100, 0)</f>
        <v>0</v>
      </c>
      <c r="F109" s="6">
        <v>341237374.39999998</v>
      </c>
      <c r="G109" s="6">
        <f>B109-F109</f>
        <v>153300420.10000002</v>
      </c>
      <c r="H109" s="6">
        <f>IF(F109&lt;&gt;0, (G109/F109)*100, 0)</f>
        <v>44.92486216363293</v>
      </c>
    </row>
    <row r="110" spans="1:8" x14ac:dyDescent="0.3">
      <c r="A110" s="4" t="s">
        <v>16</v>
      </c>
      <c r="B110" s="6">
        <v>154811764.80000001</v>
      </c>
      <c r="C110" s="6">
        <v>0</v>
      </c>
      <c r="D110" s="6">
        <f>B110-C110</f>
        <v>154811764.80000001</v>
      </c>
      <c r="E110" s="6">
        <f>IF(C110&lt;&gt;0, (D110/C110)*100, 0)</f>
        <v>0</v>
      </c>
      <c r="F110" s="6">
        <v>186315655.59999999</v>
      </c>
      <c r="G110" s="6">
        <f>B110-F110</f>
        <v>-31503890.799999982</v>
      </c>
      <c r="H110" s="6">
        <f>IF(F110&lt;&gt;0, (G110/F110)*100, 0)</f>
        <v>-16.908880093058578</v>
      </c>
    </row>
    <row r="111" spans="1:8" x14ac:dyDescent="0.3">
      <c r="A111" s="4" t="s">
        <v>102</v>
      </c>
      <c r="B111" s="6">
        <v>0</v>
      </c>
      <c r="C111" s="6">
        <v>0</v>
      </c>
      <c r="D111" s="6">
        <f>B111-C111</f>
        <v>0</v>
      </c>
      <c r="E111" s="6">
        <f>IF(C111&lt;&gt;0, (D111/C111)*100, 0)</f>
        <v>0</v>
      </c>
      <c r="F111" s="6">
        <v>0</v>
      </c>
      <c r="G111" s="6">
        <f>B111-F111</f>
        <v>0</v>
      </c>
      <c r="H111" s="6">
        <f>IF(F111&lt;&gt;0, (G111/F111)*100, 0)</f>
        <v>0</v>
      </c>
    </row>
    <row r="112" spans="1:8" x14ac:dyDescent="0.3">
      <c r="A112" s="4" t="s">
        <v>103</v>
      </c>
      <c r="B112" s="6">
        <v>0</v>
      </c>
      <c r="C112" s="6">
        <v>0</v>
      </c>
      <c r="D112" s="6">
        <f>B112-C112</f>
        <v>0</v>
      </c>
      <c r="E112" s="6">
        <f>IF(C112&lt;&gt;0, (D112/C112)*100, 0)</f>
        <v>0</v>
      </c>
      <c r="F112" s="6">
        <v>0</v>
      </c>
      <c r="G112" s="6">
        <f>B112-F112</f>
        <v>0</v>
      </c>
      <c r="H112" s="6">
        <f>IF(F112&lt;&gt;0, (G112/F112)*100, 0)</f>
        <v>0</v>
      </c>
    </row>
    <row r="113" spans="1:8" x14ac:dyDescent="0.3">
      <c r="A113" s="4" t="s">
        <v>19</v>
      </c>
      <c r="B113" s="6">
        <v>879909975.36000001</v>
      </c>
      <c r="C113" s="6">
        <v>0</v>
      </c>
      <c r="D113" s="6">
        <f>B113-C113</f>
        <v>879909975.36000001</v>
      </c>
      <c r="E113" s="6">
        <f>IF(C113&lt;&gt;0, (D113/C113)*100, 0)</f>
        <v>0</v>
      </c>
      <c r="F113" s="6">
        <v>724699388.65999997</v>
      </c>
      <c r="G113" s="6">
        <f>B113-F113</f>
        <v>155210586.70000005</v>
      </c>
      <c r="H113" s="6">
        <f>IF(F113&lt;&gt;0, (G113/F113)*100, 0)</f>
        <v>21.417237150840023</v>
      </c>
    </row>
    <row r="114" spans="1:8" x14ac:dyDescent="0.3">
      <c r="A114" s="4" t="s">
        <v>104</v>
      </c>
      <c r="B114" s="6">
        <v>0</v>
      </c>
      <c r="C114" s="6">
        <v>0</v>
      </c>
      <c r="D114" s="6">
        <f>B114-C114</f>
        <v>0</v>
      </c>
      <c r="E114" s="6">
        <f>IF(C114&lt;&gt;0, (D114/C114)*100, 0)</f>
        <v>0</v>
      </c>
      <c r="F114" s="6">
        <v>0</v>
      </c>
      <c r="G114" s="6">
        <f>B114-F114</f>
        <v>0</v>
      </c>
      <c r="H114" s="6">
        <f>IF(F114&lt;&gt;0, (G114/F114)*100, 0)</f>
        <v>0</v>
      </c>
    </row>
    <row r="115" spans="1:8" x14ac:dyDescent="0.3">
      <c r="A115" s="4" t="s">
        <v>21</v>
      </c>
      <c r="B115" s="6">
        <v>3017411.5</v>
      </c>
      <c r="C115" s="6">
        <v>0</v>
      </c>
      <c r="D115" s="6">
        <f>B115-C115</f>
        <v>3017411.5</v>
      </c>
      <c r="E115" s="6">
        <f>IF(C115&lt;&gt;0, (D115/C115)*100, 0)</f>
        <v>0</v>
      </c>
      <c r="F115" s="6">
        <v>4831841.5</v>
      </c>
      <c r="G115" s="6">
        <f>B115-F115</f>
        <v>-1814430</v>
      </c>
      <c r="H115" s="6">
        <f>IF(F115&lt;&gt;0, (G115/F115)*100, 0)</f>
        <v>-37.551521505827537</v>
      </c>
    </row>
    <row r="116" spans="1:8" x14ac:dyDescent="0.3">
      <c r="A116" s="4" t="s">
        <v>22</v>
      </c>
      <c r="B116" s="6">
        <v>503154318</v>
      </c>
      <c r="C116" s="6">
        <v>0</v>
      </c>
      <c r="D116" s="6">
        <f>B116-C116</f>
        <v>503154318</v>
      </c>
      <c r="E116" s="6">
        <f>IF(C116&lt;&gt;0, (D116/C116)*100, 0)</f>
        <v>0</v>
      </c>
      <c r="F116" s="6">
        <v>561558314</v>
      </c>
      <c r="G116" s="6">
        <f>B116-F116</f>
        <v>-58403996</v>
      </c>
      <c r="H116" s="6">
        <f>IF(F116&lt;&gt;0, (G116/F116)*100, 0)</f>
        <v>-10.400343925813553</v>
      </c>
    </row>
    <row r="117" spans="1:8" x14ac:dyDescent="0.3">
      <c r="A117" s="4" t="s">
        <v>23</v>
      </c>
      <c r="B117" s="6">
        <v>1382750</v>
      </c>
      <c r="C117" s="6">
        <v>0</v>
      </c>
      <c r="D117" s="6">
        <f>B117-C117</f>
        <v>1382750</v>
      </c>
      <c r="E117" s="6">
        <f>IF(C117&lt;&gt;0, (D117/C117)*100, 0)</f>
        <v>0</v>
      </c>
      <c r="F117" s="6">
        <v>3722250</v>
      </c>
      <c r="G117" s="6">
        <f>B117-F117</f>
        <v>-2339500</v>
      </c>
      <c r="H117" s="6">
        <f>IF(F117&lt;&gt;0, (G117/F117)*100, 0)</f>
        <v>-62.851769762912213</v>
      </c>
    </row>
    <row r="118" spans="1:8" x14ac:dyDescent="0.3">
      <c r="A118" s="4" t="s">
        <v>24</v>
      </c>
      <c r="B118" s="6">
        <v>171074085.25</v>
      </c>
      <c r="C118" s="6">
        <v>0</v>
      </c>
      <c r="D118" s="6">
        <f>B118-C118</f>
        <v>171074085.25</v>
      </c>
      <c r="E118" s="6">
        <f>IF(C118&lt;&gt;0, (D118/C118)*100, 0)</f>
        <v>0</v>
      </c>
      <c r="F118" s="6">
        <v>133653403.65000001</v>
      </c>
      <c r="G118" s="6">
        <f>B118-F118</f>
        <v>37420681.599999994</v>
      </c>
      <c r="H118" s="6">
        <f>IF(F118&lt;&gt;0, (G118/F118)*100, 0)</f>
        <v>27.998300513164665</v>
      </c>
    </row>
    <row r="119" spans="1:8" x14ac:dyDescent="0.3">
      <c r="A119" s="4" t="s">
        <v>25</v>
      </c>
      <c r="B119" s="6">
        <v>14443676.300000001</v>
      </c>
      <c r="C119" s="6">
        <v>0</v>
      </c>
      <c r="D119" s="6">
        <f>B119-C119</f>
        <v>14443676.300000001</v>
      </c>
      <c r="E119" s="6">
        <f>IF(C119&lt;&gt;0, (D119/C119)*100, 0)</f>
        <v>0</v>
      </c>
      <c r="F119" s="6">
        <v>24208811.52</v>
      </c>
      <c r="G119" s="6">
        <f>B119-F119</f>
        <v>-9765135.2199999988</v>
      </c>
      <c r="H119" s="6">
        <f>IF(F119&lt;&gt;0, (G119/F119)*100, 0)</f>
        <v>-40.337111187521849</v>
      </c>
    </row>
    <row r="120" spans="1:8" x14ac:dyDescent="0.3">
      <c r="A120" s="4" t="s">
        <v>26</v>
      </c>
      <c r="B120" s="6">
        <v>13453583.5</v>
      </c>
      <c r="C120" s="6">
        <v>0</v>
      </c>
      <c r="D120" s="6">
        <f>B120-C120</f>
        <v>13453583.5</v>
      </c>
      <c r="E120" s="6">
        <f>IF(C120&lt;&gt;0, (D120/C120)*100, 0)</f>
        <v>0</v>
      </c>
      <c r="F120" s="6">
        <v>14010069.5</v>
      </c>
      <c r="G120" s="6">
        <f>B120-F120</f>
        <v>-556486</v>
      </c>
      <c r="H120" s="6">
        <f>IF(F120&lt;&gt;0, (G120/F120)*100, 0)</f>
        <v>-3.9720431079945753</v>
      </c>
    </row>
    <row r="121" spans="1:8" x14ac:dyDescent="0.3">
      <c r="A121" s="4" t="s">
        <v>27</v>
      </c>
      <c r="B121" s="6">
        <v>0</v>
      </c>
      <c r="C121" s="6">
        <v>0</v>
      </c>
      <c r="D121" s="6">
        <f>B121-C121</f>
        <v>0</v>
      </c>
      <c r="E121" s="6">
        <f>IF(C121&lt;&gt;0, (D121/C121)*100, 0)</f>
        <v>0</v>
      </c>
      <c r="F121" s="6">
        <v>0</v>
      </c>
      <c r="G121" s="6">
        <f>B121-F121</f>
        <v>0</v>
      </c>
      <c r="H121" s="6">
        <f>IF(F121&lt;&gt;0, (G121/F121)*100, 0)</f>
        <v>0</v>
      </c>
    </row>
    <row r="122" spans="1:8" x14ac:dyDescent="0.3">
      <c r="A122" s="4" t="s">
        <v>28</v>
      </c>
      <c r="B122" s="6">
        <v>0</v>
      </c>
      <c r="C122" s="6">
        <v>0</v>
      </c>
      <c r="D122" s="6">
        <f>B122-C122</f>
        <v>0</v>
      </c>
      <c r="E122" s="6">
        <f>IF(C122&lt;&gt;0, (D122/C122)*100, 0)</f>
        <v>0</v>
      </c>
      <c r="F122" s="6">
        <v>0</v>
      </c>
      <c r="G122" s="6">
        <f>B122-F122</f>
        <v>0</v>
      </c>
      <c r="H122" s="6">
        <f>IF(F122&lt;&gt;0, (G122/F122)*100, 0)</f>
        <v>0</v>
      </c>
    </row>
    <row r="123" spans="1:8" x14ac:dyDescent="0.3">
      <c r="A123" s="4" t="s">
        <v>29</v>
      </c>
      <c r="B123" s="6">
        <v>240260</v>
      </c>
      <c r="C123" s="6">
        <v>0</v>
      </c>
      <c r="D123" s="6">
        <f>B123-C123</f>
        <v>240260</v>
      </c>
      <c r="E123" s="6">
        <f>IF(C123&lt;&gt;0, (D123/C123)*100, 0)</f>
        <v>0</v>
      </c>
      <c r="F123" s="6">
        <v>691480</v>
      </c>
      <c r="G123" s="6">
        <f>B123-F123</f>
        <v>-451220</v>
      </c>
      <c r="H123" s="6">
        <f>IF(F123&lt;&gt;0, (G123/F123)*100, 0)</f>
        <v>-65.254237288135599</v>
      </c>
    </row>
    <row r="124" spans="1:8" x14ac:dyDescent="0.3">
      <c r="A124" s="4" t="s">
        <v>30</v>
      </c>
      <c r="B124" s="6">
        <v>28095418.18</v>
      </c>
      <c r="C124" s="6">
        <v>0</v>
      </c>
      <c r="D124" s="6">
        <f>B124-C124</f>
        <v>28095418.18</v>
      </c>
      <c r="E124" s="6">
        <f>IF(C124&lt;&gt;0, (D124/C124)*100, 0)</f>
        <v>0</v>
      </c>
      <c r="F124" s="6">
        <v>20078798.300000001</v>
      </c>
      <c r="G124" s="6">
        <f>B124-F124</f>
        <v>8016619.879999999</v>
      </c>
      <c r="H124" s="6">
        <f>IF(F124&lt;&gt;0, (G124/F124)*100, 0)</f>
        <v>39.925795160759193</v>
      </c>
    </row>
    <row r="125" spans="1:8" x14ac:dyDescent="0.3">
      <c r="A125" s="4" t="s">
        <v>31</v>
      </c>
      <c r="B125" s="6">
        <v>0</v>
      </c>
      <c r="C125" s="6">
        <v>0</v>
      </c>
      <c r="D125" s="6">
        <f>B125-C125</f>
        <v>0</v>
      </c>
      <c r="E125" s="6">
        <f>IF(C125&lt;&gt;0, (D125/C125)*100, 0)</f>
        <v>0</v>
      </c>
      <c r="F125" s="6">
        <v>0</v>
      </c>
      <c r="G125" s="6">
        <f>B125-F125</f>
        <v>0</v>
      </c>
      <c r="H125" s="6">
        <f>IF(F125&lt;&gt;0, (G125/F125)*100, 0)</f>
        <v>0</v>
      </c>
    </row>
    <row r="126" spans="1:8" x14ac:dyDescent="0.3">
      <c r="A126" s="4" t="s">
        <v>32</v>
      </c>
      <c r="B126" s="6">
        <v>0</v>
      </c>
      <c r="C126" s="6">
        <v>0</v>
      </c>
      <c r="D126" s="6">
        <f>B126-C126</f>
        <v>0</v>
      </c>
      <c r="E126" s="6">
        <f>IF(C126&lt;&gt;0, (D126/C126)*100, 0)</f>
        <v>0</v>
      </c>
      <c r="F126" s="6">
        <v>0</v>
      </c>
      <c r="G126" s="6">
        <f>B126-F126</f>
        <v>0</v>
      </c>
      <c r="H126" s="6">
        <f>IF(F126&lt;&gt;0, (G126/F126)*100, 0)</f>
        <v>0</v>
      </c>
    </row>
    <row r="127" spans="1:8" x14ac:dyDescent="0.3">
      <c r="A127" s="4" t="s">
        <v>33</v>
      </c>
      <c r="B127" s="6">
        <v>0</v>
      </c>
      <c r="C127" s="6">
        <v>0</v>
      </c>
      <c r="D127" s="6">
        <f>B127-C127</f>
        <v>0</v>
      </c>
      <c r="E127" s="6">
        <f>IF(C127&lt;&gt;0, (D127/C127)*100, 0)</f>
        <v>0</v>
      </c>
      <c r="F127" s="6">
        <v>0</v>
      </c>
      <c r="G127" s="6">
        <f>B127-F127</f>
        <v>0</v>
      </c>
      <c r="H127" s="6">
        <f>IF(F127&lt;&gt;0, (G127/F127)*100, 0)</f>
        <v>0</v>
      </c>
    </row>
    <row r="128" spans="1:8" x14ac:dyDescent="0.3">
      <c r="A128" s="4" t="s">
        <v>34</v>
      </c>
      <c r="B128" s="6">
        <v>38705299</v>
      </c>
      <c r="C128" s="6">
        <v>0</v>
      </c>
      <c r="D128" s="6">
        <f>B128-C128</f>
        <v>38705299</v>
      </c>
      <c r="E128" s="6">
        <f>IF(C128&lt;&gt;0, (D128/C128)*100, 0)</f>
        <v>0</v>
      </c>
      <c r="F128" s="6">
        <v>32342296</v>
      </c>
      <c r="G128" s="6">
        <f>B128-F128</f>
        <v>6363003</v>
      </c>
      <c r="H128" s="6">
        <f>IF(F128&lt;&gt;0, (G128/F128)*100, 0)</f>
        <v>19.673937187390777</v>
      </c>
    </row>
    <row r="129" spans="1:8" x14ac:dyDescent="0.3">
      <c r="A129" s="4" t="s">
        <v>105</v>
      </c>
      <c r="B129" s="6">
        <v>3490833</v>
      </c>
      <c r="C129" s="6">
        <v>0</v>
      </c>
      <c r="D129" s="6">
        <f>B129-C129</f>
        <v>3490833</v>
      </c>
      <c r="E129" s="6">
        <f>IF(C129&lt;&gt;0, (D129/C129)*100, 0)</f>
        <v>0</v>
      </c>
      <c r="F129" s="6">
        <v>2195454.6</v>
      </c>
      <c r="G129" s="6">
        <f>B129-F129</f>
        <v>1295378.3999999999</v>
      </c>
      <c r="H129" s="6">
        <f>IF(F129&lt;&gt;0, (G129/F129)*100, 0)</f>
        <v>59.002741391236235</v>
      </c>
    </row>
    <row r="130" spans="1:8" x14ac:dyDescent="0.3">
      <c r="A130" s="4" t="s">
        <v>36</v>
      </c>
      <c r="B130" s="6">
        <v>0</v>
      </c>
      <c r="C130" s="6">
        <v>0</v>
      </c>
      <c r="D130" s="6">
        <f>B130-C130</f>
        <v>0</v>
      </c>
      <c r="E130" s="6">
        <f>IF(C130&lt;&gt;0, (D130/C130)*100, 0)</f>
        <v>0</v>
      </c>
      <c r="F130" s="6">
        <v>0</v>
      </c>
      <c r="G130" s="6">
        <f>B130-F130</f>
        <v>0</v>
      </c>
      <c r="H130" s="6">
        <f>IF(F130&lt;&gt;0, (G130/F130)*100, 0)</f>
        <v>0</v>
      </c>
    </row>
    <row r="131" spans="1:8" x14ac:dyDescent="0.3">
      <c r="A131" s="4" t="s">
        <v>106</v>
      </c>
      <c r="B131" s="6">
        <v>101428516.97</v>
      </c>
      <c r="C131" s="6">
        <v>0</v>
      </c>
      <c r="D131" s="6">
        <f>B131-C131</f>
        <v>101428516.97</v>
      </c>
      <c r="E131" s="6">
        <f>IF(C131&lt;&gt;0, (D131/C131)*100, 0)</f>
        <v>0</v>
      </c>
      <c r="F131" s="6">
        <v>86461874.799999997</v>
      </c>
      <c r="G131" s="6">
        <f>B131-F131</f>
        <v>14966642.170000002</v>
      </c>
      <c r="H131" s="6">
        <f>IF(F131&lt;&gt;0, (G131/F131)*100, 0)</f>
        <v>17.310105991363493</v>
      </c>
    </row>
    <row r="132" spans="1:8" x14ac:dyDescent="0.3">
      <c r="A132" s="4" t="s">
        <v>38</v>
      </c>
      <c r="B132" s="6">
        <v>0</v>
      </c>
      <c r="C132" s="6">
        <v>0</v>
      </c>
      <c r="D132" s="6">
        <f>B132-C132</f>
        <v>0</v>
      </c>
      <c r="E132" s="6">
        <f>IF(C132&lt;&gt;0, (D132/C132)*100, 0)</f>
        <v>0</v>
      </c>
      <c r="F132" s="6">
        <v>0</v>
      </c>
      <c r="G132" s="6">
        <f>B132-F132</f>
        <v>0</v>
      </c>
      <c r="H132" s="6">
        <f>IF(F132&lt;&gt;0, (G132/F132)*100, 0)</f>
        <v>0</v>
      </c>
    </row>
    <row r="133" spans="1:8" x14ac:dyDescent="0.3">
      <c r="A133" s="4" t="s">
        <v>39</v>
      </c>
      <c r="B133" s="6">
        <v>0</v>
      </c>
      <c r="C133" s="6">
        <v>0</v>
      </c>
      <c r="D133" s="6">
        <f>B133-C133</f>
        <v>0</v>
      </c>
      <c r="E133" s="6">
        <f>IF(C133&lt;&gt;0, (D133/C133)*100, 0)</f>
        <v>0</v>
      </c>
      <c r="F133" s="6">
        <v>0</v>
      </c>
      <c r="G133" s="6">
        <f>B133-F133</f>
        <v>0</v>
      </c>
      <c r="H133" s="6">
        <f>IF(F133&lt;&gt;0, (G133/F133)*100, 0)</f>
        <v>0</v>
      </c>
    </row>
    <row r="134" spans="1:8" x14ac:dyDescent="0.3">
      <c r="A134" s="4" t="s">
        <v>40</v>
      </c>
      <c r="B134" s="6">
        <v>8943500</v>
      </c>
      <c r="C134" s="6">
        <v>0</v>
      </c>
      <c r="D134" s="6">
        <f>B134-C134</f>
        <v>8943500</v>
      </c>
      <c r="E134" s="6">
        <f>IF(C134&lt;&gt;0, (D134/C134)*100, 0)</f>
        <v>0</v>
      </c>
      <c r="F134" s="6">
        <v>3219500</v>
      </c>
      <c r="G134" s="6">
        <f>B134-F134</f>
        <v>5724000</v>
      </c>
      <c r="H134" s="6">
        <f>IF(F134&lt;&gt;0, (G134/F134)*100, 0)</f>
        <v>177.79158254387329</v>
      </c>
    </row>
    <row r="135" spans="1:8" x14ac:dyDescent="0.3">
      <c r="A135" s="4" t="s">
        <v>41</v>
      </c>
      <c r="B135" s="6">
        <v>2376390</v>
      </c>
      <c r="C135" s="6">
        <v>0</v>
      </c>
      <c r="D135" s="6">
        <f>B135-C135</f>
        <v>2376390</v>
      </c>
      <c r="E135" s="6">
        <f>IF(C135&lt;&gt;0, (D135/C135)*100, 0)</f>
        <v>0</v>
      </c>
      <c r="F135" s="6">
        <v>2958200</v>
      </c>
      <c r="G135" s="6">
        <f>B135-F135</f>
        <v>-581810</v>
      </c>
      <c r="H135" s="6">
        <f>IF(F135&lt;&gt;0, (G135/F135)*100, 0)</f>
        <v>-19.667703333107973</v>
      </c>
    </row>
    <row r="136" spans="1:8" x14ac:dyDescent="0.3">
      <c r="A136" s="4" t="s">
        <v>42</v>
      </c>
      <c r="B136" s="6">
        <v>9470234</v>
      </c>
      <c r="C136" s="6">
        <v>0</v>
      </c>
      <c r="D136" s="6">
        <f>B136-C136</f>
        <v>9470234</v>
      </c>
      <c r="E136" s="6">
        <f>IF(C136&lt;&gt;0, (D136/C136)*100, 0)</f>
        <v>0</v>
      </c>
      <c r="F136" s="6">
        <v>11748677</v>
      </c>
      <c r="G136" s="6">
        <f>B136-F136</f>
        <v>-2278443</v>
      </c>
      <c r="H136" s="6">
        <f>IF(F136&lt;&gt;0, (G136/F136)*100, 0)</f>
        <v>-19.393187845746375</v>
      </c>
    </row>
    <row r="137" spans="1:8" x14ac:dyDescent="0.3">
      <c r="A137" s="4" t="s">
        <v>43</v>
      </c>
      <c r="B137" s="6">
        <v>1190500</v>
      </c>
      <c r="C137" s="6">
        <v>0</v>
      </c>
      <c r="D137" s="6">
        <f>B137-C137</f>
        <v>1190500</v>
      </c>
      <c r="E137" s="6">
        <f>IF(C137&lt;&gt;0, (D137/C137)*100, 0)</f>
        <v>0</v>
      </c>
      <c r="F137" s="6">
        <v>1486500</v>
      </c>
      <c r="G137" s="6">
        <f>B137-F137</f>
        <v>-296000</v>
      </c>
      <c r="H137" s="6">
        <f>IF(F137&lt;&gt;0, (G137/F137)*100, 0)</f>
        <v>-19.912546249579549</v>
      </c>
    </row>
    <row r="138" spans="1:8" x14ac:dyDescent="0.3">
      <c r="A138" s="4" t="s">
        <v>107</v>
      </c>
      <c r="B138" s="6">
        <v>192874060</v>
      </c>
      <c r="C138" s="6">
        <v>0</v>
      </c>
      <c r="D138" s="6">
        <f>B138-C138</f>
        <v>192874060</v>
      </c>
      <c r="E138" s="6">
        <f>IF(C138&lt;&gt;0, (D138/C138)*100, 0)</f>
        <v>0</v>
      </c>
      <c r="F138" s="6">
        <v>187913320</v>
      </c>
      <c r="G138" s="6">
        <f>B138-F138</f>
        <v>4960740</v>
      </c>
      <c r="H138" s="6">
        <f>IF(F138&lt;&gt;0, (G138/F138)*100, 0)</f>
        <v>2.6399086557568139</v>
      </c>
    </row>
    <row r="139" spans="1:8" x14ac:dyDescent="0.3">
      <c r="A139" s="4" t="s">
        <v>45</v>
      </c>
      <c r="B139" s="6">
        <v>5968811</v>
      </c>
      <c r="C139" s="6">
        <v>0</v>
      </c>
      <c r="D139" s="6">
        <f>B139-C139</f>
        <v>5968811</v>
      </c>
      <c r="E139" s="6">
        <f>IF(C139&lt;&gt;0, (D139/C139)*100, 0)</f>
        <v>0</v>
      </c>
      <c r="F139" s="6">
        <v>4665611</v>
      </c>
      <c r="G139" s="6">
        <f>B139-F139</f>
        <v>1303200</v>
      </c>
      <c r="H139" s="6">
        <f>IF(F139&lt;&gt;0, (G139/F139)*100, 0)</f>
        <v>27.932032910587701</v>
      </c>
    </row>
    <row r="140" spans="1:8" x14ac:dyDescent="0.3">
      <c r="A140" s="4" t="s">
        <v>46</v>
      </c>
      <c r="B140" s="6">
        <v>927596</v>
      </c>
      <c r="C140" s="6">
        <v>0</v>
      </c>
      <c r="D140" s="6">
        <f>B140-C140</f>
        <v>927596</v>
      </c>
      <c r="E140" s="6">
        <f>IF(C140&lt;&gt;0, (D140/C140)*100, 0)</f>
        <v>0</v>
      </c>
      <c r="F140" s="6">
        <v>981596</v>
      </c>
      <c r="G140" s="6">
        <f>B140-F140</f>
        <v>-54000</v>
      </c>
      <c r="H140" s="6">
        <f>IF(F140&lt;&gt;0, (G140/F140)*100, 0)</f>
        <v>-5.5012449113484569</v>
      </c>
    </row>
    <row r="141" spans="1:8" x14ac:dyDescent="0.3">
      <c r="A141" s="4" t="s">
        <v>47</v>
      </c>
      <c r="B141" s="6">
        <v>7740750</v>
      </c>
      <c r="C141" s="6">
        <v>0</v>
      </c>
      <c r="D141" s="6">
        <f>B141-C141</f>
        <v>7740750</v>
      </c>
      <c r="E141" s="6">
        <f>IF(C141&lt;&gt;0, (D141/C141)*100, 0)</f>
        <v>0</v>
      </c>
      <c r="F141" s="6">
        <v>4176000</v>
      </c>
      <c r="G141" s="6">
        <f>B141-F141</f>
        <v>3564750</v>
      </c>
      <c r="H141" s="6">
        <f>IF(F141&lt;&gt;0, (G141/F141)*100, 0)</f>
        <v>85.362787356321832</v>
      </c>
    </row>
    <row r="142" spans="1:8" x14ac:dyDescent="0.3">
      <c r="A142" s="4" t="s">
        <v>48</v>
      </c>
      <c r="B142" s="6">
        <v>-15500</v>
      </c>
      <c r="C142" s="6">
        <v>0</v>
      </c>
      <c r="D142" s="6">
        <f>B142-C142</f>
        <v>-15500</v>
      </c>
      <c r="E142" s="6">
        <f>IF(C142&lt;&gt;0, (D142/C142)*100, 0)</f>
        <v>0</v>
      </c>
      <c r="F142" s="6">
        <v>0</v>
      </c>
      <c r="G142" s="6">
        <f>B142-F142</f>
        <v>-15500</v>
      </c>
      <c r="H142" s="6">
        <f>IF(F142&lt;&gt;0, (G142/F142)*100, 0)</f>
        <v>0</v>
      </c>
    </row>
    <row r="143" spans="1:8" x14ac:dyDescent="0.3">
      <c r="A143" s="4" t="s">
        <v>49</v>
      </c>
      <c r="B143" s="6">
        <v>38107370</v>
      </c>
      <c r="C143" s="6">
        <v>0</v>
      </c>
      <c r="D143" s="6">
        <f>B143-C143</f>
        <v>38107370</v>
      </c>
      <c r="E143" s="6">
        <f>IF(C143&lt;&gt;0, (D143/C143)*100, 0)</f>
        <v>0</v>
      </c>
      <c r="F143" s="6">
        <v>43523256</v>
      </c>
      <c r="G143" s="6">
        <f>B143-F143</f>
        <v>-5415886</v>
      </c>
      <c r="H143" s="6">
        <f>IF(F143&lt;&gt;0, (G143/F143)*100, 0)</f>
        <v>-12.443660005584141</v>
      </c>
    </row>
    <row r="144" spans="1:8" x14ac:dyDescent="0.3">
      <c r="A144" s="4" t="s">
        <v>50</v>
      </c>
      <c r="B144" s="6">
        <v>99921808.799999997</v>
      </c>
      <c r="C144" s="6">
        <v>0</v>
      </c>
      <c r="D144" s="6">
        <f>B144-C144</f>
        <v>99921808.799999997</v>
      </c>
      <c r="E144" s="6">
        <f>IF(C144&lt;&gt;0, (D144/C144)*100, 0)</f>
        <v>0</v>
      </c>
      <c r="F144" s="6">
        <v>92596765.099999994</v>
      </c>
      <c r="G144" s="6">
        <f>B144-F144</f>
        <v>7325043.700000003</v>
      </c>
      <c r="H144" s="6">
        <f>IF(F144&lt;&gt;0, (G144/F144)*100, 0)</f>
        <v>7.910690715911417</v>
      </c>
    </row>
    <row r="145" spans="1:8" x14ac:dyDescent="0.3">
      <c r="A145" s="4" t="s">
        <v>51</v>
      </c>
      <c r="B145" s="6">
        <v>250807716</v>
      </c>
      <c r="C145" s="6">
        <v>0</v>
      </c>
      <c r="D145" s="6">
        <f>B145-C145</f>
        <v>250807716</v>
      </c>
      <c r="E145" s="6">
        <f>IF(C145&lt;&gt;0, (D145/C145)*100, 0)</f>
        <v>0</v>
      </c>
      <c r="F145" s="6">
        <v>259740945</v>
      </c>
      <c r="G145" s="6">
        <f>B145-F145</f>
        <v>-8933229</v>
      </c>
      <c r="H145" s="6">
        <f>IF(F145&lt;&gt;0, (G145/F145)*100, 0)</f>
        <v>-3.4392840913087461</v>
      </c>
    </row>
    <row r="146" spans="1:8" x14ac:dyDescent="0.3">
      <c r="A146" s="4" t="s">
        <v>52</v>
      </c>
      <c r="B146" s="6">
        <v>413598758.5</v>
      </c>
      <c r="C146" s="6">
        <v>0</v>
      </c>
      <c r="D146" s="6">
        <f>B146-C146</f>
        <v>413598758.5</v>
      </c>
      <c r="E146" s="6">
        <f>IF(C146&lt;&gt;0, (D146/C146)*100, 0)</f>
        <v>0</v>
      </c>
      <c r="F146" s="6">
        <v>396669348.5</v>
      </c>
      <c r="G146" s="6">
        <f>B146-F146</f>
        <v>16929410</v>
      </c>
      <c r="H146" s="6">
        <f>IF(F146&lt;&gt;0, (G146/F146)*100, 0)</f>
        <v>4.2678896325159341</v>
      </c>
    </row>
    <row r="147" spans="1:8" x14ac:dyDescent="0.3">
      <c r="A147" s="4" t="s">
        <v>53</v>
      </c>
      <c r="B147" s="6">
        <v>36528678.380000003</v>
      </c>
      <c r="C147" s="6">
        <v>0</v>
      </c>
      <c r="D147" s="6">
        <f>B147-C147</f>
        <v>36528678.380000003</v>
      </c>
      <c r="E147" s="6">
        <f>IF(C147&lt;&gt;0, (D147/C147)*100, 0)</f>
        <v>0</v>
      </c>
      <c r="F147" s="6">
        <v>39750326.380000003</v>
      </c>
      <c r="G147" s="6">
        <f>B147-F147</f>
        <v>-3221648</v>
      </c>
      <c r="H147" s="6">
        <f>IF(F147&lt;&gt;0, (G147/F147)*100, 0)</f>
        <v>-8.1047082964856898</v>
      </c>
    </row>
    <row r="148" spans="1:8" x14ac:dyDescent="0.3">
      <c r="A148" s="4" t="s">
        <v>54</v>
      </c>
      <c r="B148" s="6">
        <v>800900</v>
      </c>
      <c r="C148" s="6">
        <v>0</v>
      </c>
      <c r="D148" s="6">
        <f>B148-C148</f>
        <v>800900</v>
      </c>
      <c r="E148" s="6">
        <f>IF(C148&lt;&gt;0, (D148/C148)*100, 0)</f>
        <v>0</v>
      </c>
      <c r="F148" s="6">
        <v>1599500</v>
      </c>
      <c r="G148" s="6">
        <f>B148-F148</f>
        <v>-798600</v>
      </c>
      <c r="H148" s="6">
        <f>IF(F148&lt;&gt;0, (G148/F148)*100, 0)</f>
        <v>-49.928102532041265</v>
      </c>
    </row>
    <row r="149" spans="1:8" x14ac:dyDescent="0.3">
      <c r="A149" s="4" t="s">
        <v>55</v>
      </c>
      <c r="B149" s="6">
        <v>5016402</v>
      </c>
      <c r="C149" s="6">
        <v>0</v>
      </c>
      <c r="D149" s="6">
        <f>B149-C149</f>
        <v>5016402</v>
      </c>
      <c r="E149" s="6">
        <f>IF(C149&lt;&gt;0, (D149/C149)*100, 0)</f>
        <v>0</v>
      </c>
      <c r="F149" s="6">
        <v>9112473</v>
      </c>
      <c r="G149" s="6">
        <f>B149-F149</f>
        <v>-4096071</v>
      </c>
      <c r="H149" s="6">
        <f>IF(F149&lt;&gt;0, (G149/F149)*100, 0)</f>
        <v>-44.950157877010994</v>
      </c>
    </row>
    <row r="150" spans="1:8" x14ac:dyDescent="0.3">
      <c r="A150" s="4" t="s">
        <v>56</v>
      </c>
      <c r="B150" s="6">
        <v>11653584</v>
      </c>
      <c r="C150" s="6">
        <v>0</v>
      </c>
      <c r="D150" s="6">
        <f>B150-C150</f>
        <v>11653584</v>
      </c>
      <c r="E150" s="6">
        <f>IF(C150&lt;&gt;0, (D150/C150)*100, 0)</f>
        <v>0</v>
      </c>
      <c r="F150" s="6">
        <v>12021958</v>
      </c>
      <c r="G150" s="6">
        <f>B150-F150</f>
        <v>-368374</v>
      </c>
      <c r="H150" s="6">
        <f>IF(F150&lt;&gt;0, (G150/F150)*100, 0)</f>
        <v>-3.0641764012151764</v>
      </c>
    </row>
    <row r="151" spans="1:8" x14ac:dyDescent="0.3">
      <c r="A151" s="4" t="s">
        <v>57</v>
      </c>
      <c r="B151" s="6">
        <v>1471393</v>
      </c>
      <c r="C151" s="6">
        <v>0</v>
      </c>
      <c r="D151" s="6">
        <f>B151-C151</f>
        <v>1471393</v>
      </c>
      <c r="E151" s="6">
        <f>IF(C151&lt;&gt;0, (D151/C151)*100, 0)</f>
        <v>0</v>
      </c>
      <c r="F151" s="6">
        <v>2206500.52</v>
      </c>
      <c r="G151" s="6">
        <f>B151-F151</f>
        <v>-735107.52</v>
      </c>
      <c r="H151" s="6">
        <f>IF(F151&lt;&gt;0, (G151/F151)*100, 0)</f>
        <v>-33.315538035767148</v>
      </c>
    </row>
    <row r="152" spans="1:8" x14ac:dyDescent="0.3">
      <c r="A152" s="4" t="s">
        <v>58</v>
      </c>
      <c r="B152" s="6">
        <v>581602690.20000005</v>
      </c>
      <c r="C152" s="6">
        <v>0</v>
      </c>
      <c r="D152" s="6">
        <f>B152-C152</f>
        <v>581602690.20000005</v>
      </c>
      <c r="E152" s="6">
        <f>IF(C152&lt;&gt;0, (D152/C152)*100, 0)</f>
        <v>0</v>
      </c>
      <c r="F152" s="6">
        <v>414433021.19999999</v>
      </c>
      <c r="G152" s="6">
        <f>B152-F152</f>
        <v>167169669.00000006</v>
      </c>
      <c r="H152" s="6">
        <f>IF(F152&lt;&gt;0, (G152/F152)*100, 0)</f>
        <v>40.33695686602303</v>
      </c>
    </row>
    <row r="153" spans="1:8" x14ac:dyDescent="0.3">
      <c r="A153" s="4" t="s">
        <v>59</v>
      </c>
      <c r="B153" s="6">
        <v>23822459.91</v>
      </c>
      <c r="C153" s="6">
        <v>0</v>
      </c>
      <c r="D153" s="6">
        <f>B153-C153</f>
        <v>23822459.91</v>
      </c>
      <c r="E153" s="6">
        <f>IF(C153&lt;&gt;0, (D153/C153)*100, 0)</f>
        <v>0</v>
      </c>
      <c r="F153" s="6">
        <v>17316010</v>
      </c>
      <c r="G153" s="6">
        <f>B153-F153</f>
        <v>6506449.9100000001</v>
      </c>
      <c r="H153" s="6">
        <f>IF(F153&lt;&gt;0, (G153/F153)*100, 0)</f>
        <v>37.574764105587839</v>
      </c>
    </row>
    <row r="154" spans="1:8" x14ac:dyDescent="0.3">
      <c r="A154" s="4" t="s">
        <v>60</v>
      </c>
      <c r="B154" s="6">
        <v>56959137</v>
      </c>
      <c r="C154" s="6">
        <v>0</v>
      </c>
      <c r="D154" s="6">
        <f>B154-C154</f>
        <v>56959137</v>
      </c>
      <c r="E154" s="6">
        <f>IF(C154&lt;&gt;0, (D154/C154)*100, 0)</f>
        <v>0</v>
      </c>
      <c r="F154" s="6">
        <v>41707575</v>
      </c>
      <c r="G154" s="6">
        <f>B154-F154</f>
        <v>15251562</v>
      </c>
      <c r="H154" s="6">
        <f>IF(F154&lt;&gt;0, (G154/F154)*100, 0)</f>
        <v>36.56784648831777</v>
      </c>
    </row>
    <row r="155" spans="1:8" x14ac:dyDescent="0.3">
      <c r="A155" s="4" t="s">
        <v>61</v>
      </c>
      <c r="B155" s="6">
        <v>0</v>
      </c>
      <c r="C155" s="6">
        <v>0</v>
      </c>
      <c r="D155" s="6">
        <f>B155-C155</f>
        <v>0</v>
      </c>
      <c r="E155" s="6">
        <f>IF(C155&lt;&gt;0, (D155/C155)*100, 0)</f>
        <v>0</v>
      </c>
      <c r="F155" s="6">
        <v>0</v>
      </c>
      <c r="G155" s="6">
        <f>B155-F155</f>
        <v>0</v>
      </c>
      <c r="H155" s="6">
        <f>IF(F155&lt;&gt;0, (G155/F155)*100, 0)</f>
        <v>0</v>
      </c>
    </row>
    <row r="156" spans="1:8" x14ac:dyDescent="0.3">
      <c r="A156" s="4" t="s">
        <v>62</v>
      </c>
      <c r="B156" s="6">
        <v>614068259.29999995</v>
      </c>
      <c r="C156" s="6">
        <v>0</v>
      </c>
      <c r="D156" s="6">
        <f>B156-C156</f>
        <v>614068259.29999995</v>
      </c>
      <c r="E156" s="6">
        <f>IF(C156&lt;&gt;0, (D156/C156)*100, 0)</f>
        <v>0</v>
      </c>
      <c r="F156" s="6">
        <v>402214211.30000001</v>
      </c>
      <c r="G156" s="6">
        <f>B156-F156</f>
        <v>211854047.99999994</v>
      </c>
      <c r="H156" s="6">
        <f>IF(F156&lt;&gt;0, (G156/F156)*100, 0)</f>
        <v>52.671944960687654</v>
      </c>
    </row>
    <row r="157" spans="1:8" x14ac:dyDescent="0.3">
      <c r="A157" s="4" t="s">
        <v>75</v>
      </c>
      <c r="B157" s="6">
        <v>36598796</v>
      </c>
      <c r="C157" s="6">
        <v>0</v>
      </c>
      <c r="D157" s="6">
        <f>B157-C157</f>
        <v>36598796</v>
      </c>
      <c r="E157" s="6">
        <f>IF(C157&lt;&gt;0, (D157/C157)*100, 0)</f>
        <v>0</v>
      </c>
      <c r="F157" s="6">
        <v>22822591</v>
      </c>
      <c r="G157" s="6">
        <f>B157-F157</f>
        <v>13776205</v>
      </c>
      <c r="H157" s="6">
        <f>IF(F157&lt;&gt;0, (G157/F157)*100, 0)</f>
        <v>60.362142931098404</v>
      </c>
    </row>
    <row r="158" spans="1:8" x14ac:dyDescent="0.3">
      <c r="A158" s="4" t="s">
        <v>108</v>
      </c>
      <c r="B158" s="6">
        <v>0</v>
      </c>
      <c r="C158" s="6">
        <v>0</v>
      </c>
      <c r="D158" s="6">
        <f>B158-C158</f>
        <v>0</v>
      </c>
      <c r="E158" s="6">
        <f>IF(C158&lt;&gt;0, (D158/C158)*100, 0)</f>
        <v>0</v>
      </c>
      <c r="F158" s="6">
        <v>0</v>
      </c>
      <c r="G158" s="6">
        <f>B158-F158</f>
        <v>0</v>
      </c>
      <c r="H158" s="6">
        <f>IF(F158&lt;&gt;0, (G158/F158)*100, 0)</f>
        <v>0</v>
      </c>
    </row>
    <row r="159" spans="1:8" x14ac:dyDescent="0.3">
      <c r="A159" s="4" t="s">
        <v>109</v>
      </c>
      <c r="B159" s="6">
        <v>0</v>
      </c>
      <c r="C159" s="6">
        <v>0</v>
      </c>
      <c r="D159" s="6">
        <f>B159-C159</f>
        <v>0</v>
      </c>
      <c r="E159" s="6">
        <f>IF(C159&lt;&gt;0, (D159/C159)*100, 0)</f>
        <v>0</v>
      </c>
      <c r="F159" s="6">
        <v>0</v>
      </c>
      <c r="G159" s="6">
        <f>B159-F159</f>
        <v>0</v>
      </c>
      <c r="H159" s="6">
        <f>IF(F159&lt;&gt;0, (G159/F159)*100, 0)</f>
        <v>0</v>
      </c>
    </row>
    <row r="160" spans="1:8" x14ac:dyDescent="0.3">
      <c r="A160" s="4" t="s">
        <v>110</v>
      </c>
      <c r="B160" s="6">
        <v>0</v>
      </c>
      <c r="C160" s="6">
        <v>0</v>
      </c>
      <c r="D160" s="6">
        <f>B160-C160</f>
        <v>0</v>
      </c>
      <c r="E160" s="6">
        <f>IF(C160&lt;&gt;0, (D160/C160)*100, 0)</f>
        <v>0</v>
      </c>
      <c r="F160" s="6">
        <v>0</v>
      </c>
      <c r="G160" s="6">
        <f>B160-F160</f>
        <v>0</v>
      </c>
      <c r="H160" s="6">
        <f>IF(F160&lt;&gt;0, (G160/F160)*100, 0)</f>
        <v>0</v>
      </c>
    </row>
    <row r="161" spans="1:8" x14ac:dyDescent="0.3">
      <c r="A161" s="4" t="s">
        <v>111</v>
      </c>
      <c r="B161" s="6">
        <v>0</v>
      </c>
      <c r="C161" s="6">
        <v>0</v>
      </c>
      <c r="D161" s="6">
        <f>B161-C161</f>
        <v>0</v>
      </c>
      <c r="E161" s="6">
        <f>IF(C161&lt;&gt;0, (D161/C161)*100, 0)</f>
        <v>0</v>
      </c>
      <c r="F161" s="6">
        <v>0</v>
      </c>
      <c r="G161" s="6">
        <f>B161-F161</f>
        <v>0</v>
      </c>
      <c r="H161" s="6">
        <f>IF(F161&lt;&gt;0, (G161/F161)*100, 0)</f>
        <v>0</v>
      </c>
    </row>
    <row r="162" spans="1:8" x14ac:dyDescent="0.3">
      <c r="A162" s="4" t="s">
        <v>112</v>
      </c>
      <c r="B162" s="6">
        <v>0</v>
      </c>
      <c r="C162" s="6">
        <v>0</v>
      </c>
      <c r="D162" s="6">
        <f>B162-C162</f>
        <v>0</v>
      </c>
      <c r="E162" s="6">
        <f>IF(C162&lt;&gt;0, (D162/C162)*100, 0)</f>
        <v>0</v>
      </c>
      <c r="F162" s="6">
        <v>0</v>
      </c>
      <c r="G162" s="6">
        <f>B162-F162</f>
        <v>0</v>
      </c>
      <c r="H162" s="6">
        <f>IF(F162&lt;&gt;0, (G162/F162)*100, 0)</f>
        <v>0</v>
      </c>
    </row>
    <row r="163" spans="1:8" x14ac:dyDescent="0.3">
      <c r="A163" s="4" t="s">
        <v>113</v>
      </c>
      <c r="B163" s="6">
        <v>0</v>
      </c>
      <c r="C163" s="6">
        <v>0</v>
      </c>
      <c r="D163" s="6">
        <f>B163-C163</f>
        <v>0</v>
      </c>
      <c r="E163" s="6">
        <f>IF(C163&lt;&gt;0, (D163/C163)*100, 0)</f>
        <v>0</v>
      </c>
      <c r="F163" s="6">
        <v>0</v>
      </c>
      <c r="G163" s="6">
        <f>B163-F163</f>
        <v>0</v>
      </c>
      <c r="H163" s="6">
        <f>IF(F163&lt;&gt;0, (G163/F163)*100, 0)</f>
        <v>0</v>
      </c>
    </row>
    <row r="164" spans="1:8" x14ac:dyDescent="0.3">
      <c r="A164" s="4" t="s">
        <v>114</v>
      </c>
      <c r="B164" s="6">
        <v>0</v>
      </c>
      <c r="C164" s="6">
        <v>0</v>
      </c>
      <c r="D164" s="6">
        <f>B164-C164</f>
        <v>0</v>
      </c>
      <c r="E164" s="6">
        <f>IF(C164&lt;&gt;0, (D164/C164)*100, 0)</f>
        <v>0</v>
      </c>
      <c r="F164" s="6">
        <v>0</v>
      </c>
      <c r="G164" s="6">
        <f>B164-F164</f>
        <v>0</v>
      </c>
      <c r="H164" s="6">
        <f>IF(F164&lt;&gt;0, (G164/F164)*100, 0)</f>
        <v>0</v>
      </c>
    </row>
    <row r="165" spans="1:8" x14ac:dyDescent="0.3">
      <c r="A165" s="4" t="s">
        <v>115</v>
      </c>
      <c r="B165" s="6">
        <v>0</v>
      </c>
      <c r="C165" s="6">
        <v>0</v>
      </c>
      <c r="D165" s="6">
        <f>B165-C165</f>
        <v>0</v>
      </c>
      <c r="E165" s="6">
        <f>IF(C165&lt;&gt;0, (D165/C165)*100, 0)</f>
        <v>0</v>
      </c>
      <c r="F165" s="6">
        <v>0</v>
      </c>
      <c r="G165" s="6">
        <f>B165-F165</f>
        <v>0</v>
      </c>
      <c r="H165" s="6">
        <f>IF(F165&lt;&gt;0, (G165/F165)*100, 0)</f>
        <v>0</v>
      </c>
    </row>
    <row r="166" spans="1:8" x14ac:dyDescent="0.3">
      <c r="A166" s="4" t="s">
        <v>71</v>
      </c>
      <c r="B166" s="6">
        <v>1055000</v>
      </c>
      <c r="C166" s="6">
        <v>0</v>
      </c>
      <c r="D166" s="6">
        <f>B166-C166</f>
        <v>1055000</v>
      </c>
      <c r="E166" s="6">
        <f>IF(C166&lt;&gt;0, (D166/C166)*100, 0)</f>
        <v>0</v>
      </c>
      <c r="F166" s="6">
        <v>1055000</v>
      </c>
      <c r="G166" s="6">
        <f>B166-F166</f>
        <v>0</v>
      </c>
      <c r="H166" s="6">
        <f>IF(F166&lt;&gt;0, (G166/F166)*100, 0)</f>
        <v>0</v>
      </c>
    </row>
    <row r="167" spans="1:8" x14ac:dyDescent="0.3">
      <c r="A167" s="4" t="s">
        <v>116</v>
      </c>
      <c r="B167" s="6">
        <v>16000</v>
      </c>
      <c r="C167" s="6">
        <v>0</v>
      </c>
      <c r="D167" s="6">
        <f>B167-C167</f>
        <v>16000</v>
      </c>
      <c r="E167" s="6">
        <f>IF(C167&lt;&gt;0, (D167/C167)*100, 0)</f>
        <v>0</v>
      </c>
      <c r="F167" s="6">
        <v>16000</v>
      </c>
      <c r="G167" s="6">
        <f>B167-F167</f>
        <v>0</v>
      </c>
      <c r="H167" s="6">
        <f>IF(F167&lt;&gt;0, (G167/F167)*100, 0)</f>
        <v>0</v>
      </c>
    </row>
    <row r="168" spans="1:8" x14ac:dyDescent="0.3">
      <c r="A168" s="4" t="s">
        <v>73</v>
      </c>
      <c r="B168" s="6">
        <v>2250000</v>
      </c>
      <c r="C168" s="6">
        <v>0</v>
      </c>
      <c r="D168" s="6">
        <f>B168-C168</f>
        <v>2250000</v>
      </c>
      <c r="E168" s="6">
        <f>IF(C168&lt;&gt;0, (D168/C168)*100, 0)</f>
        <v>0</v>
      </c>
      <c r="F168" s="6">
        <v>2250000</v>
      </c>
      <c r="G168" s="6">
        <f>B168-F168</f>
        <v>0</v>
      </c>
      <c r="H168" s="6">
        <f>IF(F168&lt;&gt;0, (G168/F168)*100, 0)</f>
        <v>0</v>
      </c>
    </row>
    <row r="169" spans="1:8" x14ac:dyDescent="0.3">
      <c r="A169" s="4" t="s">
        <v>74</v>
      </c>
      <c r="B169" s="6">
        <v>0</v>
      </c>
      <c r="C169" s="6">
        <v>0</v>
      </c>
      <c r="D169" s="6">
        <f>B169-C169</f>
        <v>0</v>
      </c>
      <c r="E169" s="6">
        <f>IF(C169&lt;&gt;0, (D169/C169)*100, 0)</f>
        <v>0</v>
      </c>
      <c r="F169" s="6">
        <v>0</v>
      </c>
      <c r="G169" s="6">
        <f>B169-F169</f>
        <v>0</v>
      </c>
      <c r="H169" s="6">
        <f>IF(F169&lt;&gt;0, (G169/F169)*100, 0)</f>
        <v>0</v>
      </c>
    </row>
    <row r="170" spans="1:8" x14ac:dyDescent="0.3">
      <c r="A170" s="4" t="s">
        <v>76</v>
      </c>
      <c r="B170" s="6">
        <v>400000.04</v>
      </c>
      <c r="C170" s="6">
        <v>0</v>
      </c>
      <c r="D170" s="6">
        <f>B170-C170</f>
        <v>400000.04</v>
      </c>
      <c r="E170" s="6">
        <f>IF(C170&lt;&gt;0, (D170/C170)*100, 0)</f>
        <v>0</v>
      </c>
      <c r="F170" s="6">
        <v>363636.4</v>
      </c>
      <c r="G170" s="6">
        <f>B170-F170</f>
        <v>36363.639999999956</v>
      </c>
      <c r="H170" s="6">
        <f>IF(F170&lt;&gt;0, (G170/F170)*100, 0)</f>
        <v>9.9999999999999858</v>
      </c>
    </row>
    <row r="171" spans="1:8" x14ac:dyDescent="0.3">
      <c r="A171" s="4" t="s">
        <v>117</v>
      </c>
      <c r="B171" s="6">
        <v>10047800</v>
      </c>
      <c r="C171" s="6">
        <v>0</v>
      </c>
      <c r="D171" s="6">
        <f>B171-C171</f>
        <v>10047800</v>
      </c>
      <c r="E171" s="6">
        <f>IF(C171&lt;&gt;0, (D171/C171)*100, 0)</f>
        <v>0</v>
      </c>
      <c r="F171" s="6">
        <v>5975770</v>
      </c>
      <c r="G171" s="6">
        <f>B171-F171</f>
        <v>4072030</v>
      </c>
      <c r="H171" s="6">
        <f>IF(F171&lt;&gt;0, (G171/F171)*100, 0)</f>
        <v>68.142348182744655</v>
      </c>
    </row>
    <row r="172" spans="1:8" x14ac:dyDescent="0.3">
      <c r="A172" s="4" t="s">
        <v>78</v>
      </c>
      <c r="B172" s="6">
        <v>5344416.22</v>
      </c>
      <c r="C172" s="6">
        <v>0</v>
      </c>
      <c r="D172" s="6">
        <f>B172-C172</f>
        <v>5344416.22</v>
      </c>
      <c r="E172" s="6">
        <f>IF(C172&lt;&gt;0, (D172/C172)*100, 0)</f>
        <v>0</v>
      </c>
      <c r="F172" s="6">
        <v>3232600</v>
      </c>
      <c r="G172" s="6">
        <f>B172-F172</f>
        <v>2111816.2199999997</v>
      </c>
      <c r="H172" s="6">
        <f>IF(F172&lt;&gt;0, (G172/F172)*100, 0)</f>
        <v>65.328720534554222</v>
      </c>
    </row>
    <row r="173" spans="1:8" x14ac:dyDescent="0.3">
      <c r="A173" s="4" t="s">
        <v>79</v>
      </c>
      <c r="B173" s="6">
        <v>7236100</v>
      </c>
      <c r="C173" s="6">
        <v>0</v>
      </c>
      <c r="D173" s="6">
        <f>B173-C173</f>
        <v>7236100</v>
      </c>
      <c r="E173" s="6">
        <f>IF(C173&lt;&gt;0, (D173/C173)*100, 0)</f>
        <v>0</v>
      </c>
      <c r="F173" s="6">
        <v>3713200</v>
      </c>
      <c r="G173" s="6">
        <f>B173-F173</f>
        <v>3522900</v>
      </c>
      <c r="H173" s="6">
        <f>IF(F173&lt;&gt;0, (G173/F173)*100, 0)</f>
        <v>94.875040396423572</v>
      </c>
    </row>
    <row r="174" spans="1:8" x14ac:dyDescent="0.3">
      <c r="A174" s="4" t="s">
        <v>80</v>
      </c>
      <c r="B174" s="6">
        <v>1227000</v>
      </c>
      <c r="C174" s="6">
        <v>0</v>
      </c>
      <c r="D174" s="6">
        <f>B174-C174</f>
        <v>1227000</v>
      </c>
      <c r="E174" s="6">
        <f>IF(C174&lt;&gt;0, (D174/C174)*100, 0)</f>
        <v>0</v>
      </c>
      <c r="F174" s="6">
        <v>1149290</v>
      </c>
      <c r="G174" s="6">
        <f>B174-F174</f>
        <v>77710</v>
      </c>
      <c r="H174" s="6">
        <f>IF(F174&lt;&gt;0, (G174/F174)*100, 0)</f>
        <v>6.7615658362989333</v>
      </c>
    </row>
    <row r="175" spans="1:8" x14ac:dyDescent="0.3">
      <c r="A175" s="4" t="s">
        <v>81</v>
      </c>
      <c r="B175" s="6">
        <v>561950</v>
      </c>
      <c r="C175" s="6">
        <v>0</v>
      </c>
      <c r="D175" s="6">
        <f>B175-C175</f>
        <v>561950</v>
      </c>
      <c r="E175" s="6">
        <f>IF(C175&lt;&gt;0, (D175/C175)*100, 0)</f>
        <v>0</v>
      </c>
      <c r="F175" s="6">
        <v>561950</v>
      </c>
      <c r="G175" s="6">
        <f>B175-F175</f>
        <v>0</v>
      </c>
      <c r="H175" s="6">
        <f>IF(F175&lt;&gt;0, (G175/F175)*100, 0)</f>
        <v>0</v>
      </c>
    </row>
    <row r="176" spans="1:8" x14ac:dyDescent="0.3">
      <c r="A176" s="4" t="s">
        <v>7</v>
      </c>
      <c r="B176" s="6">
        <v>1900000</v>
      </c>
      <c r="C176" s="6">
        <v>0</v>
      </c>
      <c r="D176" s="6">
        <f>B176-C176</f>
        <v>1900000</v>
      </c>
      <c r="E176" s="6">
        <f>IF(C176&lt;&gt;0, (D176/C176)*100, 0)</f>
        <v>0</v>
      </c>
      <c r="F176" s="6">
        <v>1900000</v>
      </c>
      <c r="G176" s="6">
        <f>B176-F176</f>
        <v>0</v>
      </c>
      <c r="H176" s="6">
        <f>IF(F176&lt;&gt;0, (G176/F176)*100, 0)</f>
        <v>0</v>
      </c>
    </row>
    <row r="177" spans="1:8" x14ac:dyDescent="0.3">
      <c r="A177" s="4" t="s">
        <v>82</v>
      </c>
      <c r="B177" s="6">
        <v>465600</v>
      </c>
      <c r="C177" s="6">
        <v>0</v>
      </c>
      <c r="D177" s="6">
        <f>B177-C177</f>
        <v>465600</v>
      </c>
      <c r="E177" s="6">
        <f>IF(C177&lt;&gt;0, (D177/C177)*100, 0)</f>
        <v>0</v>
      </c>
      <c r="F177" s="6">
        <v>465600</v>
      </c>
      <c r="G177" s="6">
        <f>B177-F177</f>
        <v>0</v>
      </c>
      <c r="H177" s="6">
        <f>IF(F177&lt;&gt;0, (G177/F177)*100, 0)</f>
        <v>0</v>
      </c>
    </row>
    <row r="178" spans="1:8" x14ac:dyDescent="0.3">
      <c r="A178" s="4" t="s">
        <v>83</v>
      </c>
      <c r="B178" s="6">
        <v>147400</v>
      </c>
      <c r="C178" s="6">
        <v>0</v>
      </c>
      <c r="D178" s="6">
        <f>B178-C178</f>
        <v>147400</v>
      </c>
      <c r="E178" s="6">
        <f>IF(C178&lt;&gt;0, (D178/C178)*100, 0)</f>
        <v>0</v>
      </c>
      <c r="F178" s="6">
        <v>147400</v>
      </c>
      <c r="G178" s="6">
        <f>B178-F178</f>
        <v>0</v>
      </c>
      <c r="H178" s="6">
        <f>IF(F178&lt;&gt;0, (G178/F178)*100, 0)</f>
        <v>0</v>
      </c>
    </row>
    <row r="179" spans="1:8" x14ac:dyDescent="0.3">
      <c r="A179" s="4" t="s">
        <v>84</v>
      </c>
      <c r="B179" s="6">
        <v>657658748.76999998</v>
      </c>
      <c r="C179" s="6">
        <v>0</v>
      </c>
      <c r="D179" s="6">
        <f>B179-C179</f>
        <v>657658748.76999998</v>
      </c>
      <c r="E179" s="6">
        <f>IF(C179&lt;&gt;0, (D179/C179)*100, 0)</f>
        <v>0</v>
      </c>
      <c r="F179" s="6">
        <v>317946738.45999998</v>
      </c>
      <c r="G179" s="6">
        <f>B179-F179</f>
        <v>339712010.31</v>
      </c>
      <c r="H179" s="6">
        <f>IF(F179&lt;&gt;0, (G179/F179)*100, 0)</f>
        <v>106.84557166883417</v>
      </c>
    </row>
    <row r="180" spans="1:8" x14ac:dyDescent="0.3">
      <c r="A180" s="4" t="s">
        <v>85</v>
      </c>
      <c r="B180" s="6">
        <v>2445000</v>
      </c>
      <c r="C180" s="6">
        <v>0</v>
      </c>
      <c r="D180" s="6">
        <f>B180-C180</f>
        <v>2445000</v>
      </c>
      <c r="E180" s="6">
        <f>IF(C180&lt;&gt;0, (D180/C180)*100, 0)</f>
        <v>0</v>
      </c>
      <c r="F180" s="6">
        <v>1203000</v>
      </c>
      <c r="G180" s="6">
        <f>B180-F180</f>
        <v>1242000</v>
      </c>
      <c r="H180" s="6">
        <f>IF(F180&lt;&gt;0, (G180/F180)*100, 0)</f>
        <v>103.2418952618454</v>
      </c>
    </row>
    <row r="181" spans="1:8" x14ac:dyDescent="0.3">
      <c r="A181" s="4" t="s">
        <v>69</v>
      </c>
      <c r="B181" s="6">
        <v>2575000</v>
      </c>
      <c r="C181" s="6">
        <v>0</v>
      </c>
      <c r="D181" s="6">
        <f>B181-C181</f>
        <v>2575000</v>
      </c>
      <c r="E181" s="6">
        <f>IF(C181&lt;&gt;0, (D181/C181)*100, 0)</f>
        <v>0</v>
      </c>
      <c r="F181" s="6">
        <v>2570500</v>
      </c>
      <c r="G181" s="6">
        <f>B181-F181</f>
        <v>4500</v>
      </c>
      <c r="H181" s="6">
        <f>IF(F181&lt;&gt;0, (G181/F181)*100, 0)</f>
        <v>0.17506321727290408</v>
      </c>
    </row>
    <row r="182" spans="1:8" x14ac:dyDescent="0.3">
      <c r="A182" s="4" t="s">
        <v>86</v>
      </c>
      <c r="B182" s="6">
        <v>310500</v>
      </c>
      <c r="C182" s="6">
        <v>0</v>
      </c>
      <c r="D182" s="6">
        <f>B182-C182</f>
        <v>310500</v>
      </c>
      <c r="E182" s="6">
        <f>IF(C182&lt;&gt;0, (D182/C182)*100, 0)</f>
        <v>0</v>
      </c>
      <c r="F182" s="6">
        <v>310500</v>
      </c>
      <c r="G182" s="6">
        <f>B182-F182</f>
        <v>0</v>
      </c>
      <c r="H182" s="6">
        <f>IF(F182&lt;&gt;0, (G182/F182)*100, 0)</f>
        <v>0</v>
      </c>
    </row>
    <row r="183" spans="1:8" x14ac:dyDescent="0.3">
      <c r="A183" s="4" t="s">
        <v>87</v>
      </c>
      <c r="B183" s="6">
        <v>355000</v>
      </c>
      <c r="C183" s="6">
        <v>0</v>
      </c>
      <c r="D183" s="6">
        <f>B183-C183</f>
        <v>355000</v>
      </c>
      <c r="E183" s="6">
        <f>IF(C183&lt;&gt;0, (D183/C183)*100, 0)</f>
        <v>0</v>
      </c>
      <c r="F183" s="6">
        <v>355000</v>
      </c>
      <c r="G183" s="6">
        <f>B183-F183</f>
        <v>0</v>
      </c>
      <c r="H183" s="6">
        <f>IF(F183&lt;&gt;0, (G183/F183)*100, 0)</f>
        <v>0</v>
      </c>
    </row>
    <row r="184" spans="1:8" x14ac:dyDescent="0.3">
      <c r="A184" s="4" t="s">
        <v>88</v>
      </c>
      <c r="B184" s="6">
        <v>301600</v>
      </c>
      <c r="C184" s="6">
        <v>0</v>
      </c>
      <c r="D184" s="6">
        <f>B184-C184</f>
        <v>301600</v>
      </c>
      <c r="E184" s="6">
        <f>IF(C184&lt;&gt;0, (D184/C184)*100, 0)</f>
        <v>0</v>
      </c>
      <c r="F184" s="6">
        <v>301600</v>
      </c>
      <c r="G184" s="6">
        <f>B184-F184</f>
        <v>0</v>
      </c>
      <c r="H184" s="6">
        <f>IF(F184&lt;&gt;0, (G184/F184)*100, 0)</f>
        <v>0</v>
      </c>
    </row>
    <row r="185" spans="1:8" x14ac:dyDescent="0.3">
      <c r="A185" s="4" t="s">
        <v>89</v>
      </c>
      <c r="B185" s="6">
        <v>1916179.92</v>
      </c>
      <c r="C185" s="6">
        <v>0</v>
      </c>
      <c r="D185" s="6">
        <f>B185-C185</f>
        <v>1916179.92</v>
      </c>
      <c r="E185" s="6">
        <f>IF(C185&lt;&gt;0, (D185/C185)*100, 0)</f>
        <v>0</v>
      </c>
      <c r="F185" s="6">
        <v>175974</v>
      </c>
      <c r="G185" s="6">
        <f>B185-F185</f>
        <v>1740205.92</v>
      </c>
      <c r="H185" s="6">
        <f>IF(F185&lt;&gt;0, (G185/F185)*100, 0)</f>
        <v>988.89945105526954</v>
      </c>
    </row>
    <row r="186" spans="1:8" x14ac:dyDescent="0.3">
      <c r="A186" s="4" t="s">
        <v>118</v>
      </c>
      <c r="B186" s="6">
        <v>3645000</v>
      </c>
      <c r="C186" s="6">
        <v>0</v>
      </c>
      <c r="D186" s="6">
        <f>B186-C186</f>
        <v>3645000</v>
      </c>
      <c r="E186" s="6">
        <f>IF(C186&lt;&gt;0, (D186/C186)*100, 0)</f>
        <v>0</v>
      </c>
      <c r="F186" s="6">
        <v>1500000</v>
      </c>
      <c r="G186" s="6">
        <f>B186-F186</f>
        <v>2145000</v>
      </c>
      <c r="H186" s="6">
        <f>IF(F186&lt;&gt;0, (G186/F186)*100, 0)</f>
        <v>143</v>
      </c>
    </row>
    <row r="187" spans="1:8" x14ac:dyDescent="0.3">
      <c r="A187" s="4" t="s">
        <v>91</v>
      </c>
      <c r="B187" s="6">
        <v>3634000</v>
      </c>
      <c r="C187" s="6">
        <v>0</v>
      </c>
      <c r="D187" s="6">
        <f>B187-C187</f>
        <v>3634000</v>
      </c>
      <c r="E187" s="6">
        <f>IF(C187&lt;&gt;0, (D187/C187)*100, 0)</f>
        <v>0</v>
      </c>
      <c r="F187" s="6">
        <v>1049000</v>
      </c>
      <c r="G187" s="6">
        <f>B187-F187</f>
        <v>2585000</v>
      </c>
      <c r="H187" s="6">
        <f>IF(F187&lt;&gt;0, (G187/F187)*100, 0)</f>
        <v>246.42516682554816</v>
      </c>
    </row>
    <row r="188" spans="1:8" x14ac:dyDescent="0.3">
      <c r="A188" s="4" t="s">
        <v>92</v>
      </c>
      <c r="B188" s="6">
        <v>800000</v>
      </c>
      <c r="C188" s="6">
        <v>0</v>
      </c>
      <c r="D188" s="6">
        <f>B188-C188</f>
        <v>800000</v>
      </c>
      <c r="E188" s="6">
        <f>IF(C188&lt;&gt;0, (D188/C188)*100, 0)</f>
        <v>0</v>
      </c>
      <c r="F188" s="6">
        <v>800000</v>
      </c>
      <c r="G188" s="6">
        <f>B188-F188</f>
        <v>0</v>
      </c>
      <c r="H188" s="6">
        <f>IF(F188&lt;&gt;0, (G188/F188)*100, 0)</f>
        <v>0</v>
      </c>
    </row>
    <row r="189" spans="1:8" x14ac:dyDescent="0.3">
      <c r="A189" s="4" t="s">
        <v>93</v>
      </c>
      <c r="B189" s="6">
        <v>290000</v>
      </c>
      <c r="C189" s="6">
        <v>0</v>
      </c>
      <c r="D189" s="6">
        <f>B189-C189</f>
        <v>290000</v>
      </c>
      <c r="E189" s="6">
        <f>IF(C189&lt;&gt;0, (D189/C189)*100, 0)</f>
        <v>0</v>
      </c>
      <c r="F189" s="6">
        <v>290000</v>
      </c>
      <c r="G189" s="6">
        <f>B189-F189</f>
        <v>0</v>
      </c>
      <c r="H189" s="6">
        <f>IF(F189&lt;&gt;0, (G189/F189)*100, 0)</f>
        <v>0</v>
      </c>
    </row>
    <row r="190" spans="1:8" x14ac:dyDescent="0.3">
      <c r="A190" s="4" t="s">
        <v>94</v>
      </c>
      <c r="B190" s="6">
        <v>280000</v>
      </c>
      <c r="C190" s="6">
        <v>0</v>
      </c>
      <c r="D190" s="6">
        <f>B190-C190</f>
        <v>280000</v>
      </c>
      <c r="E190" s="6">
        <f>IF(C190&lt;&gt;0, (D190/C190)*100, 0)</f>
        <v>0</v>
      </c>
      <c r="F190" s="6">
        <v>112000</v>
      </c>
      <c r="G190" s="6">
        <f>B190-F190</f>
        <v>168000</v>
      </c>
      <c r="H190" s="6">
        <f>IF(F190&lt;&gt;0, (G190/F190)*100, 0)</f>
        <v>150</v>
      </c>
    </row>
    <row r="191" spans="1:8" x14ac:dyDescent="0.3">
      <c r="A191" s="4" t="s">
        <v>95</v>
      </c>
      <c r="B191" s="6">
        <v>566500</v>
      </c>
      <c r="C191" s="6">
        <v>0</v>
      </c>
      <c r="D191" s="6">
        <f>B191-C191</f>
        <v>566500</v>
      </c>
      <c r="E191" s="6">
        <f>IF(C191&lt;&gt;0, (D191/C191)*100, 0)</f>
        <v>0</v>
      </c>
      <c r="F191" s="6">
        <v>346500</v>
      </c>
      <c r="G191" s="6">
        <f>B191-F191</f>
        <v>220000</v>
      </c>
      <c r="H191" s="6">
        <f>IF(F191&lt;&gt;0, (G191/F191)*100, 0)</f>
        <v>63.492063492063487</v>
      </c>
    </row>
    <row r="192" spans="1:8" x14ac:dyDescent="0.3">
      <c r="A192" s="4" t="s">
        <v>96</v>
      </c>
      <c r="B192" s="6">
        <v>616000</v>
      </c>
      <c r="C192" s="6">
        <v>0</v>
      </c>
      <c r="D192" s="6">
        <f>B192-C192</f>
        <v>616000</v>
      </c>
      <c r="E192" s="6">
        <f>IF(C192&lt;&gt;0, (D192/C192)*100, 0)</f>
        <v>0</v>
      </c>
      <c r="F192" s="6">
        <v>192500</v>
      </c>
      <c r="G192" s="6">
        <f>B192-F192</f>
        <v>423500</v>
      </c>
      <c r="H192" s="6">
        <f>IF(F192&lt;&gt;0, (G192/F192)*100, 0)</f>
        <v>220.00000000000003</v>
      </c>
    </row>
    <row r="193" spans="1:8" x14ac:dyDescent="0.3">
      <c r="A193" s="4" t="s">
        <v>97</v>
      </c>
      <c r="B193" s="6">
        <v>22443651.620000001</v>
      </c>
      <c r="C193" s="6">
        <v>0</v>
      </c>
      <c r="D193" s="6">
        <f>B193-C193</f>
        <v>22443651.620000001</v>
      </c>
      <c r="E193" s="6">
        <f>IF(C193&lt;&gt;0, (D193/C193)*100, 0)</f>
        <v>0</v>
      </c>
      <c r="F193" s="6">
        <v>0</v>
      </c>
      <c r="G193" s="6">
        <f>B193-F193</f>
        <v>22443651.620000001</v>
      </c>
      <c r="H193" s="6">
        <f>IF(F193&lt;&gt;0, (G193/F193)*100, 0)</f>
        <v>0</v>
      </c>
    </row>
    <row r="194" spans="1:8" customFormat="1" ht="14.5" x14ac:dyDescent="0.35">
      <c r="A194" s="7"/>
      <c r="B194" s="9"/>
      <c r="C194" s="9"/>
      <c r="D194" s="9"/>
      <c r="E194" s="8"/>
      <c r="F194" s="9"/>
      <c r="G194" s="9"/>
      <c r="H194" s="8"/>
    </row>
    <row r="195" spans="1:8" x14ac:dyDescent="0.3">
      <c r="A195" s="4" t="s">
        <v>119</v>
      </c>
      <c r="B195" s="6">
        <f>ROUND(SUBTOTAL(9, B100:B194), 5)</f>
        <v>6713626954.8900003</v>
      </c>
      <c r="C195" s="6">
        <f>ROUND(SUBTOTAL(9, C100:C194), 5)</f>
        <v>0</v>
      </c>
      <c r="D195" s="6">
        <f>B195-C195</f>
        <v>6713626954.8900003</v>
      </c>
      <c r="E195" s="6">
        <f>IF(C195&lt;&gt;0, (D195/C195)*100, 0)</f>
        <v>0</v>
      </c>
      <c r="F195" s="6">
        <f>ROUND(SUBTOTAL(9, F100:F194), 5)</f>
        <v>5600403433.7399998</v>
      </c>
      <c r="G195" s="6">
        <f>B195-F195</f>
        <v>1113223521.1500006</v>
      </c>
      <c r="H195" s="6">
        <f>IF(F195&lt;&gt;0, (G195/F195)*100, 0)</f>
        <v>19.877559435152691</v>
      </c>
    </row>
    <row r="196" spans="1:8" customFormat="1" ht="14.5" x14ac:dyDescent="0.35">
      <c r="A196" s="7"/>
      <c r="B196" s="9"/>
      <c r="C196" s="9"/>
      <c r="D196" s="9"/>
      <c r="E196" s="8"/>
      <c r="F196" s="9"/>
      <c r="G196" s="9"/>
      <c r="H196" s="8"/>
    </row>
    <row r="197" spans="1:8" x14ac:dyDescent="0.3">
      <c r="A197" s="4" t="s">
        <v>120</v>
      </c>
      <c r="B197" s="6">
        <f>-(ROUND(-B98+B195, 5))</f>
        <v>1407879761.6900001</v>
      </c>
      <c r="C197" s="6">
        <f>-(ROUND(-C98+C195, 5))</f>
        <v>0</v>
      </c>
      <c r="D197" s="6">
        <f>B197-C197</f>
        <v>1407879761.6900001</v>
      </c>
      <c r="E197" s="6">
        <f>IF(C197&lt;&gt;0, (D197/C197)*100, 0)</f>
        <v>0</v>
      </c>
      <c r="F197" s="6">
        <f>-(ROUND(-F98+F195, 5))</f>
        <v>1151559344.8</v>
      </c>
      <c r="G197" s="6">
        <f>B197-F197</f>
        <v>256320416.8900001</v>
      </c>
      <c r="H197" s="6">
        <f>IF(F197&lt;&gt;0, (G197/F197)*100, 0)</f>
        <v>22.258550377576693</v>
      </c>
    </row>
    <row r="198" spans="1:8" customFormat="1" ht="14.5" x14ac:dyDescent="0.35">
      <c r="A198" s="7"/>
      <c r="B198" s="9"/>
      <c r="C198" s="9"/>
      <c r="D198" s="9"/>
      <c r="E198" s="8"/>
      <c r="F198" s="9"/>
      <c r="G198" s="9"/>
      <c r="H198" s="8"/>
    </row>
    <row r="199" spans="1:8" x14ac:dyDescent="0.3">
      <c r="A199" s="4" t="s">
        <v>121</v>
      </c>
    </row>
    <row r="200" spans="1:8" x14ac:dyDescent="0.3">
      <c r="A200" s="4" t="s">
        <v>122</v>
      </c>
      <c r="B200" s="6">
        <v>0</v>
      </c>
      <c r="C200" s="6">
        <v>0</v>
      </c>
      <c r="D200" s="6">
        <f>B200-C200</f>
        <v>0</v>
      </c>
      <c r="E200" s="6">
        <f>IF(C200&lt;&gt;0, (D200/C200)*100, 0)</f>
        <v>0</v>
      </c>
      <c r="F200" s="6">
        <v>0</v>
      </c>
      <c r="G200" s="6">
        <f>B200-F200</f>
        <v>0</v>
      </c>
      <c r="H200" s="6">
        <f>IF(F200&lt;&gt;0, (G200/F200)*100, 0)</f>
        <v>0</v>
      </c>
    </row>
    <row r="201" spans="1:8" x14ac:dyDescent="0.3">
      <c r="A201" s="4" t="s">
        <v>123</v>
      </c>
      <c r="B201" s="6">
        <v>6515200</v>
      </c>
      <c r="C201" s="6">
        <v>0</v>
      </c>
      <c r="D201" s="6">
        <f>B201-C201</f>
        <v>6515200</v>
      </c>
      <c r="E201" s="6">
        <f>IF(C201&lt;&gt;0, (D201/C201)*100, 0)</f>
        <v>0</v>
      </c>
      <c r="F201" s="6">
        <v>6535200</v>
      </c>
      <c r="G201" s="6">
        <f>B201-F201</f>
        <v>-20000</v>
      </c>
      <c r="H201" s="6">
        <f>IF(F201&lt;&gt;0, (G201/F201)*100, 0)</f>
        <v>-0.30603501040519038</v>
      </c>
    </row>
    <row r="202" spans="1:8" x14ac:dyDescent="0.3">
      <c r="A202" s="4" t="s">
        <v>124</v>
      </c>
      <c r="B202" s="6">
        <v>2358650</v>
      </c>
      <c r="C202" s="6">
        <v>0</v>
      </c>
      <c r="D202" s="6">
        <f>B202-C202</f>
        <v>2358650</v>
      </c>
      <c r="E202" s="6">
        <f>IF(C202&lt;&gt;0, (D202/C202)*100, 0)</f>
        <v>0</v>
      </c>
      <c r="F202" s="6">
        <v>1110000</v>
      </c>
      <c r="G202" s="6">
        <f>B202-F202</f>
        <v>1248650</v>
      </c>
      <c r="H202" s="6">
        <f>IF(F202&lt;&gt;0, (G202/F202)*100, 0)</f>
        <v>112.49099099099098</v>
      </c>
    </row>
    <row r="203" spans="1:8" x14ac:dyDescent="0.3">
      <c r="A203" s="4" t="s">
        <v>125</v>
      </c>
      <c r="B203" s="6">
        <v>0</v>
      </c>
      <c r="C203" s="6">
        <v>0</v>
      </c>
      <c r="D203" s="6">
        <f>B203-C203</f>
        <v>0</v>
      </c>
      <c r="E203" s="6">
        <f>IF(C203&lt;&gt;0, (D203/C203)*100, 0)</f>
        <v>0</v>
      </c>
      <c r="F203" s="6">
        <v>0</v>
      </c>
      <c r="G203" s="6">
        <f>B203-F203</f>
        <v>0</v>
      </c>
      <c r="H203" s="6">
        <f>IF(F203&lt;&gt;0, (G203/F203)*100, 0)</f>
        <v>0</v>
      </c>
    </row>
    <row r="204" spans="1:8" x14ac:dyDescent="0.3">
      <c r="A204" s="4" t="s">
        <v>126</v>
      </c>
      <c r="B204" s="6">
        <v>0</v>
      </c>
      <c r="C204" s="6">
        <v>0</v>
      </c>
      <c r="D204" s="6">
        <f>B204-C204</f>
        <v>0</v>
      </c>
      <c r="E204" s="6">
        <f>IF(C204&lt;&gt;0, (D204/C204)*100, 0)</f>
        <v>0</v>
      </c>
      <c r="F204" s="6">
        <v>0</v>
      </c>
      <c r="G204" s="6">
        <f>B204-F204</f>
        <v>0</v>
      </c>
      <c r="H204" s="6">
        <f>IF(F204&lt;&gt;0, (G204/F204)*100, 0)</f>
        <v>0</v>
      </c>
    </row>
    <row r="205" spans="1:8" x14ac:dyDescent="0.3">
      <c r="A205" s="4" t="s">
        <v>127</v>
      </c>
      <c r="B205" s="6">
        <v>27978050</v>
      </c>
      <c r="C205" s="6">
        <v>0</v>
      </c>
      <c r="D205" s="6">
        <f>B205-C205</f>
        <v>27978050</v>
      </c>
      <c r="E205" s="6">
        <f>IF(C205&lt;&gt;0, (D205/C205)*100, 0)</f>
        <v>0</v>
      </c>
      <c r="F205" s="6">
        <v>25583830</v>
      </c>
      <c r="G205" s="6">
        <f>B205-F205</f>
        <v>2394220</v>
      </c>
      <c r="H205" s="6">
        <f>IF(F205&lt;&gt;0, (G205/F205)*100, 0)</f>
        <v>9.3583329782913651</v>
      </c>
    </row>
    <row r="206" spans="1:8" x14ac:dyDescent="0.3">
      <c r="A206" s="4" t="s">
        <v>128</v>
      </c>
      <c r="B206" s="6">
        <v>5154035</v>
      </c>
      <c r="C206" s="6">
        <v>0</v>
      </c>
      <c r="D206" s="6">
        <f>B206-C206</f>
        <v>5154035</v>
      </c>
      <c r="E206" s="6">
        <f>IF(C206&lt;&gt;0, (D206/C206)*100, 0)</f>
        <v>0</v>
      </c>
      <c r="F206" s="6">
        <v>4732535</v>
      </c>
      <c r="G206" s="6">
        <f>B206-F206</f>
        <v>421500</v>
      </c>
      <c r="H206" s="6">
        <f>IF(F206&lt;&gt;0, (G206/F206)*100, 0)</f>
        <v>8.9064317538063644</v>
      </c>
    </row>
    <row r="207" spans="1:8" x14ac:dyDescent="0.3">
      <c r="A207" s="4" t="s">
        <v>129</v>
      </c>
      <c r="B207" s="6">
        <v>0</v>
      </c>
      <c r="C207" s="6">
        <v>0</v>
      </c>
      <c r="D207" s="6">
        <f>B207-C207</f>
        <v>0</v>
      </c>
      <c r="E207" s="6">
        <f>IF(C207&lt;&gt;0, (D207/C207)*100, 0)</f>
        <v>0</v>
      </c>
      <c r="F207" s="6">
        <v>0</v>
      </c>
      <c r="G207" s="6">
        <f>B207-F207</f>
        <v>0</v>
      </c>
      <c r="H207" s="6">
        <f>IF(F207&lt;&gt;0, (G207/F207)*100, 0)</f>
        <v>0</v>
      </c>
    </row>
    <row r="208" spans="1:8" x14ac:dyDescent="0.3">
      <c r="A208" s="4" t="s">
        <v>130</v>
      </c>
      <c r="B208" s="6">
        <v>15645506.16</v>
      </c>
      <c r="C208" s="6">
        <v>0</v>
      </c>
      <c r="D208" s="6">
        <f>B208-C208</f>
        <v>15645506.16</v>
      </c>
      <c r="E208" s="6">
        <f>IF(C208&lt;&gt;0, (D208/C208)*100, 0)</f>
        <v>0</v>
      </c>
      <c r="F208" s="6">
        <v>15645506.16</v>
      </c>
      <c r="G208" s="6">
        <f>B208-F208</f>
        <v>0</v>
      </c>
      <c r="H208" s="6">
        <f>IF(F208&lt;&gt;0, (G208/F208)*100, 0)</f>
        <v>0</v>
      </c>
    </row>
    <row r="209" spans="1:8" x14ac:dyDescent="0.3">
      <c r="A209" s="4" t="s">
        <v>131</v>
      </c>
      <c r="B209" s="6">
        <v>949789.68</v>
      </c>
      <c r="C209" s="6">
        <v>0</v>
      </c>
      <c r="D209" s="6">
        <f>B209-C209</f>
        <v>949789.68</v>
      </c>
      <c r="E209" s="6">
        <f>IF(C209&lt;&gt;0, (D209/C209)*100, 0)</f>
        <v>0</v>
      </c>
      <c r="F209" s="6">
        <v>992463.46</v>
      </c>
      <c r="G209" s="6">
        <f>B209-F209</f>
        <v>-42673.779999999912</v>
      </c>
      <c r="H209" s="6">
        <f>IF(F209&lt;&gt;0, (G209/F209)*100, 0)</f>
        <v>-4.2997834902657184</v>
      </c>
    </row>
    <row r="210" spans="1:8" x14ac:dyDescent="0.3">
      <c r="A210" s="4" t="s">
        <v>132</v>
      </c>
      <c r="B210" s="6">
        <v>31735.040000000001</v>
      </c>
      <c r="C210" s="6">
        <v>0</v>
      </c>
      <c r="D210" s="6">
        <f>B210-C210</f>
        <v>31735.040000000001</v>
      </c>
      <c r="E210" s="6">
        <f>IF(C210&lt;&gt;0, (D210/C210)*100, 0)</f>
        <v>0</v>
      </c>
      <c r="F210" s="6">
        <v>127512.54</v>
      </c>
      <c r="G210" s="6">
        <f>B210-F210</f>
        <v>-95777.5</v>
      </c>
      <c r="H210" s="6">
        <f>IF(F210&lt;&gt;0, (G210/F210)*100, 0)</f>
        <v>-75.112220335348979</v>
      </c>
    </row>
    <row r="211" spans="1:8" x14ac:dyDescent="0.3">
      <c r="A211" s="4" t="s">
        <v>133</v>
      </c>
      <c r="B211" s="6">
        <v>1222882.03</v>
      </c>
      <c r="C211" s="6">
        <v>0</v>
      </c>
      <c r="D211" s="6">
        <f>B211-C211</f>
        <v>1222882.03</v>
      </c>
      <c r="E211" s="6">
        <f>IF(C211&lt;&gt;0, (D211/C211)*100, 0)</f>
        <v>0</v>
      </c>
      <c r="F211" s="6">
        <v>1272027.93</v>
      </c>
      <c r="G211" s="6">
        <f>B211-F211</f>
        <v>-49145.899999999907</v>
      </c>
      <c r="H211" s="6">
        <f>IF(F211&lt;&gt;0, (G211/F211)*100, 0)</f>
        <v>-3.8635865487639025</v>
      </c>
    </row>
    <row r="212" spans="1:8" x14ac:dyDescent="0.3">
      <c r="A212" s="4" t="s">
        <v>134</v>
      </c>
      <c r="B212" s="6">
        <v>5000</v>
      </c>
      <c r="C212" s="6">
        <v>0</v>
      </c>
      <c r="D212" s="6">
        <f>B212-C212</f>
        <v>5000</v>
      </c>
      <c r="E212" s="6">
        <f>IF(C212&lt;&gt;0, (D212/C212)*100, 0)</f>
        <v>0</v>
      </c>
      <c r="F212" s="6">
        <v>5000</v>
      </c>
      <c r="G212" s="6">
        <f>B212-F212</f>
        <v>0</v>
      </c>
      <c r="H212" s="6">
        <f>IF(F212&lt;&gt;0, (G212/F212)*100, 0)</f>
        <v>0</v>
      </c>
    </row>
    <row r="213" spans="1:8" x14ac:dyDescent="0.3">
      <c r="A213" s="4" t="s">
        <v>135</v>
      </c>
      <c r="B213" s="6">
        <v>53.75</v>
      </c>
      <c r="C213" s="6">
        <v>0</v>
      </c>
      <c r="D213" s="6">
        <f>B213-C213</f>
        <v>53.75</v>
      </c>
      <c r="E213" s="6">
        <f>IF(C213&lt;&gt;0, (D213/C213)*100, 0)</f>
        <v>0</v>
      </c>
      <c r="F213" s="6">
        <v>53.75</v>
      </c>
      <c r="G213" s="6">
        <f>B213-F213</f>
        <v>0</v>
      </c>
      <c r="H213" s="6">
        <f>IF(F213&lt;&gt;0, (G213/F213)*100, 0)</f>
        <v>0</v>
      </c>
    </row>
    <row r="214" spans="1:8" x14ac:dyDescent="0.3">
      <c r="A214" s="4" t="s">
        <v>136</v>
      </c>
      <c r="B214" s="6">
        <v>0</v>
      </c>
      <c r="C214" s="6">
        <v>0</v>
      </c>
      <c r="D214" s="6">
        <f>B214-C214</f>
        <v>0</v>
      </c>
      <c r="E214" s="6">
        <f>IF(C214&lt;&gt;0, (D214/C214)*100, 0)</f>
        <v>0</v>
      </c>
      <c r="F214" s="6">
        <v>0</v>
      </c>
      <c r="G214" s="6">
        <f>B214-F214</f>
        <v>0</v>
      </c>
      <c r="H214" s="6">
        <f>IF(F214&lt;&gt;0, (G214/F214)*100, 0)</f>
        <v>0</v>
      </c>
    </row>
    <row r="215" spans="1:8" x14ac:dyDescent="0.3">
      <c r="A215" s="4" t="s">
        <v>137</v>
      </c>
      <c r="B215" s="6">
        <v>0</v>
      </c>
      <c r="C215" s="6">
        <v>0</v>
      </c>
      <c r="D215" s="6">
        <f>B215-C215</f>
        <v>0</v>
      </c>
      <c r="E215" s="6">
        <f>IF(C215&lt;&gt;0, (D215/C215)*100, 0)</f>
        <v>0</v>
      </c>
      <c r="F215" s="6">
        <v>0</v>
      </c>
      <c r="G215" s="6">
        <f>B215-F215</f>
        <v>0</v>
      </c>
      <c r="H215" s="6">
        <f>IF(F215&lt;&gt;0, (G215/F215)*100, 0)</f>
        <v>0</v>
      </c>
    </row>
    <row r="216" spans="1:8" x14ac:dyDescent="0.3">
      <c r="A216" s="4" t="s">
        <v>138</v>
      </c>
      <c r="B216" s="6">
        <v>3304400</v>
      </c>
      <c r="C216" s="6">
        <v>0</v>
      </c>
      <c r="D216" s="6">
        <f>B216-C216</f>
        <v>3304400</v>
      </c>
      <c r="E216" s="6">
        <f>IF(C216&lt;&gt;0, (D216/C216)*100, 0)</f>
        <v>0</v>
      </c>
      <c r="F216" s="6">
        <v>3951100</v>
      </c>
      <c r="G216" s="6">
        <f>B216-F216</f>
        <v>-646700</v>
      </c>
      <c r="H216" s="6">
        <f>IF(F216&lt;&gt;0, (G216/F216)*100, 0)</f>
        <v>-16.36759383462833</v>
      </c>
    </row>
    <row r="217" spans="1:8" x14ac:dyDescent="0.3">
      <c r="A217" s="4" t="s">
        <v>139</v>
      </c>
      <c r="B217" s="6">
        <v>11594630</v>
      </c>
      <c r="C217" s="6">
        <v>0</v>
      </c>
      <c r="D217" s="6">
        <f>B217-C217</f>
        <v>11594630</v>
      </c>
      <c r="E217" s="6">
        <f>IF(C217&lt;&gt;0, (D217/C217)*100, 0)</f>
        <v>0</v>
      </c>
      <c r="F217" s="6">
        <v>10358130</v>
      </c>
      <c r="G217" s="6">
        <f>B217-F217</f>
        <v>1236500</v>
      </c>
      <c r="H217" s="6">
        <f>IF(F217&lt;&gt;0, (G217/F217)*100, 0)</f>
        <v>11.937482924041309</v>
      </c>
    </row>
    <row r="218" spans="1:8" x14ac:dyDescent="0.3">
      <c r="A218" s="4" t="s">
        <v>140</v>
      </c>
      <c r="B218" s="6">
        <v>0</v>
      </c>
      <c r="C218" s="6">
        <v>0</v>
      </c>
      <c r="D218" s="6">
        <f>B218-C218</f>
        <v>0</v>
      </c>
      <c r="E218" s="6">
        <f>IF(C218&lt;&gt;0, (D218/C218)*100, 0)</f>
        <v>0</v>
      </c>
      <c r="F218" s="6">
        <v>0</v>
      </c>
      <c r="G218" s="6">
        <f>B218-F218</f>
        <v>0</v>
      </c>
      <c r="H218" s="6">
        <f>IF(F218&lt;&gt;0, (G218/F218)*100, 0)</f>
        <v>0</v>
      </c>
    </row>
    <row r="219" spans="1:8" x14ac:dyDescent="0.3">
      <c r="A219" s="4" t="s">
        <v>141</v>
      </c>
      <c r="B219" s="6">
        <v>312025</v>
      </c>
      <c r="C219" s="6">
        <v>0</v>
      </c>
      <c r="D219" s="6">
        <f>B219-C219</f>
        <v>312025</v>
      </c>
      <c r="E219" s="6">
        <f>IF(C219&lt;&gt;0, (D219/C219)*100, 0)</f>
        <v>0</v>
      </c>
      <c r="F219" s="6">
        <v>25000</v>
      </c>
      <c r="G219" s="6">
        <f>B219-F219</f>
        <v>287025</v>
      </c>
      <c r="H219" s="6">
        <f>IF(F219&lt;&gt;0, (G219/F219)*100, 0)</f>
        <v>1148.0999999999999</v>
      </c>
    </row>
    <row r="220" spans="1:8" x14ac:dyDescent="0.3">
      <c r="A220" s="4" t="s">
        <v>142</v>
      </c>
      <c r="B220" s="6">
        <v>1190000</v>
      </c>
      <c r="C220" s="6">
        <v>0</v>
      </c>
      <c r="D220" s="6">
        <f>B220-C220</f>
        <v>1190000</v>
      </c>
      <c r="E220" s="6">
        <f>IF(C220&lt;&gt;0, (D220/C220)*100, 0)</f>
        <v>0</v>
      </c>
      <c r="F220" s="6">
        <v>1190000</v>
      </c>
      <c r="G220" s="6">
        <f>B220-F220</f>
        <v>0</v>
      </c>
      <c r="H220" s="6">
        <f>IF(F220&lt;&gt;0, (G220/F220)*100, 0)</f>
        <v>0</v>
      </c>
    </row>
    <row r="221" spans="1:8" x14ac:dyDescent="0.3">
      <c r="A221" s="4" t="s">
        <v>143</v>
      </c>
      <c r="B221" s="6">
        <v>0</v>
      </c>
      <c r="C221" s="6">
        <v>0</v>
      </c>
      <c r="D221" s="6">
        <f>B221-C221</f>
        <v>0</v>
      </c>
      <c r="E221" s="6">
        <f>IF(C221&lt;&gt;0, (D221/C221)*100, 0)</f>
        <v>0</v>
      </c>
      <c r="F221" s="6">
        <v>0</v>
      </c>
      <c r="G221" s="6">
        <f>B221-F221</f>
        <v>0</v>
      </c>
      <c r="H221" s="6">
        <f>IF(F221&lt;&gt;0, (G221/F221)*100, 0)</f>
        <v>0</v>
      </c>
    </row>
    <row r="222" spans="1:8" x14ac:dyDescent="0.3">
      <c r="A222" s="4" t="s">
        <v>144</v>
      </c>
      <c r="B222" s="6">
        <v>40941.800000000003</v>
      </c>
      <c r="C222" s="6">
        <v>0</v>
      </c>
      <c r="D222" s="6">
        <f>B222-C222</f>
        <v>40941.800000000003</v>
      </c>
      <c r="E222" s="6">
        <f>IF(C222&lt;&gt;0, (D222/C222)*100, 0)</f>
        <v>0</v>
      </c>
      <c r="F222" s="6">
        <v>40941.800000000003</v>
      </c>
      <c r="G222" s="6">
        <f>B222-F222</f>
        <v>0</v>
      </c>
      <c r="H222" s="6">
        <f>IF(F222&lt;&gt;0, (G222/F222)*100, 0)</f>
        <v>0</v>
      </c>
    </row>
    <row r="223" spans="1:8" x14ac:dyDescent="0.3">
      <c r="A223" s="4" t="s">
        <v>145</v>
      </c>
      <c r="B223" s="6">
        <v>3045000</v>
      </c>
      <c r="C223" s="6">
        <v>0</v>
      </c>
      <c r="D223" s="6">
        <f>B223-C223</f>
        <v>3045000</v>
      </c>
      <c r="E223" s="6">
        <f>IF(C223&lt;&gt;0, (D223/C223)*100, 0)</f>
        <v>0</v>
      </c>
      <c r="F223" s="6">
        <v>3045000</v>
      </c>
      <c r="G223" s="6">
        <f>B223-F223</f>
        <v>0</v>
      </c>
      <c r="H223" s="6">
        <f>IF(F223&lt;&gt;0, (G223/F223)*100, 0)</f>
        <v>0</v>
      </c>
    </row>
    <row r="224" spans="1:8" x14ac:dyDescent="0.3">
      <c r="A224" s="4" t="s">
        <v>146</v>
      </c>
      <c r="B224" s="6">
        <v>74000</v>
      </c>
      <c r="C224" s="6">
        <v>0</v>
      </c>
      <c r="D224" s="6">
        <f>B224-C224</f>
        <v>74000</v>
      </c>
      <c r="E224" s="6">
        <f>IF(C224&lt;&gt;0, (D224/C224)*100, 0)</f>
        <v>0</v>
      </c>
      <c r="F224" s="6">
        <v>154000</v>
      </c>
      <c r="G224" s="6">
        <f>B224-F224</f>
        <v>-80000</v>
      </c>
      <c r="H224" s="6">
        <f>IF(F224&lt;&gt;0, (G224/F224)*100, 0)</f>
        <v>-51.94805194805194</v>
      </c>
    </row>
    <row r="225" spans="1:8" x14ac:dyDescent="0.3">
      <c r="A225" s="4" t="s">
        <v>147</v>
      </c>
      <c r="B225" s="6">
        <v>1466680</v>
      </c>
      <c r="C225" s="6">
        <v>0</v>
      </c>
      <c r="D225" s="6">
        <f>B225-C225</f>
        <v>1466680</v>
      </c>
      <c r="E225" s="6">
        <f>IF(C225&lt;&gt;0, (D225/C225)*100, 0)</f>
        <v>0</v>
      </c>
      <c r="F225" s="6">
        <v>199500</v>
      </c>
      <c r="G225" s="6">
        <f>B225-F225</f>
        <v>1267180</v>
      </c>
      <c r="H225" s="6">
        <f>IF(F225&lt;&gt;0, (G225/F225)*100, 0)</f>
        <v>635.17794486215541</v>
      </c>
    </row>
    <row r="226" spans="1:8" x14ac:dyDescent="0.3">
      <c r="A226" s="4" t="s">
        <v>148</v>
      </c>
      <c r="B226" s="6">
        <v>12484342</v>
      </c>
      <c r="C226" s="6">
        <v>0</v>
      </c>
      <c r="D226" s="6">
        <f>B226-C226</f>
        <v>12484342</v>
      </c>
      <c r="E226" s="6">
        <f>IF(C226&lt;&gt;0, (D226/C226)*100, 0)</f>
        <v>0</v>
      </c>
      <c r="F226" s="6">
        <v>12656142</v>
      </c>
      <c r="G226" s="6">
        <f>B226-F226</f>
        <v>-171800</v>
      </c>
      <c r="H226" s="6">
        <f>IF(F226&lt;&gt;0, (G226/F226)*100, 0)</f>
        <v>-1.3574436822848543</v>
      </c>
    </row>
    <row r="227" spans="1:8" x14ac:dyDescent="0.3">
      <c r="A227" s="4" t="s">
        <v>149</v>
      </c>
      <c r="B227" s="6">
        <v>0</v>
      </c>
      <c r="C227" s="6">
        <v>0</v>
      </c>
      <c r="D227" s="6">
        <f>B227-C227</f>
        <v>0</v>
      </c>
      <c r="E227" s="6">
        <f>IF(C227&lt;&gt;0, (D227/C227)*100, 0)</f>
        <v>0</v>
      </c>
      <c r="F227" s="6">
        <v>0</v>
      </c>
      <c r="G227" s="6">
        <f>B227-F227</f>
        <v>0</v>
      </c>
      <c r="H227" s="6">
        <f>IF(F227&lt;&gt;0, (G227/F227)*100, 0)</f>
        <v>0</v>
      </c>
    </row>
    <row r="228" spans="1:8" x14ac:dyDescent="0.3">
      <c r="A228" s="4" t="s">
        <v>150</v>
      </c>
      <c r="B228" s="6">
        <v>731000</v>
      </c>
      <c r="C228" s="6">
        <v>0</v>
      </c>
      <c r="D228" s="6">
        <f>B228-C228</f>
        <v>731000</v>
      </c>
      <c r="E228" s="6">
        <f>IF(C228&lt;&gt;0, (D228/C228)*100, 0)</f>
        <v>0</v>
      </c>
      <c r="F228" s="6">
        <v>993000</v>
      </c>
      <c r="G228" s="6">
        <f>B228-F228</f>
        <v>-262000</v>
      </c>
      <c r="H228" s="6">
        <f>IF(F228&lt;&gt;0, (G228/F228)*100, 0)</f>
        <v>-26.384692849949648</v>
      </c>
    </row>
    <row r="229" spans="1:8" x14ac:dyDescent="0.3">
      <c r="A229" s="4" t="s">
        <v>151</v>
      </c>
      <c r="B229" s="6">
        <v>436100.2</v>
      </c>
      <c r="C229" s="6">
        <v>0</v>
      </c>
      <c r="D229" s="6">
        <f>B229-C229</f>
        <v>436100.2</v>
      </c>
      <c r="E229" s="6">
        <f>IF(C229&lt;&gt;0, (D229/C229)*100, 0)</f>
        <v>0</v>
      </c>
      <c r="F229" s="6">
        <v>436100.2</v>
      </c>
      <c r="G229" s="6">
        <f>B229-F229</f>
        <v>0</v>
      </c>
      <c r="H229" s="6">
        <f>IF(F229&lt;&gt;0, (G229/F229)*100, 0)</f>
        <v>0</v>
      </c>
    </row>
    <row r="230" spans="1:8" x14ac:dyDescent="0.3">
      <c r="A230" s="4" t="s">
        <v>152</v>
      </c>
      <c r="B230" s="6">
        <v>1450000</v>
      </c>
      <c r="C230" s="6">
        <v>0</v>
      </c>
      <c r="D230" s="6">
        <f>B230-C230</f>
        <v>1450000</v>
      </c>
      <c r="E230" s="6">
        <f>IF(C230&lt;&gt;0, (D230/C230)*100, 0)</f>
        <v>0</v>
      </c>
      <c r="F230" s="6">
        <v>1450000</v>
      </c>
      <c r="G230" s="6">
        <f>B230-F230</f>
        <v>0</v>
      </c>
      <c r="H230" s="6">
        <f>IF(F230&lt;&gt;0, (G230/F230)*100, 0)</f>
        <v>0</v>
      </c>
    </row>
    <row r="231" spans="1:8" x14ac:dyDescent="0.3">
      <c r="A231" s="4" t="s">
        <v>153</v>
      </c>
      <c r="B231" s="6">
        <v>6714552.2599999998</v>
      </c>
      <c r="C231" s="6">
        <v>0</v>
      </c>
      <c r="D231" s="6">
        <f>B231-C231</f>
        <v>6714552.2599999998</v>
      </c>
      <c r="E231" s="6">
        <f>IF(C231&lt;&gt;0, (D231/C231)*100, 0)</f>
        <v>0</v>
      </c>
      <c r="F231" s="6">
        <v>5434043.1799999997</v>
      </c>
      <c r="G231" s="6">
        <f>B231-F231</f>
        <v>1280509.08</v>
      </c>
      <c r="H231" s="6">
        <f>IF(F231&lt;&gt;0, (G231/F231)*100, 0)</f>
        <v>23.564573147171792</v>
      </c>
    </row>
    <row r="232" spans="1:8" x14ac:dyDescent="0.3">
      <c r="A232" s="4" t="s">
        <v>154</v>
      </c>
      <c r="B232" s="6">
        <v>0</v>
      </c>
      <c r="C232" s="6">
        <v>0</v>
      </c>
      <c r="D232" s="6">
        <f>B232-C232</f>
        <v>0</v>
      </c>
      <c r="E232" s="6">
        <f>IF(C232&lt;&gt;0, (D232/C232)*100, 0)</f>
        <v>0</v>
      </c>
      <c r="F232" s="6">
        <v>0</v>
      </c>
      <c r="G232" s="6">
        <f>B232-F232</f>
        <v>0</v>
      </c>
      <c r="H232" s="6">
        <f>IF(F232&lt;&gt;0, (G232/F232)*100, 0)</f>
        <v>0</v>
      </c>
    </row>
    <row r="233" spans="1:8" x14ac:dyDescent="0.3">
      <c r="A233" s="4" t="s">
        <v>155</v>
      </c>
      <c r="B233" s="6">
        <v>50000</v>
      </c>
      <c r="C233" s="6">
        <v>0</v>
      </c>
      <c r="D233" s="6">
        <f>B233-C233</f>
        <v>50000</v>
      </c>
      <c r="E233" s="6">
        <f>IF(C233&lt;&gt;0, (D233/C233)*100, 0)</f>
        <v>0</v>
      </c>
      <c r="F233" s="6">
        <v>50000</v>
      </c>
      <c r="G233" s="6">
        <f>B233-F233</f>
        <v>0</v>
      </c>
      <c r="H233" s="6">
        <f>IF(F233&lt;&gt;0, (G233/F233)*100, 0)</f>
        <v>0</v>
      </c>
    </row>
    <row r="234" spans="1:8" x14ac:dyDescent="0.3">
      <c r="A234" s="4" t="s">
        <v>156</v>
      </c>
      <c r="B234" s="6">
        <v>1125000</v>
      </c>
      <c r="C234" s="6">
        <v>0</v>
      </c>
      <c r="D234" s="6">
        <f>B234-C234</f>
        <v>1125000</v>
      </c>
      <c r="E234" s="6">
        <f>IF(C234&lt;&gt;0, (D234/C234)*100, 0)</f>
        <v>0</v>
      </c>
      <c r="F234" s="6">
        <v>1025000</v>
      </c>
      <c r="G234" s="6">
        <f>B234-F234</f>
        <v>100000</v>
      </c>
      <c r="H234" s="6">
        <f>IF(F234&lt;&gt;0, (G234/F234)*100, 0)</f>
        <v>9.7560975609756095</v>
      </c>
    </row>
    <row r="235" spans="1:8" x14ac:dyDescent="0.3">
      <c r="A235" s="4" t="s">
        <v>157</v>
      </c>
      <c r="B235" s="6">
        <v>12953550.5</v>
      </c>
      <c r="C235" s="6">
        <v>0</v>
      </c>
      <c r="D235" s="6">
        <f>B235-C235</f>
        <v>12953550.5</v>
      </c>
      <c r="E235" s="6">
        <f>IF(C235&lt;&gt;0, (D235/C235)*100, 0)</f>
        <v>0</v>
      </c>
      <c r="F235" s="6">
        <v>12119650.5</v>
      </c>
      <c r="G235" s="6">
        <f>B235-F235</f>
        <v>833900</v>
      </c>
      <c r="H235" s="6">
        <f>IF(F235&lt;&gt;0, (G235/F235)*100, 0)</f>
        <v>6.8805614485335207</v>
      </c>
    </row>
    <row r="236" spans="1:8" x14ac:dyDescent="0.3">
      <c r="A236" s="4" t="s">
        <v>158</v>
      </c>
      <c r="B236" s="6">
        <v>507000</v>
      </c>
      <c r="C236" s="6">
        <v>0</v>
      </c>
      <c r="D236" s="6">
        <f>B236-C236</f>
        <v>507000</v>
      </c>
      <c r="E236" s="6">
        <f>IF(C236&lt;&gt;0, (D236/C236)*100, 0)</f>
        <v>0</v>
      </c>
      <c r="F236" s="6">
        <v>370000</v>
      </c>
      <c r="G236" s="6">
        <f>B236-F236</f>
        <v>137000</v>
      </c>
      <c r="H236" s="6">
        <f>IF(F236&lt;&gt;0, (G236/F236)*100, 0)</f>
        <v>37.027027027027025</v>
      </c>
    </row>
    <row r="237" spans="1:8" x14ac:dyDescent="0.3">
      <c r="A237" s="4" t="s">
        <v>159</v>
      </c>
      <c r="B237" s="6">
        <v>31715.49</v>
      </c>
      <c r="C237" s="6">
        <v>0</v>
      </c>
      <c r="D237" s="6">
        <f>B237-C237</f>
        <v>31715.49</v>
      </c>
      <c r="E237" s="6">
        <f>IF(C237&lt;&gt;0, (D237/C237)*100, 0)</f>
        <v>0</v>
      </c>
      <c r="F237" s="6">
        <v>25965.49</v>
      </c>
      <c r="G237" s="6">
        <f>B237-F237</f>
        <v>5750</v>
      </c>
      <c r="H237" s="6">
        <f>IF(F237&lt;&gt;0, (G237/F237)*100, 0)</f>
        <v>22.144777548969806</v>
      </c>
    </row>
    <row r="238" spans="1:8" x14ac:dyDescent="0.3">
      <c r="A238" s="4" t="s">
        <v>160</v>
      </c>
      <c r="B238" s="6">
        <v>1549000</v>
      </c>
      <c r="C238" s="6">
        <v>0</v>
      </c>
      <c r="D238" s="6">
        <f>B238-C238</f>
        <v>1549000</v>
      </c>
      <c r="E238" s="6">
        <f>IF(C238&lt;&gt;0, (D238/C238)*100, 0)</f>
        <v>0</v>
      </c>
      <c r="F238" s="6">
        <v>867000</v>
      </c>
      <c r="G238" s="6">
        <f>B238-F238</f>
        <v>682000</v>
      </c>
      <c r="H238" s="6">
        <f>IF(F238&lt;&gt;0, (G238/F238)*100, 0)</f>
        <v>78.662053056516726</v>
      </c>
    </row>
    <row r="239" spans="1:8" x14ac:dyDescent="0.3">
      <c r="A239" s="4" t="s">
        <v>161</v>
      </c>
      <c r="B239" s="6">
        <v>2785960</v>
      </c>
      <c r="C239" s="6">
        <v>0</v>
      </c>
      <c r="D239" s="6">
        <f>B239-C239</f>
        <v>2785960</v>
      </c>
      <c r="E239" s="6">
        <f>IF(C239&lt;&gt;0, (D239/C239)*100, 0)</f>
        <v>0</v>
      </c>
      <c r="F239" s="6">
        <v>2553460</v>
      </c>
      <c r="G239" s="6">
        <f>B239-F239</f>
        <v>232500</v>
      </c>
      <c r="H239" s="6">
        <f>IF(F239&lt;&gt;0, (G239/F239)*100, 0)</f>
        <v>9.1052924267464537</v>
      </c>
    </row>
    <row r="240" spans="1:8" x14ac:dyDescent="0.3">
      <c r="A240" s="4" t="s">
        <v>162</v>
      </c>
      <c r="B240" s="6">
        <v>0</v>
      </c>
      <c r="C240" s="6">
        <v>0</v>
      </c>
      <c r="D240" s="6">
        <f>B240-C240</f>
        <v>0</v>
      </c>
      <c r="E240" s="6">
        <f>IF(C240&lt;&gt;0, (D240/C240)*100, 0)</f>
        <v>0</v>
      </c>
      <c r="F240" s="6">
        <v>0</v>
      </c>
      <c r="G240" s="6">
        <f>B240-F240</f>
        <v>0</v>
      </c>
      <c r="H240" s="6">
        <f>IF(F240&lt;&gt;0, (G240/F240)*100, 0)</f>
        <v>0</v>
      </c>
    </row>
    <row r="241" spans="1:8" x14ac:dyDescent="0.3">
      <c r="A241" s="4" t="s">
        <v>163</v>
      </c>
      <c r="B241" s="6">
        <v>51500</v>
      </c>
      <c r="C241" s="6">
        <v>0</v>
      </c>
      <c r="D241" s="6">
        <f>B241-C241</f>
        <v>51500</v>
      </c>
      <c r="E241" s="6">
        <f>IF(C241&lt;&gt;0, (D241/C241)*100, 0)</f>
        <v>0</v>
      </c>
      <c r="F241" s="6">
        <v>51500</v>
      </c>
      <c r="G241" s="6">
        <f>B241-F241</f>
        <v>0</v>
      </c>
      <c r="H241" s="6">
        <f>IF(F241&lt;&gt;0, (G241/F241)*100, 0)</f>
        <v>0</v>
      </c>
    </row>
    <row r="242" spans="1:8" x14ac:dyDescent="0.3">
      <c r="A242" s="4" t="s">
        <v>164</v>
      </c>
      <c r="B242" s="6">
        <v>3574560</v>
      </c>
      <c r="C242" s="6">
        <v>0</v>
      </c>
      <c r="D242" s="6">
        <f>B242-C242</f>
        <v>3574560</v>
      </c>
      <c r="E242" s="6">
        <f>IF(C242&lt;&gt;0, (D242/C242)*100, 0)</f>
        <v>0</v>
      </c>
      <c r="F242" s="6">
        <v>3368410</v>
      </c>
      <c r="G242" s="6">
        <f>B242-F242</f>
        <v>206150</v>
      </c>
      <c r="H242" s="6">
        <f>IF(F242&lt;&gt;0, (G242/F242)*100, 0)</f>
        <v>6.1200982065722398</v>
      </c>
    </row>
    <row r="243" spans="1:8" x14ac:dyDescent="0.3">
      <c r="A243" s="4" t="s">
        <v>165</v>
      </c>
      <c r="B243" s="6">
        <v>3118610</v>
      </c>
      <c r="C243" s="6">
        <v>0</v>
      </c>
      <c r="D243" s="6">
        <f>B243-C243</f>
        <v>3118610</v>
      </c>
      <c r="E243" s="6">
        <f>IF(C243&lt;&gt;0, (D243/C243)*100, 0)</f>
        <v>0</v>
      </c>
      <c r="F243" s="6">
        <v>2692290</v>
      </c>
      <c r="G243" s="6">
        <f>B243-F243</f>
        <v>426320</v>
      </c>
      <c r="H243" s="6">
        <f>IF(F243&lt;&gt;0, (G243/F243)*100, 0)</f>
        <v>15.834846914708297</v>
      </c>
    </row>
    <row r="244" spans="1:8" x14ac:dyDescent="0.3">
      <c r="A244" s="4" t="s">
        <v>166</v>
      </c>
      <c r="B244" s="6">
        <v>63700</v>
      </c>
      <c r="C244" s="6">
        <v>0</v>
      </c>
      <c r="D244" s="6">
        <f>B244-C244</f>
        <v>63700</v>
      </c>
      <c r="E244" s="6">
        <f>IF(C244&lt;&gt;0, (D244/C244)*100, 0)</f>
        <v>0</v>
      </c>
      <c r="F244" s="6">
        <v>41900</v>
      </c>
      <c r="G244" s="6">
        <f>B244-F244</f>
        <v>21800</v>
      </c>
      <c r="H244" s="6">
        <f>IF(F244&lt;&gt;0, (G244/F244)*100, 0)</f>
        <v>52.028639618138428</v>
      </c>
    </row>
    <row r="245" spans="1:8" x14ac:dyDescent="0.3">
      <c r="A245" s="4" t="s">
        <v>167</v>
      </c>
      <c r="B245" s="6">
        <v>83733073</v>
      </c>
      <c r="C245" s="6">
        <v>0</v>
      </c>
      <c r="D245" s="6">
        <f>B245-C245</f>
        <v>83733073</v>
      </c>
      <c r="E245" s="6">
        <f>IF(C245&lt;&gt;0, (D245/C245)*100, 0)</f>
        <v>0</v>
      </c>
      <c r="F245" s="6">
        <v>67201143</v>
      </c>
      <c r="G245" s="6">
        <f>B245-F245</f>
        <v>16531930</v>
      </c>
      <c r="H245" s="6">
        <f>IF(F245&lt;&gt;0, (G245/F245)*100, 0)</f>
        <v>24.600667878521055</v>
      </c>
    </row>
    <row r="246" spans="1:8" x14ac:dyDescent="0.3">
      <c r="A246" s="4" t="s">
        <v>168</v>
      </c>
      <c r="B246" s="6">
        <v>5998961.5300000003</v>
      </c>
      <c r="C246" s="6">
        <v>0</v>
      </c>
      <c r="D246" s="6">
        <f>B246-C246</f>
        <v>5998961.5300000003</v>
      </c>
      <c r="E246" s="6">
        <f>IF(C246&lt;&gt;0, (D246/C246)*100, 0)</f>
        <v>0</v>
      </c>
      <c r="F246" s="6">
        <v>5471788.79</v>
      </c>
      <c r="G246" s="6">
        <f>B246-F246</f>
        <v>527172.74000000022</v>
      </c>
      <c r="H246" s="6">
        <f>IF(F246&lt;&gt;0, (G246/F246)*100, 0)</f>
        <v>9.6343766222014615</v>
      </c>
    </row>
    <row r="247" spans="1:8" x14ac:dyDescent="0.3">
      <c r="A247" s="4" t="s">
        <v>169</v>
      </c>
      <c r="B247" s="6">
        <v>176500</v>
      </c>
      <c r="C247" s="6">
        <v>0</v>
      </c>
      <c r="D247" s="6">
        <f>B247-C247</f>
        <v>176500</v>
      </c>
      <c r="E247" s="6">
        <f>IF(C247&lt;&gt;0, (D247/C247)*100, 0)</f>
        <v>0</v>
      </c>
      <c r="F247" s="6">
        <v>171500</v>
      </c>
      <c r="G247" s="6">
        <f>B247-F247</f>
        <v>5000</v>
      </c>
      <c r="H247" s="6">
        <f>IF(F247&lt;&gt;0, (G247/F247)*100, 0)</f>
        <v>2.9154518950437316</v>
      </c>
    </row>
    <row r="248" spans="1:8" x14ac:dyDescent="0.3">
      <c r="A248" s="4" t="s">
        <v>170</v>
      </c>
      <c r="B248" s="6">
        <v>16741882.890000001</v>
      </c>
      <c r="C248" s="6">
        <v>0</v>
      </c>
      <c r="D248" s="6">
        <f>B248-C248</f>
        <v>16741882.890000001</v>
      </c>
      <c r="E248" s="6">
        <f>IF(C248&lt;&gt;0, (D248/C248)*100, 0)</f>
        <v>0</v>
      </c>
      <c r="F248" s="6">
        <v>11766567.039999999</v>
      </c>
      <c r="G248" s="6">
        <f>B248-F248</f>
        <v>4975315.8500000015</v>
      </c>
      <c r="H248" s="6">
        <f>IF(F248&lt;&gt;0, (G248/F248)*100, 0)</f>
        <v>42.283495543658603</v>
      </c>
    </row>
    <row r="249" spans="1:8" x14ac:dyDescent="0.3">
      <c r="A249" s="4" t="s">
        <v>171</v>
      </c>
      <c r="B249" s="6">
        <v>0</v>
      </c>
      <c r="C249" s="6">
        <v>0</v>
      </c>
      <c r="D249" s="6">
        <f>B249-C249</f>
        <v>0</v>
      </c>
      <c r="E249" s="6">
        <f>IF(C249&lt;&gt;0, (D249/C249)*100, 0)</f>
        <v>0</v>
      </c>
      <c r="F249" s="6">
        <v>0</v>
      </c>
      <c r="G249" s="6">
        <f>B249-F249</f>
        <v>0</v>
      </c>
      <c r="H249" s="6">
        <f>IF(F249&lt;&gt;0, (G249/F249)*100, 0)</f>
        <v>0</v>
      </c>
    </row>
    <row r="250" spans="1:8" x14ac:dyDescent="0.3">
      <c r="A250" s="4" t="s">
        <v>172</v>
      </c>
      <c r="B250" s="6">
        <v>675000</v>
      </c>
      <c r="C250" s="6">
        <v>0</v>
      </c>
      <c r="D250" s="6">
        <f>B250-C250</f>
        <v>675000</v>
      </c>
      <c r="E250" s="6">
        <f>IF(C250&lt;&gt;0, (D250/C250)*100, 0)</f>
        <v>0</v>
      </c>
      <c r="F250" s="6">
        <v>975000</v>
      </c>
      <c r="G250" s="6">
        <f>B250-F250</f>
        <v>-300000</v>
      </c>
      <c r="H250" s="6">
        <f>IF(F250&lt;&gt;0, (G250/F250)*100, 0)</f>
        <v>-30.76923076923077</v>
      </c>
    </row>
    <row r="251" spans="1:8" x14ac:dyDescent="0.3">
      <c r="A251" s="4" t="s">
        <v>173</v>
      </c>
      <c r="B251" s="6">
        <v>28358356.690000001</v>
      </c>
      <c r="C251" s="6">
        <v>0</v>
      </c>
      <c r="D251" s="6">
        <f>B251-C251</f>
        <v>28358356.690000001</v>
      </c>
      <c r="E251" s="6">
        <f>IF(C251&lt;&gt;0, (D251/C251)*100, 0)</f>
        <v>0</v>
      </c>
      <c r="F251" s="6">
        <v>22673606.690000001</v>
      </c>
      <c r="G251" s="6">
        <f>B251-F251</f>
        <v>5684750</v>
      </c>
      <c r="H251" s="6">
        <f>IF(F251&lt;&gt;0, (G251/F251)*100, 0)</f>
        <v>25.072102897979658</v>
      </c>
    </row>
    <row r="252" spans="1:8" x14ac:dyDescent="0.3">
      <c r="A252" s="4" t="s">
        <v>174</v>
      </c>
      <c r="B252" s="6">
        <v>15731027.18</v>
      </c>
      <c r="C252" s="6">
        <v>0</v>
      </c>
      <c r="D252" s="6">
        <f>B252-C252</f>
        <v>15731027.18</v>
      </c>
      <c r="E252" s="6">
        <f>IF(C252&lt;&gt;0, (D252/C252)*100, 0)</f>
        <v>0</v>
      </c>
      <c r="F252" s="6">
        <v>11870431.390000001</v>
      </c>
      <c r="G252" s="6">
        <f>B252-F252</f>
        <v>3860595.7899999991</v>
      </c>
      <c r="H252" s="6">
        <f>IF(F252&lt;&gt;0, (G252/F252)*100, 0)</f>
        <v>32.522792669963771</v>
      </c>
    </row>
    <row r="253" spans="1:8" x14ac:dyDescent="0.3">
      <c r="A253" s="4" t="s">
        <v>175</v>
      </c>
      <c r="B253" s="6">
        <v>7673660</v>
      </c>
      <c r="C253" s="6">
        <v>0</v>
      </c>
      <c r="D253" s="6">
        <f>B253-C253</f>
        <v>7673660</v>
      </c>
      <c r="E253" s="6">
        <f>IF(C253&lt;&gt;0, (D253/C253)*100, 0)</f>
        <v>0</v>
      </c>
      <c r="F253" s="6">
        <v>7293700</v>
      </c>
      <c r="G253" s="6">
        <f>B253-F253</f>
        <v>379960</v>
      </c>
      <c r="H253" s="6">
        <f>IF(F253&lt;&gt;0, (G253/F253)*100, 0)</f>
        <v>5.2094273139833014</v>
      </c>
    </row>
    <row r="254" spans="1:8" x14ac:dyDescent="0.3">
      <c r="A254" s="4" t="s">
        <v>176</v>
      </c>
      <c r="B254" s="6">
        <v>1760100</v>
      </c>
      <c r="C254" s="6">
        <v>0</v>
      </c>
      <c r="D254" s="6">
        <f>B254-C254</f>
        <v>1760100</v>
      </c>
      <c r="E254" s="6">
        <f>IF(C254&lt;&gt;0, (D254/C254)*100, 0)</f>
        <v>0</v>
      </c>
      <c r="F254" s="6">
        <v>1574050</v>
      </c>
      <c r="G254" s="6">
        <f>B254-F254</f>
        <v>186050</v>
      </c>
      <c r="H254" s="6">
        <f>IF(F254&lt;&gt;0, (G254/F254)*100, 0)</f>
        <v>11.81982783266097</v>
      </c>
    </row>
    <row r="255" spans="1:8" x14ac:dyDescent="0.3">
      <c r="A255" s="4" t="s">
        <v>177</v>
      </c>
      <c r="B255" s="6">
        <v>110498497.56999999</v>
      </c>
      <c r="C255" s="6">
        <v>0</v>
      </c>
      <c r="D255" s="6">
        <f>B255-C255</f>
        <v>110498497.56999999</v>
      </c>
      <c r="E255" s="6">
        <f>IF(C255&lt;&gt;0, (D255/C255)*100, 0)</f>
        <v>0</v>
      </c>
      <c r="F255" s="6">
        <v>100473177.03</v>
      </c>
      <c r="G255" s="6">
        <f>B255-F255</f>
        <v>10025320.539999992</v>
      </c>
      <c r="H255" s="6">
        <f>IF(F255&lt;&gt;0, (G255/F255)*100, 0)</f>
        <v>9.978106432333238</v>
      </c>
    </row>
    <row r="256" spans="1:8" x14ac:dyDescent="0.3">
      <c r="A256" s="4" t="s">
        <v>178</v>
      </c>
      <c r="B256" s="6">
        <v>4290840</v>
      </c>
      <c r="C256" s="6">
        <v>0</v>
      </c>
      <c r="D256" s="6">
        <f>B256-C256</f>
        <v>4290840</v>
      </c>
      <c r="E256" s="6">
        <f>IF(C256&lt;&gt;0, (D256/C256)*100, 0)</f>
        <v>0</v>
      </c>
      <c r="F256" s="6">
        <v>1772280</v>
      </c>
      <c r="G256" s="6">
        <f>B256-F256</f>
        <v>2518560</v>
      </c>
      <c r="H256" s="6">
        <f>IF(F256&lt;&gt;0, (G256/F256)*100, 0)</f>
        <v>142.1084704448507</v>
      </c>
    </row>
    <row r="257" spans="1:8" x14ac:dyDescent="0.3">
      <c r="A257" s="4" t="s">
        <v>179</v>
      </c>
      <c r="B257" s="6">
        <v>15070165</v>
      </c>
      <c r="C257" s="6">
        <v>0</v>
      </c>
      <c r="D257" s="6">
        <f>B257-C257</f>
        <v>15070165</v>
      </c>
      <c r="E257" s="6">
        <f>IF(C257&lt;&gt;0, (D257/C257)*100, 0)</f>
        <v>0</v>
      </c>
      <c r="F257" s="6">
        <v>12038465</v>
      </c>
      <c r="G257" s="6">
        <f>B257-F257</f>
        <v>3031700</v>
      </c>
      <c r="H257" s="6">
        <f>IF(F257&lt;&gt;0, (G257/F257)*100, 0)</f>
        <v>25.183443237987568</v>
      </c>
    </row>
    <row r="258" spans="1:8" x14ac:dyDescent="0.3">
      <c r="A258" s="4" t="s">
        <v>180</v>
      </c>
      <c r="B258" s="6">
        <v>1412204.74</v>
      </c>
      <c r="C258" s="6">
        <v>0</v>
      </c>
      <c r="D258" s="6">
        <f>B258-C258</f>
        <v>1412204.74</v>
      </c>
      <c r="E258" s="6">
        <f>IF(C258&lt;&gt;0, (D258/C258)*100, 0)</f>
        <v>0</v>
      </c>
      <c r="F258" s="6">
        <v>1412204.74</v>
      </c>
      <c r="G258" s="6">
        <f>B258-F258</f>
        <v>0</v>
      </c>
      <c r="H258" s="6">
        <f>IF(F258&lt;&gt;0, (G258/F258)*100, 0)</f>
        <v>0</v>
      </c>
    </row>
    <row r="259" spans="1:8" x14ac:dyDescent="0.3">
      <c r="A259" s="4" t="s">
        <v>181</v>
      </c>
      <c r="B259" s="6">
        <v>534730.43000000005</v>
      </c>
      <c r="C259" s="6">
        <v>0</v>
      </c>
      <c r="D259" s="6">
        <f>B259-C259</f>
        <v>534730.43000000005</v>
      </c>
      <c r="E259" s="6">
        <f>IF(C259&lt;&gt;0, (D259/C259)*100, 0)</f>
        <v>0</v>
      </c>
      <c r="F259" s="6">
        <v>534730.43000000005</v>
      </c>
      <c r="G259" s="6">
        <f>B259-F259</f>
        <v>0</v>
      </c>
      <c r="H259" s="6">
        <f>IF(F259&lt;&gt;0, (G259/F259)*100, 0)</f>
        <v>0</v>
      </c>
    </row>
    <row r="260" spans="1:8" x14ac:dyDescent="0.3">
      <c r="A260" s="4" t="s">
        <v>182</v>
      </c>
      <c r="B260" s="6">
        <v>0</v>
      </c>
      <c r="C260" s="6">
        <v>0</v>
      </c>
      <c r="D260" s="6">
        <f>B260-C260</f>
        <v>0</v>
      </c>
      <c r="E260" s="6">
        <f>IF(C260&lt;&gt;0, (D260/C260)*100, 0)</f>
        <v>0</v>
      </c>
      <c r="F260" s="6">
        <v>0</v>
      </c>
      <c r="G260" s="6">
        <f>B260-F260</f>
        <v>0</v>
      </c>
      <c r="H260" s="6">
        <f>IF(F260&lt;&gt;0, (G260/F260)*100, 0)</f>
        <v>0</v>
      </c>
    </row>
    <row r="261" spans="1:8" x14ac:dyDescent="0.3">
      <c r="A261" s="4" t="s">
        <v>183</v>
      </c>
      <c r="B261" s="6">
        <v>500000</v>
      </c>
      <c r="C261" s="6">
        <v>0</v>
      </c>
      <c r="D261" s="6">
        <f>B261-C261</f>
        <v>500000</v>
      </c>
      <c r="E261" s="6">
        <f>IF(C261&lt;&gt;0, (D261/C261)*100, 0)</f>
        <v>0</v>
      </c>
      <c r="F261" s="6">
        <v>500000</v>
      </c>
      <c r="G261" s="6">
        <f>B261-F261</f>
        <v>0</v>
      </c>
      <c r="H261" s="6">
        <f>IF(F261&lt;&gt;0, (G261/F261)*100, 0)</f>
        <v>0</v>
      </c>
    </row>
    <row r="262" spans="1:8" x14ac:dyDescent="0.3">
      <c r="A262" s="4" t="s">
        <v>184</v>
      </c>
      <c r="B262" s="6">
        <v>1123400</v>
      </c>
      <c r="C262" s="6">
        <v>0</v>
      </c>
      <c r="D262" s="6">
        <f>B262-C262</f>
        <v>1123400</v>
      </c>
      <c r="E262" s="6">
        <f>IF(C262&lt;&gt;0, (D262/C262)*100, 0)</f>
        <v>0</v>
      </c>
      <c r="F262" s="6">
        <v>923500</v>
      </c>
      <c r="G262" s="6">
        <f>B262-F262</f>
        <v>199900</v>
      </c>
      <c r="H262" s="6">
        <f>IF(F262&lt;&gt;0, (G262/F262)*100, 0)</f>
        <v>21.645912290200325</v>
      </c>
    </row>
    <row r="263" spans="1:8" x14ac:dyDescent="0.3">
      <c r="A263" s="4" t="s">
        <v>185</v>
      </c>
      <c r="B263" s="6">
        <v>804300</v>
      </c>
      <c r="C263" s="6">
        <v>0</v>
      </c>
      <c r="D263" s="6">
        <f>B263-C263</f>
        <v>804300</v>
      </c>
      <c r="E263" s="6">
        <f>IF(C263&lt;&gt;0, (D263/C263)*100, 0)</f>
        <v>0</v>
      </c>
      <c r="F263" s="6">
        <v>952300</v>
      </c>
      <c r="G263" s="6">
        <f>B263-F263</f>
        <v>-148000</v>
      </c>
      <c r="H263" s="6">
        <f>IF(F263&lt;&gt;0, (G263/F263)*100, 0)</f>
        <v>-15.541321012286044</v>
      </c>
    </row>
    <row r="264" spans="1:8" x14ac:dyDescent="0.3">
      <c r="A264" s="4" t="s">
        <v>186</v>
      </c>
      <c r="B264" s="6">
        <v>47322859.770000003</v>
      </c>
      <c r="C264" s="6">
        <v>0</v>
      </c>
      <c r="D264" s="6">
        <f>B264-C264</f>
        <v>47322859.770000003</v>
      </c>
      <c r="E264" s="6">
        <f>IF(C264&lt;&gt;0, (D264/C264)*100, 0)</f>
        <v>0</v>
      </c>
      <c r="F264" s="6">
        <v>43069980.329999998</v>
      </c>
      <c r="G264" s="6">
        <f>B264-F264</f>
        <v>4252879.4400000051</v>
      </c>
      <c r="H264" s="6">
        <f>IF(F264&lt;&gt;0, (G264/F264)*100, 0)</f>
        <v>9.8743473004042706</v>
      </c>
    </row>
    <row r="265" spans="1:8" x14ac:dyDescent="0.3">
      <c r="A265" s="4" t="s">
        <v>187</v>
      </c>
      <c r="B265" s="6">
        <v>0</v>
      </c>
      <c r="C265" s="6">
        <v>0</v>
      </c>
      <c r="D265" s="6">
        <f>B265-C265</f>
        <v>0</v>
      </c>
      <c r="E265" s="6">
        <f>IF(C265&lt;&gt;0, (D265/C265)*100, 0)</f>
        <v>0</v>
      </c>
      <c r="F265" s="6">
        <v>40000</v>
      </c>
      <c r="G265" s="6">
        <f>B265-F265</f>
        <v>-40000</v>
      </c>
      <c r="H265" s="6">
        <f>IF(F265&lt;&gt;0, (G265/F265)*100, 0)</f>
        <v>-100</v>
      </c>
    </row>
    <row r="266" spans="1:8" x14ac:dyDescent="0.3">
      <c r="A266" s="4" t="s">
        <v>188</v>
      </c>
      <c r="B266" s="6">
        <v>566550</v>
      </c>
      <c r="C266" s="6">
        <v>0</v>
      </c>
      <c r="D266" s="6">
        <f>B266-C266</f>
        <v>566550</v>
      </c>
      <c r="E266" s="6">
        <f>IF(C266&lt;&gt;0, (D266/C266)*100, 0)</f>
        <v>0</v>
      </c>
      <c r="F266" s="6">
        <v>536550</v>
      </c>
      <c r="G266" s="6">
        <f>B266-F266</f>
        <v>30000</v>
      </c>
      <c r="H266" s="6">
        <f>IF(F266&lt;&gt;0, (G266/F266)*100, 0)</f>
        <v>5.5912776069331844</v>
      </c>
    </row>
    <row r="267" spans="1:8" x14ac:dyDescent="0.3">
      <c r="A267" s="4" t="s">
        <v>189</v>
      </c>
      <c r="B267" s="6">
        <v>1558630</v>
      </c>
      <c r="C267" s="6">
        <v>0</v>
      </c>
      <c r="D267" s="6">
        <f>B267-C267</f>
        <v>1558630</v>
      </c>
      <c r="E267" s="6">
        <f>IF(C267&lt;&gt;0, (D267/C267)*100, 0)</f>
        <v>0</v>
      </c>
      <c r="F267" s="6">
        <v>1389180</v>
      </c>
      <c r="G267" s="6">
        <f>B267-F267</f>
        <v>169450</v>
      </c>
      <c r="H267" s="6">
        <f>IF(F267&lt;&gt;0, (G267/F267)*100, 0)</f>
        <v>12.197843332037603</v>
      </c>
    </row>
    <row r="268" spans="1:8" x14ac:dyDescent="0.3">
      <c r="A268" s="4" t="s">
        <v>190</v>
      </c>
      <c r="B268" s="6">
        <v>0</v>
      </c>
      <c r="C268" s="6">
        <v>0</v>
      </c>
      <c r="D268" s="6">
        <f>B268-C268</f>
        <v>0</v>
      </c>
      <c r="E268" s="6">
        <f>IF(C268&lt;&gt;0, (D268/C268)*100, 0)</f>
        <v>0</v>
      </c>
      <c r="F268" s="6">
        <v>0</v>
      </c>
      <c r="G268" s="6">
        <f>B268-F268</f>
        <v>0</v>
      </c>
      <c r="H268" s="6">
        <f>IF(F268&lt;&gt;0, (G268/F268)*100, 0)</f>
        <v>0</v>
      </c>
    </row>
    <row r="269" spans="1:8" x14ac:dyDescent="0.3">
      <c r="A269" s="4" t="s">
        <v>191</v>
      </c>
      <c r="B269" s="6">
        <v>31800</v>
      </c>
      <c r="C269" s="6">
        <v>0</v>
      </c>
      <c r="D269" s="6">
        <f>B269-C269</f>
        <v>31800</v>
      </c>
      <c r="E269" s="6">
        <f>IF(C269&lt;&gt;0, (D269/C269)*100, 0)</f>
        <v>0</v>
      </c>
      <c r="F269" s="6">
        <v>31800</v>
      </c>
      <c r="G269" s="6">
        <f>B269-F269</f>
        <v>0</v>
      </c>
      <c r="H269" s="6">
        <f>IF(F269&lt;&gt;0, (G269/F269)*100, 0)</f>
        <v>0</v>
      </c>
    </row>
    <row r="270" spans="1:8" x14ac:dyDescent="0.3">
      <c r="A270" s="4" t="s">
        <v>192</v>
      </c>
      <c r="B270" s="6">
        <v>289350</v>
      </c>
      <c r="C270" s="6">
        <v>0</v>
      </c>
      <c r="D270" s="6">
        <f>B270-C270</f>
        <v>289350</v>
      </c>
      <c r="E270" s="6">
        <f>IF(C270&lt;&gt;0, (D270/C270)*100, 0)</f>
        <v>0</v>
      </c>
      <c r="F270" s="6">
        <v>289350</v>
      </c>
      <c r="G270" s="6">
        <f>B270-F270</f>
        <v>0</v>
      </c>
      <c r="H270" s="6">
        <f>IF(F270&lt;&gt;0, (G270/F270)*100, 0)</f>
        <v>0</v>
      </c>
    </row>
    <row r="271" spans="1:8" x14ac:dyDescent="0.3">
      <c r="A271" s="4" t="s">
        <v>193</v>
      </c>
      <c r="B271" s="6">
        <v>9273080</v>
      </c>
      <c r="C271" s="6">
        <v>0</v>
      </c>
      <c r="D271" s="6">
        <f>B271-C271</f>
        <v>9273080</v>
      </c>
      <c r="E271" s="6">
        <f>IF(C271&lt;&gt;0, (D271/C271)*100, 0)</f>
        <v>0</v>
      </c>
      <c r="F271" s="6">
        <v>6386180</v>
      </c>
      <c r="G271" s="6">
        <f>B271-F271</f>
        <v>2886900</v>
      </c>
      <c r="H271" s="6">
        <f>IF(F271&lt;&gt;0, (G271/F271)*100, 0)</f>
        <v>45.205427971024932</v>
      </c>
    </row>
    <row r="272" spans="1:8" x14ac:dyDescent="0.3">
      <c r="A272" s="4" t="s">
        <v>194</v>
      </c>
      <c r="B272" s="6">
        <v>318700</v>
      </c>
      <c r="C272" s="6">
        <v>0</v>
      </c>
      <c r="D272" s="6">
        <f>B272-C272</f>
        <v>318700</v>
      </c>
      <c r="E272" s="6">
        <f>IF(C272&lt;&gt;0, (D272/C272)*100, 0)</f>
        <v>0</v>
      </c>
      <c r="F272" s="6">
        <v>318700</v>
      </c>
      <c r="G272" s="6">
        <f>B272-F272</f>
        <v>0</v>
      </c>
      <c r="H272" s="6">
        <f>IF(F272&lt;&gt;0, (G272/F272)*100, 0)</f>
        <v>0</v>
      </c>
    </row>
    <row r="273" spans="1:8" x14ac:dyDescent="0.3">
      <c r="A273" s="4" t="s">
        <v>195</v>
      </c>
      <c r="B273" s="6">
        <v>0</v>
      </c>
      <c r="C273" s="6">
        <v>0</v>
      </c>
      <c r="D273" s="6">
        <f>B273-C273</f>
        <v>0</v>
      </c>
      <c r="E273" s="6">
        <f>IF(C273&lt;&gt;0, (D273/C273)*100, 0)</f>
        <v>0</v>
      </c>
      <c r="F273" s="6">
        <v>0</v>
      </c>
      <c r="G273" s="6">
        <f>B273-F273</f>
        <v>0</v>
      </c>
      <c r="H273" s="6">
        <f>IF(F273&lt;&gt;0, (G273/F273)*100, 0)</f>
        <v>0</v>
      </c>
    </row>
    <row r="274" spans="1:8" x14ac:dyDescent="0.3">
      <c r="A274" s="4" t="s">
        <v>196</v>
      </c>
      <c r="B274" s="6">
        <v>98000</v>
      </c>
      <c r="C274" s="6">
        <v>0</v>
      </c>
      <c r="D274" s="6">
        <f>B274-C274</f>
        <v>98000</v>
      </c>
      <c r="E274" s="6">
        <f>IF(C274&lt;&gt;0, (D274/C274)*100, 0)</f>
        <v>0</v>
      </c>
      <c r="F274" s="6">
        <v>432000</v>
      </c>
      <c r="G274" s="6">
        <f>B274-F274</f>
        <v>-334000</v>
      </c>
      <c r="H274" s="6">
        <f>IF(F274&lt;&gt;0, (G274/F274)*100, 0)</f>
        <v>-77.31481481481481</v>
      </c>
    </row>
    <row r="275" spans="1:8" x14ac:dyDescent="0.3">
      <c r="A275" s="4" t="s">
        <v>197</v>
      </c>
      <c r="B275" s="6">
        <v>0</v>
      </c>
      <c r="C275" s="6">
        <v>0</v>
      </c>
      <c r="D275" s="6">
        <f>B275-C275</f>
        <v>0</v>
      </c>
      <c r="E275" s="6">
        <f>IF(C275&lt;&gt;0, (D275/C275)*100, 0)</f>
        <v>0</v>
      </c>
      <c r="F275" s="6">
        <v>0</v>
      </c>
      <c r="G275" s="6">
        <f>B275-F275</f>
        <v>0</v>
      </c>
      <c r="H275" s="6">
        <f>IF(F275&lt;&gt;0, (G275/F275)*100, 0)</f>
        <v>0</v>
      </c>
    </row>
    <row r="276" spans="1:8" x14ac:dyDescent="0.3">
      <c r="A276" s="4" t="s">
        <v>198</v>
      </c>
      <c r="B276" s="6">
        <v>7369150</v>
      </c>
      <c r="C276" s="6">
        <v>0</v>
      </c>
      <c r="D276" s="6">
        <f>B276-C276</f>
        <v>7369150</v>
      </c>
      <c r="E276" s="6">
        <f>IF(C276&lt;&gt;0, (D276/C276)*100, 0)</f>
        <v>0</v>
      </c>
      <c r="F276" s="6">
        <v>5841150</v>
      </c>
      <c r="G276" s="6">
        <f>B276-F276</f>
        <v>1528000</v>
      </c>
      <c r="H276" s="6">
        <f>IF(F276&lt;&gt;0, (G276/F276)*100, 0)</f>
        <v>26.159232342946165</v>
      </c>
    </row>
    <row r="277" spans="1:8" x14ac:dyDescent="0.3">
      <c r="A277" s="4" t="s">
        <v>199</v>
      </c>
      <c r="B277" s="6">
        <v>542800</v>
      </c>
      <c r="C277" s="6">
        <v>0</v>
      </c>
      <c r="D277" s="6">
        <f>B277-C277</f>
        <v>542800</v>
      </c>
      <c r="E277" s="6">
        <f>IF(C277&lt;&gt;0, (D277/C277)*100, 0)</f>
        <v>0</v>
      </c>
      <c r="F277" s="6">
        <v>906800</v>
      </c>
      <c r="G277" s="6">
        <f>B277-F277</f>
        <v>-364000</v>
      </c>
      <c r="H277" s="6">
        <f>IF(F277&lt;&gt;0, (G277/F277)*100, 0)</f>
        <v>-40.141155712395239</v>
      </c>
    </row>
    <row r="278" spans="1:8" x14ac:dyDescent="0.3">
      <c r="A278" s="4" t="s">
        <v>200</v>
      </c>
      <c r="B278" s="6">
        <v>17250959.940000001</v>
      </c>
      <c r="C278" s="6">
        <v>0</v>
      </c>
      <c r="D278" s="6">
        <f>B278-C278</f>
        <v>17250959.940000001</v>
      </c>
      <c r="E278" s="6">
        <f>IF(C278&lt;&gt;0, (D278/C278)*100, 0)</f>
        <v>0</v>
      </c>
      <c r="F278" s="6">
        <v>11158026.939999999</v>
      </c>
      <c r="G278" s="6">
        <f>B278-F278</f>
        <v>6092933.0000000019</v>
      </c>
      <c r="H278" s="6">
        <f>IF(F278&lt;&gt;0, (G278/F278)*100, 0)</f>
        <v>54.605828008513498</v>
      </c>
    </row>
    <row r="279" spans="1:8" x14ac:dyDescent="0.3">
      <c r="A279" s="4" t="s">
        <v>201</v>
      </c>
      <c r="B279" s="6">
        <v>1724050</v>
      </c>
      <c r="C279" s="6">
        <v>0</v>
      </c>
      <c r="D279" s="6">
        <f>B279-C279</f>
        <v>1724050</v>
      </c>
      <c r="E279" s="6">
        <f>IF(C279&lt;&gt;0, (D279/C279)*100, 0)</f>
        <v>0</v>
      </c>
      <c r="F279" s="6">
        <v>1187950</v>
      </c>
      <c r="G279" s="6">
        <f>B279-F279</f>
        <v>536100</v>
      </c>
      <c r="H279" s="6">
        <f>IF(F279&lt;&gt;0, (G279/F279)*100, 0)</f>
        <v>45.128161959678437</v>
      </c>
    </row>
    <row r="280" spans="1:8" x14ac:dyDescent="0.3">
      <c r="A280" s="4" t="s">
        <v>202</v>
      </c>
      <c r="B280" s="6">
        <v>0</v>
      </c>
      <c r="C280" s="6">
        <v>0</v>
      </c>
      <c r="D280" s="6">
        <f>B280-C280</f>
        <v>0</v>
      </c>
      <c r="E280" s="6">
        <f>IF(C280&lt;&gt;0, (D280/C280)*100, 0)</f>
        <v>0</v>
      </c>
      <c r="F280" s="6">
        <v>0</v>
      </c>
      <c r="G280" s="6">
        <f>B280-F280</f>
        <v>0</v>
      </c>
      <c r="H280" s="6">
        <f>IF(F280&lt;&gt;0, (G280/F280)*100, 0)</f>
        <v>0</v>
      </c>
    </row>
    <row r="281" spans="1:8" x14ac:dyDescent="0.3">
      <c r="A281" s="4" t="s">
        <v>203</v>
      </c>
      <c r="B281" s="6">
        <v>183500</v>
      </c>
      <c r="C281" s="6">
        <v>0</v>
      </c>
      <c r="D281" s="6">
        <f>B281-C281</f>
        <v>183500</v>
      </c>
      <c r="E281" s="6">
        <f>IF(C281&lt;&gt;0, (D281/C281)*100, 0)</f>
        <v>0</v>
      </c>
      <c r="F281" s="6">
        <v>183500</v>
      </c>
      <c r="G281" s="6">
        <f>B281-F281</f>
        <v>0</v>
      </c>
      <c r="H281" s="6">
        <f>IF(F281&lt;&gt;0, (G281/F281)*100, 0)</f>
        <v>0</v>
      </c>
    </row>
    <row r="282" spans="1:8" x14ac:dyDescent="0.3">
      <c r="A282" s="4" t="s">
        <v>204</v>
      </c>
      <c r="B282" s="6">
        <v>0</v>
      </c>
      <c r="C282" s="6">
        <v>0</v>
      </c>
      <c r="D282" s="6">
        <f>B282-C282</f>
        <v>0</v>
      </c>
      <c r="E282" s="6">
        <f>IF(C282&lt;&gt;0, (D282/C282)*100, 0)</f>
        <v>0</v>
      </c>
      <c r="F282" s="6">
        <v>0</v>
      </c>
      <c r="G282" s="6">
        <f>B282-F282</f>
        <v>0</v>
      </c>
      <c r="H282" s="6">
        <f>IF(F282&lt;&gt;0, (G282/F282)*100, 0)</f>
        <v>0</v>
      </c>
    </row>
    <row r="283" spans="1:8" x14ac:dyDescent="0.3">
      <c r="A283" s="4" t="s">
        <v>205</v>
      </c>
      <c r="B283" s="6">
        <v>52000</v>
      </c>
      <c r="C283" s="6">
        <v>0</v>
      </c>
      <c r="D283" s="6">
        <f>B283-C283</f>
        <v>52000</v>
      </c>
      <c r="E283" s="6">
        <f>IF(C283&lt;&gt;0, (D283/C283)*100, 0)</f>
        <v>0</v>
      </c>
      <c r="F283" s="6">
        <v>52000</v>
      </c>
      <c r="G283" s="6">
        <f>B283-F283</f>
        <v>0</v>
      </c>
      <c r="H283" s="6">
        <f>IF(F283&lt;&gt;0, (G283/F283)*100, 0)</f>
        <v>0</v>
      </c>
    </row>
    <row r="284" spans="1:8" x14ac:dyDescent="0.3">
      <c r="A284" s="4" t="s">
        <v>206</v>
      </c>
      <c r="B284" s="6">
        <v>1144440.5900000001</v>
      </c>
      <c r="C284" s="6">
        <v>0</v>
      </c>
      <c r="D284" s="6">
        <f>B284-C284</f>
        <v>1144440.5900000001</v>
      </c>
      <c r="E284" s="6">
        <f>IF(C284&lt;&gt;0, (D284/C284)*100, 0)</f>
        <v>0</v>
      </c>
      <c r="F284" s="6">
        <v>1034572.38</v>
      </c>
      <c r="G284" s="6">
        <f>B284-F284</f>
        <v>109868.21000000008</v>
      </c>
      <c r="H284" s="6">
        <f>IF(F284&lt;&gt;0, (G284/F284)*100, 0)</f>
        <v>10.61967360852994</v>
      </c>
    </row>
    <row r="285" spans="1:8" x14ac:dyDescent="0.3">
      <c r="A285" s="4" t="s">
        <v>207</v>
      </c>
      <c r="B285" s="6">
        <v>22644081.75</v>
      </c>
      <c r="C285" s="6">
        <v>0</v>
      </c>
      <c r="D285" s="6">
        <f>B285-C285</f>
        <v>22644081.75</v>
      </c>
      <c r="E285" s="6">
        <f>IF(C285&lt;&gt;0, (D285/C285)*100, 0)</f>
        <v>0</v>
      </c>
      <c r="F285" s="6">
        <v>20650614.260000002</v>
      </c>
      <c r="G285" s="6">
        <f>B285-F285</f>
        <v>1993467.4899999984</v>
      </c>
      <c r="H285" s="6">
        <f>IF(F285&lt;&gt;0, (G285/F285)*100, 0)</f>
        <v>9.6533084435232599</v>
      </c>
    </row>
    <row r="286" spans="1:8" x14ac:dyDescent="0.3">
      <c r="A286" s="4" t="s">
        <v>208</v>
      </c>
      <c r="B286" s="6">
        <v>44857692.020000003</v>
      </c>
      <c r="C286" s="6">
        <v>0</v>
      </c>
      <c r="D286" s="6">
        <f>B286-C286</f>
        <v>44857692.020000003</v>
      </c>
      <c r="E286" s="6">
        <f>IF(C286&lt;&gt;0, (D286/C286)*100, 0)</f>
        <v>0</v>
      </c>
      <c r="F286" s="6">
        <v>28888800.300000001</v>
      </c>
      <c r="G286" s="6">
        <f>B286-F286</f>
        <v>15968891.720000003</v>
      </c>
      <c r="H286" s="6">
        <f>IF(F286&lt;&gt;0, (G286/F286)*100, 0)</f>
        <v>55.277102386283595</v>
      </c>
    </row>
    <row r="287" spans="1:8" x14ac:dyDescent="0.3">
      <c r="A287" s="4" t="s">
        <v>209</v>
      </c>
      <c r="B287" s="6">
        <v>1659990</v>
      </c>
      <c r="C287" s="6">
        <v>0</v>
      </c>
      <c r="D287" s="6">
        <f>B287-C287</f>
        <v>1659990</v>
      </c>
      <c r="E287" s="6">
        <f>IF(C287&lt;&gt;0, (D287/C287)*100, 0)</f>
        <v>0</v>
      </c>
      <c r="F287" s="6">
        <v>1500500.37</v>
      </c>
      <c r="G287" s="6">
        <f>B287-F287</f>
        <v>159489.62999999989</v>
      </c>
      <c r="H287" s="6">
        <f>IF(F287&lt;&gt;0, (G287/F287)*100, 0)</f>
        <v>10.62909634604088</v>
      </c>
    </row>
    <row r="288" spans="1:8" customFormat="1" ht="14.5" x14ac:dyDescent="0.35">
      <c r="A288" s="7"/>
      <c r="B288" s="9"/>
      <c r="C288" s="9"/>
      <c r="D288" s="9"/>
      <c r="E288" s="8"/>
      <c r="F288" s="9"/>
      <c r="G288" s="9"/>
      <c r="H288" s="8"/>
    </row>
    <row r="289" spans="1:8" x14ac:dyDescent="0.3">
      <c r="A289" s="4" t="s">
        <v>210</v>
      </c>
      <c r="B289" s="6">
        <f>ROUND(SUBTOTAL(9, B199:B288), 5)</f>
        <v>580485502.00999999</v>
      </c>
      <c r="C289" s="6">
        <f>ROUND(SUBTOTAL(9, C199:C288), 5)</f>
        <v>0</v>
      </c>
      <c r="D289" s="6">
        <f>B289-C289</f>
        <v>580485502.00999999</v>
      </c>
      <c r="E289" s="6">
        <f>IF(C289&lt;&gt;0, (D289/C289)*100, 0)</f>
        <v>0</v>
      </c>
      <c r="F289" s="6">
        <f>ROUND(SUBTOTAL(9, F199:F288), 5)</f>
        <v>490604360.69999999</v>
      </c>
      <c r="G289" s="6">
        <f>B289-F289</f>
        <v>89881141.310000002</v>
      </c>
      <c r="H289" s="6">
        <f>IF(F289&lt;&gt;0, (G289/F289)*100, 0)</f>
        <v>18.320493764416717</v>
      </c>
    </row>
    <row r="290" spans="1:8" customFormat="1" ht="14.5" x14ac:dyDescent="0.35">
      <c r="A290" s="7"/>
      <c r="B290" s="9"/>
      <c r="C290" s="9"/>
      <c r="D290" s="9"/>
      <c r="E290" s="8"/>
      <c r="F290" s="9"/>
      <c r="G290" s="9"/>
      <c r="H290" s="8"/>
    </row>
    <row r="291" spans="1:8" ht="13.5" thickBot="1" x14ac:dyDescent="0.35">
      <c r="A291" s="4" t="s">
        <v>211</v>
      </c>
      <c r="B291" s="5">
        <f>-(ROUND(-B197+B289, 5))</f>
        <v>827394259.67999995</v>
      </c>
      <c r="C291" s="5">
        <f>-(ROUND(-C197+C289, 5))</f>
        <v>0</v>
      </c>
      <c r="D291" s="6">
        <f>B291-C291</f>
        <v>827394259.67999995</v>
      </c>
      <c r="E291" s="6">
        <f>IF(C291&lt;&gt;0, (D291/C291)*100, 0)</f>
        <v>0</v>
      </c>
      <c r="F291" s="5">
        <f>-(ROUND(-F197+F289, 5))</f>
        <v>660954984.10000002</v>
      </c>
      <c r="G291" s="6">
        <f>B291-F291</f>
        <v>166439275.57999992</v>
      </c>
      <c r="H291" s="6">
        <f>IF(F291&lt;&gt;0, (G291/F291)*100, 0)</f>
        <v>25.181635600590052</v>
      </c>
    </row>
    <row r="292" spans="1:8" customFormat="1" ht="15.5" thickTop="1" thickBot="1" x14ac:dyDescent="0.4">
      <c r="A292" s="11"/>
      <c r="B292" s="12"/>
      <c r="C292" s="12"/>
      <c r="D292" s="12"/>
      <c r="E292" s="13"/>
      <c r="F292" s="12"/>
      <c r="G292" s="12"/>
      <c r="H292" s="13"/>
    </row>
  </sheetData>
  <pageMargins left="0.7" right="0.7" top="1.5555555555555556" bottom="0.65277777777777779" header="0.3" footer="0.3"/>
  <pageSetup orientation="landscape" r:id="rId1"/>
  <headerFooter>
    <oddHeader xml:space="preserve">&amp;C&amp;"Times New Roman"&amp;8
&amp;10PLACEWARE NIGERIA LIMITED
Period Income Statement 
Compared with Budget and Last Year
For the Six Months Ending June 30, 2026
&amp;L&amp;"Times New Roman"&amp;8
&amp;10
</oddHeader>
    <oddFooter>&amp;L&amp;10&amp;"Times New Roman"&amp;D at &amp;T&amp;R&amp;10&amp;"Times New Roman"Page: &amp;P&amp;C&amp;10&amp;"Times New Roman"For Management Purposes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Income-Budget-Per</vt:lpstr>
      <vt:lpstr>'Income-Budget-Per'!Print_Titles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2026-07-05T18:00:57Z</dcterms:created>
  <dcterms:modified xsi:type="dcterms:W3CDTF">2026-07-05T18:08:44Z</dcterms:modified>
</cp:coreProperties>
</file>