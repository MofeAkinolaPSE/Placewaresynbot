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B0BB6CB1-5629-43D1-BE2E-1C37B1A7518E}" xr6:coauthVersionLast="47" xr6:coauthVersionMax="47" xr10:uidLastSave="{00000000-0000-0000-0000-000000000000}"/>
  <bookViews>
    <workbookView xWindow="-110" yWindow="-110" windowWidth="19420" windowHeight="10300" xr2:uid="{72F1984C-0D00-4601-AF91-5DEBCCEEC8A3}"/>
  </bookViews>
  <sheets>
    <sheet name="Income Stmnt" sheetId="1" r:id="rId1"/>
  </sheets>
  <definedNames>
    <definedName name="_xlnm.Print_Titles" localSheetId="0">'Income Stmnt'!$1:$1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1" l="1"/>
  <c r="D291" i="1"/>
  <c r="C291" i="1"/>
  <c r="B291" i="1"/>
  <c r="E289" i="1"/>
  <c r="D289" i="1"/>
  <c r="C289" i="1"/>
  <c r="B289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7" i="1"/>
  <c r="D197" i="1"/>
  <c r="C197" i="1"/>
  <c r="B197" i="1"/>
  <c r="E195" i="1"/>
  <c r="D195" i="1"/>
  <c r="C195" i="1"/>
  <c r="B195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98" i="1"/>
  <c r="D98" i="1"/>
  <c r="C98" i="1"/>
  <c r="B98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</calcChain>
</file>

<file path=xl/sharedStrings.xml><?xml version="1.0" encoding="utf-8"?>
<sst xmlns="http://schemas.openxmlformats.org/spreadsheetml/2006/main" count="285" uniqueCount="208">
  <si>
    <t>Current
Month</t>
  </si>
  <si>
    <t>Year to
Date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</si>
  <si>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</si>
  <si>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</si>
  <si>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</si>
  <si>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</si>
  <si>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</si>
  <si>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</si>
  <si>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</si>
  <si>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</si>
  <si>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</si>
  <si>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</si>
  <si>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</si>
  <si>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</si>
  <si>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</si>
  <si>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</si>
  <si>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</si>
  <si>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</si>
  <si>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</si>
  <si>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</si>
  <si>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</si>
  <si>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</si>
  <si>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</si>
  <si>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</si>
  <si>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</si>
  <si>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</si>
  <si>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</si>
  <si>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</si>
  <si>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</si>
  <si>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</si>
  <si>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</si>
  <si>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</si>
  <si>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</si>
  <si>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</si>
  <si>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</si>
  <si>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</si>
  <si>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</si>
  <si>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</si>
  <si>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</si>
  <si>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</si>
  <si>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</si>
  <si>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</si>
  <si>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</si>
  <si>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</si>
  <si>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</si>
  <si>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</si>
  <si>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</si>
  <si>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</si>
  <si>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</si>
  <si>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</si>
  <si>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</si>
  <si>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</si>
  <si>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</si>
  <si>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</si>
  <si>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</si>
  <si>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</si>
  <si>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</si>
  <si>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</si>
  <si>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</si>
  <si>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</si>
  <si>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</si>
  <si>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</si>
  <si>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</si>
  <si>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</si>
  <si>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</si>
  <si>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</si>
  <si>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</si>
  <si>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</si>
  <si>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</si>
  <si>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</si>
  <si>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</si>
  <si>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</si>
  <si>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</si>
  <si>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</si>
  <si>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</si>
  <si>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</si>
  <si>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</si>
  <si>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</si>
  <si>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</si>
  <si>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</si>
  <si>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</si>
  <si>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</si>
  <si>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</si>
  <si>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</si>
  <si>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</si>
  <si>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</si>
  <si>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</si>
  <si>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</si>
  <si>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</si>
  <si>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</si>
  <si>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</si>
  <si>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</si>
  <si>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</si>
  <si>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</si>
  <si>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</t>
  </si>
  <si>
    <t/>
  </si>
  <si>
    <t>Cost of Sales</t>
  </si>
  <si>
    <t>Measles.Mumps &amp; Rubella Vac</t>
  </si>
  <si>
    <t>Dipthteria,Tetanu,Pertus(w),He</t>
  </si>
  <si>
    <t>Dipth,Tetan,Pertu(w),HepB&amp;Hib</t>
  </si>
  <si>
    <t>Chronic Hep B treat(Lamivudine</t>
  </si>
  <si>
    <t>Stamaril 1 Vial</t>
  </si>
  <si>
    <t>Novomix 30 Flexpen 100u</t>
  </si>
  <si>
    <t>Chicken Pox Vaccine(zolon)</t>
  </si>
  <si>
    <t>Cost of Sales-notions</t>
  </si>
  <si>
    <t>Cost of Sales-accessories</t>
  </si>
  <si>
    <t>Cost of Sales-Salaries and Wag</t>
  </si>
  <si>
    <t>Cost of Sales-Freight</t>
  </si>
  <si>
    <t>Cost of Sales-Other</t>
  </si>
  <si>
    <t>Inventory Adjustments</t>
  </si>
  <si>
    <t>Purchase Returns and Allowance</t>
  </si>
  <si>
    <t>Purchase Discounts</t>
  </si>
  <si>
    <t>Actrapid Flexpen</t>
  </si>
  <si>
    <t>Nucard 160mg</t>
  </si>
  <si>
    <t>Tetanus dipthteria multiple</t>
  </si>
  <si>
    <t>Total Cost of Sales</t>
  </si>
  <si>
    <t>Gross Profit</t>
  </si>
  <si>
    <t>Expenses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</si>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</sst>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CA05-5158-4335-8FF9-681F07E3D7AA}">
  <dimension ref="A1:E292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2" width="14.6328125" style="1" customWidth="1"/>
    <col min="3" max="3" width="8.6328125" style="1" customWidth="1"/>
    <col min="4" max="4" width="15.6328125" style="1" customWidth="1"/>
    <col min="5" max="5" width="8.6328125" style="1" customWidth="1"/>
    <col min="6" max="16384" width="8.7265625" style="1"/>
  </cols>
  <sheetData>
    <row r="1" spans="1:5" ht="26" x14ac:dyDescent="0.3">
      <c r="A1" s="2"/>
      <c r="B1" s="3" t="s">
        <v>0</v>
      </c>
      <c r="C1" s="2"/>
      <c r="D1" s="3" t="s">
        <v>1</v>
      </c>
      <c r="E1" s="2"/>
    </row>
    <row r="2" spans="1:5" x14ac:dyDescent="0.3">
      <c r="A2" s="4" t="s">
        <v>2</v>
      </c>
    </row>
    <row r="3" spans="1:5" x14ac:dyDescent="0.3">
      <c r="A3" s="4" t="s">
        <v>3</v>
      </c>
      <c r="B3" s="5">
        <v>0</v>
      </c>
      <c r="C3" s="6">
        <f>IF(8613337354.21&lt;&gt;0, (B3/8613337354.21)*100, 0)</f>
        <v>0</v>
      </c>
      <c r="D3" s="5">
        <v>0</v>
      </c>
      <c r="E3" s="6">
        <f>IF(841131444.28&lt;&gt;0, (D3/841131444.28)*100, 0)</f>
        <v>0</v>
      </c>
    </row>
    <row r="4" spans="1:5" x14ac:dyDescent="0.3">
      <c r="A4" s="4" t="s">
        <v>4</v>
      </c>
      <c r="B4" s="6">
        <v>295304346.48000002</v>
      </c>
      <c r="C4" s="6">
        <f>IF(8613337354.21&lt;&gt;0, (B4/8613337354.21)*100, 0)</f>
        <v>3.4284544345132626</v>
      </c>
      <c r="D4" s="6">
        <v>7662977</v>
      </c>
      <c r="E4" s="6">
        <f>IF(841131444.28&lt;&gt;0, (D4/841131444.28)*100, 0)</f>
        <v>0.91103204524227843</v>
      </c>
    </row>
    <row r="5" spans="1:5" x14ac:dyDescent="0.3">
      <c r="A5" s="4" t="s">
        <v>5</v>
      </c>
      <c r="B5" s="6">
        <v>549535096.25999999</v>
      </c>
      <c r="C5" s="6">
        <f>IF(8613337354.21&lt;&gt;0, (B5/8613337354.21)*100, 0)</f>
        <v>6.3800484488326701</v>
      </c>
      <c r="D5" s="6">
        <v>59708100.590000004</v>
      </c>
      <c r="E5" s="6">
        <f>IF(841131444.28&lt;&gt;0, (D5/841131444.28)*100, 0)</f>
        <v>7.098545773795145</v>
      </c>
    </row>
    <row r="6" spans="1:5" x14ac:dyDescent="0.3">
      <c r="A6" s="4" t="s">
        <v>6</v>
      </c>
      <c r="B6" s="6">
        <v>551398256</v>
      </c>
      <c r="C6" s="6">
        <f>IF(8613337354.21&lt;&gt;0, (B6/8613337354.21)*100, 0)</f>
        <v>6.401679550267346</v>
      </c>
      <c r="D6" s="6">
        <v>26983038</v>
      </c>
      <c r="E6" s="6">
        <f>IF(841131444.28&lt;&gt;0, (D6/841131444.28)*100, 0)</f>
        <v>3.2079454624475736</v>
      </c>
    </row>
    <row r="7" spans="1:5" x14ac:dyDescent="0.3">
      <c r="A7" s="4" t="s">
        <v>7</v>
      </c>
      <c r="B7" s="6">
        <v>2000000</v>
      </c>
      <c r="C7" s="6">
        <f>IF(8613337354.21&lt;&gt;0, (B7/8613337354.21)*100, 0)</f>
        <v>2.3219803402016365E-2</v>
      </c>
      <c r="D7" s="6">
        <v>1325000</v>
      </c>
      <c r="E7" s="6">
        <f>IF(841131444.28&lt;&gt;0, (D7/841131444.28)*100, 0)</f>
        <v>0.15752591452982556</v>
      </c>
    </row>
    <row r="8" spans="1:5" x14ac:dyDescent="0.3">
      <c r="A8" s="4" t="s">
        <v>8</v>
      </c>
      <c r="B8" s="6">
        <v>0</v>
      </c>
      <c r="C8" s="6">
        <f>IF(8613337354.21&lt;&gt;0, (B8/8613337354.21)*100, 0)</f>
        <v>0</v>
      </c>
      <c r="D8" s="6">
        <v>0</v>
      </c>
      <c r="E8" s="6">
        <f>IF(841131444.28&lt;&gt;0, (D8/841131444.28)*100, 0)</f>
        <v>0</v>
      </c>
    </row>
    <row r="9" spans="1:5" x14ac:dyDescent="0.3">
      <c r="A9" s="4" t="s">
        <v>9</v>
      </c>
      <c r="B9" s="6">
        <v>354600</v>
      </c>
      <c r="C9" s="6">
        <f>IF(8613337354.21&lt;&gt;0, (B9/8613337354.21)*100, 0)</f>
        <v>4.1168711431775022E-3</v>
      </c>
      <c r="D9" s="6">
        <v>0</v>
      </c>
      <c r="E9" s="6">
        <f>IF(841131444.28&lt;&gt;0, (D9/841131444.28)*100, 0)</f>
        <v>0</v>
      </c>
    </row>
    <row r="10" spans="1:5" x14ac:dyDescent="0.3">
      <c r="A10" s="4" t="s">
        <v>10</v>
      </c>
      <c r="B10" s="6">
        <v>243536672.25999999</v>
      </c>
      <c r="C10" s="6">
        <f>IF(8613337354.21&lt;&gt;0, (B10/8613337354.21)*100, 0)</f>
        <v>2.8274368255292464</v>
      </c>
      <c r="D10" s="6">
        <v>23642722.260000002</v>
      </c>
      <c r="E10" s="6">
        <f>IF(841131444.28&lt;&gt;0, (D10/841131444.28)*100, 0)</f>
        <v>2.8108237328159729</v>
      </c>
    </row>
    <row r="11" spans="1:5" x14ac:dyDescent="0.3">
      <c r="A11" s="4" t="s">
        <v>11</v>
      </c>
      <c r="B11" s="6">
        <v>660380510.85000002</v>
      </c>
      <c r="C11" s="6">
        <f>IF(8613337354.21&lt;&gt;0, (B11/8613337354.21)*100, 0)</f>
        <v>7.6669528162300686</v>
      </c>
      <c r="D11" s="6">
        <v>93593117</v>
      </c>
      <c r="E11" s="6">
        <f>IF(841131444.28&lt;&gt;0, (D11/841131444.28)*100, 0)</f>
        <v>11.127050074809029</v>
      </c>
    </row>
    <row r="12" spans="1:5" x14ac:dyDescent="0.3">
      <c r="A12" s="4" t="s">
        <v>12</v>
      </c>
      <c r="B12" s="6">
        <v>216837160.53999999</v>
      </c>
      <c r="C12" s="6">
        <f>IF(8613337354.21&lt;&gt;0, (B12/8613337354.21)*100, 0)</f>
        <v>2.5174581189951306</v>
      </c>
      <c r="D12" s="6">
        <v>0</v>
      </c>
      <c r="E12" s="6">
        <f>IF(841131444.28&lt;&gt;0, (D12/841131444.28)*100, 0)</f>
        <v>0</v>
      </c>
    </row>
    <row r="13" spans="1:5" x14ac:dyDescent="0.3">
      <c r="A13" s="4" t="s">
        <v>13</v>
      </c>
      <c r="B13" s="6">
        <v>0</v>
      </c>
      <c r="C13" s="6">
        <f>IF(8613337354.21&lt;&gt;0, (B13/8613337354.21)*100, 0)</f>
        <v>0</v>
      </c>
      <c r="D13" s="6">
        <v>0</v>
      </c>
      <c r="E13" s="6">
        <f>IF(841131444.28&lt;&gt;0, (D13/841131444.28)*100, 0)</f>
        <v>0</v>
      </c>
    </row>
    <row r="14" spans="1:5" x14ac:dyDescent="0.3">
      <c r="A14" s="4" t="s">
        <v>14</v>
      </c>
      <c r="B14" s="6">
        <v>0</v>
      </c>
      <c r="C14" s="6">
        <f>IF(8613337354.21&lt;&gt;0, (B14/8613337354.21)*100, 0)</f>
        <v>0</v>
      </c>
      <c r="D14" s="6">
        <v>0</v>
      </c>
      <c r="E14" s="6">
        <f>IF(841131444.28&lt;&gt;0, (D14/841131444.28)*100, 0)</f>
        <v>0</v>
      </c>
    </row>
    <row r="15" spans="1:5" x14ac:dyDescent="0.3">
      <c r="A15" s="4" t="s">
        <v>15</v>
      </c>
      <c r="B15" s="6">
        <v>990200376.39999998</v>
      </c>
      <c r="C15" s="6">
        <f>IF(8613337354.21&lt;&gt;0, (B15/8613337354.21)*100, 0)</f>
        <v>11.496129034305303</v>
      </c>
      <c r="D15" s="6">
        <v>81113513</v>
      </c>
      <c r="E15" s="6">
        <f>IF(841131444.28&lt;&gt;0, (D15/841131444.28)*100, 0)</f>
        <v>9.6433813706052032</v>
      </c>
    </row>
    <row r="16" spans="1:5" x14ac:dyDescent="0.3">
      <c r="A16" s="4" t="s">
        <v>16</v>
      </c>
      <c r="B16" s="6">
        <v>0</v>
      </c>
      <c r="C16" s="6">
        <f>IF(8613337354.21&lt;&gt;0, (B16/8613337354.21)*100, 0)</f>
        <v>0</v>
      </c>
      <c r="D16" s="6">
        <v>0</v>
      </c>
      <c r="E16" s="6">
        <f>IF(841131444.28&lt;&gt;0, (D16/841131444.28)*100, 0)</f>
        <v>0</v>
      </c>
    </row>
    <row r="17" spans="1:5" x14ac:dyDescent="0.3">
      <c r="A17" s="4" t="s">
        <v>17</v>
      </c>
      <c r="B17" s="6">
        <v>7053842</v>
      </c>
      <c r="C17" s="6">
        <f>IF(8613337354.21&lt;&gt;0, (B17/8613337354.21)*100, 0)</f>
        <v>8.1894412234442965E-2</v>
      </c>
      <c r="D17" s="6">
        <v>0</v>
      </c>
      <c r="E17" s="6">
        <f>IF(841131444.28&lt;&gt;0, (D17/841131444.28)*100, 0)</f>
        <v>0</v>
      </c>
    </row>
    <row r="18" spans="1:5" x14ac:dyDescent="0.3">
      <c r="A18" s="4" t="s">
        <v>18</v>
      </c>
      <c r="B18" s="6">
        <v>693281566.55999994</v>
      </c>
      <c r="C18" s="6">
        <f>IF(8613337354.21&lt;&gt;0, (B18/8613337354.21)*100, 0)</f>
        <v>8.048930838882562</v>
      </c>
      <c r="D18" s="6">
        <v>33852727</v>
      </c>
      <c r="E18" s="6">
        <f>IF(841131444.28&lt;&gt;0, (D18/841131444.28)*100, 0)</f>
        <v>4.0246654943422779</v>
      </c>
    </row>
    <row r="19" spans="1:5" x14ac:dyDescent="0.3">
      <c r="A19" s="4" t="s">
        <v>19</v>
      </c>
      <c r="B19" s="6">
        <v>4582037.5</v>
      </c>
      <c r="C19" s="6">
        <f>IF(8613337354.21&lt;&gt;0, (B19/8613337354.21)*100, 0)</f>
        <v>5.3197004965333285E-2</v>
      </c>
      <c r="D19" s="6">
        <v>15000</v>
      </c>
      <c r="E19" s="6">
        <f>IF(841131444.28&lt;&gt;0, (D19/841131444.28)*100, 0)</f>
        <v>1.7833122399602895E-3</v>
      </c>
    </row>
    <row r="20" spans="1:5" x14ac:dyDescent="0.3">
      <c r="A20" s="4" t="s">
        <v>20</v>
      </c>
      <c r="B20" s="6">
        <v>200385723.40000001</v>
      </c>
      <c r="C20" s="6">
        <f>IF(8613337354.21&lt;&gt;0, (B20/8613337354.21)*100, 0)</f>
        <v>2.3264585509594156</v>
      </c>
      <c r="D20" s="6">
        <v>26988403</v>
      </c>
      <c r="E20" s="6">
        <f>IF(841131444.28&lt;&gt;0, (D20/841131444.28)*100, 0)</f>
        <v>3.2085832937920657</v>
      </c>
    </row>
    <row r="21" spans="1:5" x14ac:dyDescent="0.3">
      <c r="A21" s="4" t="s">
        <v>21</v>
      </c>
      <c r="B21" s="6">
        <v>27821224.5</v>
      </c>
      <c r="C21" s="6">
        <f>IF(8613337354.21&lt;&gt;0, (B21/8613337354.21)*100, 0)</f>
        <v>0.32300168164668058</v>
      </c>
      <c r="D21" s="6">
        <v>0</v>
      </c>
      <c r="E21" s="6">
        <f>IF(841131444.28&lt;&gt;0, (D21/841131444.28)*100, 0)</f>
        <v>0</v>
      </c>
    </row>
    <row r="22" spans="1:5" x14ac:dyDescent="0.3">
      <c r="A22" s="4" t="s">
        <v>22</v>
      </c>
      <c r="B22" s="6">
        <v>17300799.359999999</v>
      </c>
      <c r="C22" s="6">
        <f>IF(8613337354.21&lt;&gt;0, (B22/8613337354.21)*100, 0)</f>
        <v>0.20086057991846532</v>
      </c>
      <c r="D22" s="6">
        <v>0</v>
      </c>
      <c r="E22" s="6">
        <f>IF(841131444.28&lt;&gt;0, (D22/841131444.28)*100, 0)</f>
        <v>0</v>
      </c>
    </row>
    <row r="23" spans="1:5" x14ac:dyDescent="0.3">
      <c r="A23" s="4" t="s">
        <v>23</v>
      </c>
      <c r="B23" s="6">
        <v>0</v>
      </c>
      <c r="C23" s="6">
        <f>IF(8613337354.21&lt;&gt;0, (B23/8613337354.21)*100, 0)</f>
        <v>0</v>
      </c>
      <c r="D23" s="6">
        <v>0</v>
      </c>
      <c r="E23" s="6">
        <f>IF(841131444.28&lt;&gt;0, (D23/841131444.28)*100, 0)</f>
        <v>0</v>
      </c>
    </row>
    <row r="24" spans="1:5" x14ac:dyDescent="0.3">
      <c r="A24" s="4" t="s">
        <v>24</v>
      </c>
      <c r="B24" s="6">
        <v>0</v>
      </c>
      <c r="C24" s="6">
        <f>IF(8613337354.21&lt;&gt;0, (B24/8613337354.21)*100, 0)</f>
        <v>0</v>
      </c>
      <c r="D24" s="6">
        <v>0</v>
      </c>
      <c r="E24" s="6">
        <f>IF(841131444.28&lt;&gt;0, (D24/841131444.28)*100, 0)</f>
        <v>0</v>
      </c>
    </row>
    <row r="25" spans="1:5" x14ac:dyDescent="0.3">
      <c r="A25" s="4" t="s">
        <v>25</v>
      </c>
      <c r="B25" s="6">
        <v>654062</v>
      </c>
      <c r="C25" s="6">
        <f>IF(8613337354.21&lt;&gt;0, (B25/8613337354.21)*100, 0)</f>
        <v>7.5935955263648144E-3</v>
      </c>
      <c r="D25" s="6">
        <v>0</v>
      </c>
      <c r="E25" s="6">
        <f>IF(841131444.28&lt;&gt;0, (D25/841131444.28)*100, 0)</f>
        <v>0</v>
      </c>
    </row>
    <row r="26" spans="1:5" x14ac:dyDescent="0.3">
      <c r="A26" s="4" t="s">
        <v>26</v>
      </c>
      <c r="B26" s="6">
        <v>34493917.5</v>
      </c>
      <c r="C26" s="6">
        <f>IF(8613337354.21&lt;&gt;0, (B26/8613337354.21)*100, 0)</f>
        <v>0.400470991457686</v>
      </c>
      <c r="D26" s="6">
        <v>6999198</v>
      </c>
      <c r="E26" s="6">
        <f>IF(841131444.28&lt;&gt;0, (D26/841131444.28)*100, 0)</f>
        <v>0.83211703088703848</v>
      </c>
    </row>
    <row r="27" spans="1:5" x14ac:dyDescent="0.3">
      <c r="A27" s="4" t="s">
        <v>27</v>
      </c>
      <c r="B27" s="6">
        <v>0</v>
      </c>
      <c r="C27" s="6">
        <f>IF(8613337354.21&lt;&gt;0, (B27/8613337354.21)*100, 0)</f>
        <v>0</v>
      </c>
      <c r="D27" s="6">
        <v>0</v>
      </c>
      <c r="E27" s="6">
        <f>IF(841131444.28&lt;&gt;0, (D27/841131444.28)*100, 0)</f>
        <v>0</v>
      </c>
    </row>
    <row r="28" spans="1:5" x14ac:dyDescent="0.3">
      <c r="A28" s="4" t="s">
        <v>28</v>
      </c>
      <c r="B28" s="6">
        <v>0</v>
      </c>
      <c r="C28" s="6">
        <f>IF(8613337354.21&lt;&gt;0, (B28/8613337354.21)*100, 0)</f>
        <v>0</v>
      </c>
      <c r="D28" s="6">
        <v>0</v>
      </c>
      <c r="E28" s="6">
        <f>IF(841131444.28&lt;&gt;0, (D28/841131444.28)*100, 0)</f>
        <v>0</v>
      </c>
    </row>
    <row r="29" spans="1:5" x14ac:dyDescent="0.3">
      <c r="A29" s="4" t="s">
        <v>29</v>
      </c>
      <c r="B29" s="6">
        <v>0</v>
      </c>
      <c r="C29" s="6">
        <f>IF(8613337354.21&lt;&gt;0, (B29/8613337354.21)*100, 0)</f>
        <v>0</v>
      </c>
      <c r="D29" s="6">
        <v>0</v>
      </c>
      <c r="E29" s="6">
        <f>IF(841131444.28&lt;&gt;0, (D29/841131444.28)*100, 0)</f>
        <v>0</v>
      </c>
    </row>
    <row r="30" spans="1:5" x14ac:dyDescent="0.3">
      <c r="A30" s="4" t="s">
        <v>30</v>
      </c>
      <c r="B30" s="6">
        <v>47064266.700000003</v>
      </c>
      <c r="C30" s="6">
        <f>IF(8613337354.21&lt;&gt;0, (B30/8613337354.21)*100, 0)</f>
        <v>0.54641151001703292</v>
      </c>
      <c r="D30" s="6">
        <v>3669239</v>
      </c>
      <c r="E30" s="6">
        <f>IF(841131444.28&lt;&gt;0, (D30/841131444.28)*100, 0)</f>
        <v>0.43622658800264341</v>
      </c>
    </row>
    <row r="31" spans="1:5" x14ac:dyDescent="0.3">
      <c r="A31" s="4" t="s">
        <v>31</v>
      </c>
      <c r="B31" s="6">
        <v>4506212.9800000004</v>
      </c>
      <c r="C31" s="6">
        <f>IF(8613337354.21&lt;&gt;0, (B31/8613337354.21)*100, 0)</f>
        <v>5.2316689741607164E-2</v>
      </c>
      <c r="D31" s="6">
        <v>1507863.58</v>
      </c>
      <c r="E31" s="6">
        <f>IF(841131444.28&lt;&gt;0, (D31/841131444.28)*100, 0)</f>
        <v>0.17926610522695607</v>
      </c>
    </row>
    <row r="32" spans="1:5" x14ac:dyDescent="0.3">
      <c r="A32" s="4" t="s">
        <v>32</v>
      </c>
      <c r="B32" s="6">
        <v>0</v>
      </c>
      <c r="C32" s="6">
        <f>IF(8613337354.21&lt;&gt;0, (B32/8613337354.21)*100, 0)</f>
        <v>0</v>
      </c>
      <c r="D32" s="6">
        <v>0</v>
      </c>
      <c r="E32" s="6">
        <f>IF(841131444.28&lt;&gt;0, (D32/841131444.28)*100, 0)</f>
        <v>0</v>
      </c>
    </row>
    <row r="33" spans="1:5" x14ac:dyDescent="0.3">
      <c r="A33" s="4" t="s">
        <v>33</v>
      </c>
      <c r="B33" s="6">
        <v>124583457.12</v>
      </c>
      <c r="C33" s="6">
        <f>IF(8613337354.21&lt;&gt;0, (B33/8613337354.21)*100, 0)</f>
        <v>1.4464016907349684</v>
      </c>
      <c r="D33" s="6">
        <v>8767081.1199999992</v>
      </c>
      <c r="E33" s="6">
        <f>IF(841131444.28&lt;&gt;0, (D33/841131444.28)*100, 0)</f>
        <v>1.0422962046680508</v>
      </c>
    </row>
    <row r="34" spans="1:5" x14ac:dyDescent="0.3">
      <c r="A34" s="4" t="s">
        <v>34</v>
      </c>
      <c r="B34" s="6">
        <v>0</v>
      </c>
      <c r="C34" s="6">
        <f>IF(8613337354.21&lt;&gt;0, (B34/8613337354.21)*100, 0)</f>
        <v>0</v>
      </c>
      <c r="D34" s="6">
        <v>0</v>
      </c>
      <c r="E34" s="6">
        <f>IF(841131444.28&lt;&gt;0, (D34/841131444.28)*100, 0)</f>
        <v>0</v>
      </c>
    </row>
    <row r="35" spans="1:5" x14ac:dyDescent="0.3">
      <c r="A35" s="4" t="s">
        <v>35</v>
      </c>
      <c r="B35" s="6">
        <v>0</v>
      </c>
      <c r="C35" s="6">
        <f>IF(8613337354.21&lt;&gt;0, (B35/8613337354.21)*100, 0)</f>
        <v>0</v>
      </c>
      <c r="D35" s="6">
        <v>0</v>
      </c>
      <c r="E35" s="6">
        <f>IF(841131444.28&lt;&gt;0, (D35/841131444.28)*100, 0)</f>
        <v>0</v>
      </c>
    </row>
    <row r="36" spans="1:5" x14ac:dyDescent="0.3">
      <c r="A36" s="4" t="s">
        <v>36</v>
      </c>
      <c r="B36" s="6">
        <v>12973750</v>
      </c>
      <c r="C36" s="6">
        <f>IF(8613337354.21&lt;&gt;0, (B36/8613337354.21)*100, 0)</f>
        <v>0.15062396219345495</v>
      </c>
      <c r="D36" s="6">
        <v>0</v>
      </c>
      <c r="E36" s="6">
        <f>IF(841131444.28&lt;&gt;0, (D36/841131444.28)*100, 0)</f>
        <v>0</v>
      </c>
    </row>
    <row r="37" spans="1:5" x14ac:dyDescent="0.3">
      <c r="A37" s="4" t="s">
        <v>37</v>
      </c>
      <c r="B37" s="6">
        <v>3311137</v>
      </c>
      <c r="C37" s="6">
        <f>IF(8613337354.21&lt;&gt;0, (B37/8613337354.21)*100, 0)</f>
        <v>3.8441975088571133E-2</v>
      </c>
      <c r="D37" s="6">
        <v>0</v>
      </c>
      <c r="E37" s="6">
        <f>IF(841131444.28&lt;&gt;0, (D37/841131444.28)*100, 0)</f>
        <v>0</v>
      </c>
    </row>
    <row r="38" spans="1:5" x14ac:dyDescent="0.3">
      <c r="A38" s="4" t="s">
        <v>38</v>
      </c>
      <c r="B38" s="6">
        <v>13441586.890000001</v>
      </c>
      <c r="C38" s="6">
        <f>IF(8613337354.21&lt;&gt;0, (B38/8613337354.21)*100, 0)</f>
        <v>0.15605550249846031</v>
      </c>
      <c r="D38" s="6">
        <v>0</v>
      </c>
      <c r="E38" s="6">
        <f>IF(841131444.28&lt;&gt;0, (D38/841131444.28)*100, 0)</f>
        <v>0</v>
      </c>
    </row>
    <row r="39" spans="1:5" x14ac:dyDescent="0.3">
      <c r="A39" s="4" t="s">
        <v>39</v>
      </c>
      <c r="B39" s="6">
        <v>2401000</v>
      </c>
      <c r="C39" s="6">
        <f>IF(8613337354.21&lt;&gt;0, (B39/8613337354.21)*100, 0)</f>
        <v>2.7875373984120648E-2</v>
      </c>
      <c r="D39" s="6">
        <v>0</v>
      </c>
      <c r="E39" s="6">
        <f>IF(841131444.28&lt;&gt;0, (D39/841131444.28)*100, 0)</f>
        <v>0</v>
      </c>
    </row>
    <row r="40" spans="1:5" x14ac:dyDescent="0.3">
      <c r="A40" s="4" t="s">
        <v>40</v>
      </c>
      <c r="B40" s="6">
        <v>240556924.5</v>
      </c>
      <c r="C40" s="6">
        <f>IF(8613337354.21&lt;&gt;0, (B40/8613337354.21)*100, 0)</f>
        <v>2.7928422469418472</v>
      </c>
      <c r="D40" s="6">
        <v>4283220</v>
      </c>
      <c r="E40" s="6">
        <f>IF(841131444.28&lt;&gt;0, (D40/841131444.28)*100, 0)</f>
        <v>0.5092212434961807</v>
      </c>
    </row>
    <row r="41" spans="1:5" x14ac:dyDescent="0.3">
      <c r="A41" s="4" t="s">
        <v>41</v>
      </c>
      <c r="B41" s="6">
        <v>8693805</v>
      </c>
      <c r="C41" s="6">
        <f>IF(8613337354.21&lt;&gt;0, (B41/8613337354.21)*100, 0)</f>
        <v>0.10093422145773345</v>
      </c>
      <c r="D41" s="6">
        <v>1166780</v>
      </c>
      <c r="E41" s="6">
        <f>IF(841131444.28&lt;&gt;0, (D41/841131444.28)*100, 0)</f>
        <v>0.13871553702272443</v>
      </c>
    </row>
    <row r="42" spans="1:5" x14ac:dyDescent="0.3">
      <c r="A42" s="4" t="s">
        <v>42</v>
      </c>
      <c r="B42" s="6">
        <v>1042992</v>
      </c>
      <c r="C42" s="6">
        <f>IF(8613337354.21&lt;&gt;0, (B42/8613337354.21)*100, 0)</f>
        <v>1.2109034594937928E-2</v>
      </c>
      <c r="D42" s="6">
        <v>0</v>
      </c>
      <c r="E42" s="6">
        <f>IF(841131444.28&lt;&gt;0, (D42/841131444.28)*100, 0)</f>
        <v>0</v>
      </c>
    </row>
    <row r="43" spans="1:5" x14ac:dyDescent="0.3">
      <c r="A43" s="4" t="s">
        <v>43</v>
      </c>
      <c r="B43" s="6">
        <v>9954523</v>
      </c>
      <c r="C43" s="6">
        <f>IF(8613337354.21&lt;&gt;0, (B43/8613337354.21)*100, 0)</f>
        <v>0.11557103351042509</v>
      </c>
      <c r="D43" s="6">
        <v>1850555</v>
      </c>
      <c r="E43" s="6">
        <f>IF(841131444.28&lt;&gt;0, (D43/841131444.28)*100, 0)</f>
        <v>0.22000782548131423</v>
      </c>
    </row>
    <row r="44" spans="1:5" x14ac:dyDescent="0.3">
      <c r="A44" s="4" t="s">
        <v>44</v>
      </c>
      <c r="B44" s="6">
        <v>57000</v>
      </c>
      <c r="C44" s="6">
        <f>IF(8613337354.21&lt;&gt;0, (B44/8613337354.21)*100, 0)</f>
        <v>6.6176439695746648E-4</v>
      </c>
      <c r="D44" s="6">
        <v>0</v>
      </c>
      <c r="E44" s="6">
        <f>IF(841131444.28&lt;&gt;0, (D44/841131444.28)*100, 0)</f>
        <v>0</v>
      </c>
    </row>
    <row r="45" spans="1:5" x14ac:dyDescent="0.3">
      <c r="A45" s="4" t="s">
        <v>45</v>
      </c>
      <c r="B45" s="6">
        <v>53992698</v>
      </c>
      <c r="C45" s="6">
        <f>IF(8613337354.21&lt;&gt;0, (B45/8613337354.21)*100, 0)</f>
        <v>0.6268499163522212</v>
      </c>
      <c r="D45" s="6">
        <v>0</v>
      </c>
      <c r="E45" s="6">
        <f>IF(841131444.28&lt;&gt;0, (D45/841131444.28)*100, 0)</f>
        <v>0</v>
      </c>
    </row>
    <row r="46" spans="1:5" x14ac:dyDescent="0.3">
      <c r="A46" s="4" t="s">
        <v>46</v>
      </c>
      <c r="B46" s="6">
        <v>144176028.91</v>
      </c>
      <c r="C46" s="6">
        <f>IF(8613337354.21&lt;&gt;0, (B46/8613337354.21)*100, 0)</f>
        <v>1.6738695232868139</v>
      </c>
      <c r="D46" s="6">
        <v>13657068</v>
      </c>
      <c r="E46" s="6">
        <f>IF(841131444.28&lt;&gt;0, (D46/841131444.28)*100, 0)</f>
        <v>1.6236544350913324</v>
      </c>
    </row>
    <row r="47" spans="1:5" x14ac:dyDescent="0.3">
      <c r="A47" s="4" t="s">
        <v>47</v>
      </c>
      <c r="B47" s="6">
        <v>334592663.94</v>
      </c>
      <c r="C47" s="6">
        <f>IF(8613337354.21&lt;&gt;0, (B47/8613337354.21)*100, 0)</f>
        <v>3.8845879382218658</v>
      </c>
      <c r="D47" s="6">
        <v>0</v>
      </c>
      <c r="E47" s="6">
        <f>IF(841131444.28&lt;&gt;0, (D47/841131444.28)*100, 0)</f>
        <v>0</v>
      </c>
    </row>
    <row r="48" spans="1:5" x14ac:dyDescent="0.3">
      <c r="A48" s="4" t="s">
        <v>48</v>
      </c>
      <c r="B48" s="6">
        <v>474874663.62</v>
      </c>
      <c r="C48" s="6">
        <f>IF(8613337354.21&lt;&gt;0, (B48/8613337354.21)*100, 0)</f>
        <v>5.5132481649275267</v>
      </c>
      <c r="D48" s="6">
        <v>11358055</v>
      </c>
      <c r="E48" s="6">
        <f>IF(841131444.28&lt;&gt;0, (D48/841131444.28)*100, 0)</f>
        <v>1.3503305669094776</v>
      </c>
    </row>
    <row r="49" spans="1:5" x14ac:dyDescent="0.3">
      <c r="A49" s="4" t="s">
        <v>49</v>
      </c>
      <c r="B49" s="6">
        <v>49675814.009999998</v>
      </c>
      <c r="C49" s="6">
        <f>IF(8613337354.21&lt;&gt;0, (B49/8613337354.21)*100, 0)</f>
        <v>0.57673131757366514</v>
      </c>
      <c r="D49" s="6">
        <v>0</v>
      </c>
      <c r="E49" s="6">
        <f>IF(841131444.28&lt;&gt;0, (D49/841131444.28)*100, 0)</f>
        <v>0</v>
      </c>
    </row>
    <row r="50" spans="1:5" x14ac:dyDescent="0.3">
      <c r="A50" s="4" t="s">
        <v>50</v>
      </c>
      <c r="B50" s="6">
        <v>3278834</v>
      </c>
      <c r="C50" s="6">
        <f>IF(8613337354.21&lt;&gt;0, (B50/8613337354.21)*100, 0)</f>
        <v>3.8066940433923467E-2</v>
      </c>
      <c r="D50" s="6">
        <v>0</v>
      </c>
      <c r="E50" s="6">
        <f>IF(841131444.28&lt;&gt;0, (D50/841131444.28)*100, 0)</f>
        <v>0</v>
      </c>
    </row>
    <row r="51" spans="1:5" x14ac:dyDescent="0.3">
      <c r="A51" s="4" t="s">
        <v>51</v>
      </c>
      <c r="B51" s="6">
        <v>10132968.529999999</v>
      </c>
      <c r="C51" s="6">
        <f>IF(8613337354.21&lt;&gt;0, (B51/8613337354.21)*100, 0)</f>
        <v>0.11764276857270939</v>
      </c>
      <c r="D51" s="6">
        <v>0</v>
      </c>
      <c r="E51" s="6">
        <f>IF(841131444.28&lt;&gt;0, (D51/841131444.28)*100, 0)</f>
        <v>0</v>
      </c>
    </row>
    <row r="52" spans="1:5" x14ac:dyDescent="0.3">
      <c r="A52" s="4" t="s">
        <v>52</v>
      </c>
      <c r="B52" s="6">
        <v>11317681</v>
      </c>
      <c r="C52" s="6">
        <f>IF(8613337354.21&lt;&gt;0, (B52/8613337354.21)*100, 0)</f>
        <v>0.131397163893368</v>
      </c>
      <c r="D52" s="6">
        <v>0</v>
      </c>
      <c r="E52" s="6">
        <f>IF(841131444.28&lt;&gt;0, (D52/841131444.28)*100, 0)</f>
        <v>0</v>
      </c>
    </row>
    <row r="53" spans="1:5" x14ac:dyDescent="0.3">
      <c r="A53" s="4" t="s">
        <v>53</v>
      </c>
      <c r="B53" s="6">
        <v>2543774.7999999998</v>
      </c>
      <c r="C53" s="6">
        <f>IF(8613337354.21&lt;&gt;0, (B53/8613337354.21)*100, 0)</f>
        <v>2.9532975377501748E-2</v>
      </c>
      <c r="D53" s="6">
        <v>0</v>
      </c>
      <c r="E53" s="6">
        <f>IF(841131444.28&lt;&gt;0, (D53/841131444.28)*100, 0)</f>
        <v>0</v>
      </c>
    </row>
    <row r="54" spans="1:5" x14ac:dyDescent="0.3">
      <c r="A54" s="4" t="s">
        <v>54</v>
      </c>
      <c r="B54" s="6">
        <v>687470787.78999996</v>
      </c>
      <c r="C54" s="6">
        <f>IF(8613337354.21&lt;&gt;0, (B54/8613337354.21)*100, 0)</f>
        <v>7.9814682685565579</v>
      </c>
      <c r="D54" s="6">
        <v>105745068.8</v>
      </c>
      <c r="E54" s="6">
        <f>IF(841131444.28&lt;&gt;0, (D54/841131444.28)*100, 0)</f>
        <v>12.571765033765525</v>
      </c>
    </row>
    <row r="55" spans="1:5" x14ac:dyDescent="0.3">
      <c r="A55" s="4" t="s">
        <v>55</v>
      </c>
      <c r="B55" s="6">
        <v>28861920</v>
      </c>
      <c r="C55" s="6">
        <f>IF(8613337354.21&lt;&gt;0, (B55/8613337354.21)*100, 0)</f>
        <v>0.33508405410236214</v>
      </c>
      <c r="D55" s="6">
        <v>5148228</v>
      </c>
      <c r="E55" s="6">
        <f>IF(841131444.28&lt;&gt;0, (D55/841131444.28)*100, 0)</f>
        <v>0.61205986710041871</v>
      </c>
    </row>
    <row r="56" spans="1:5" x14ac:dyDescent="0.3">
      <c r="A56" s="4" t="s">
        <v>56</v>
      </c>
      <c r="B56" s="6">
        <v>69098163.859999999</v>
      </c>
      <c r="C56" s="6">
        <f>IF(8613337354.21&lt;&gt;0, (B56/8613337354.21)*100, 0)</f>
        <v>0.80222289013475623</v>
      </c>
      <c r="D56" s="6">
        <v>6159669.1799999997</v>
      </c>
      <c r="E56" s="6">
        <f>IF(841131444.28&lt;&gt;0, (D56/841131444.28)*100, 0)</f>
        <v>0.73230756285334386</v>
      </c>
    </row>
    <row r="57" spans="1:5" x14ac:dyDescent="0.3">
      <c r="A57" s="4" t="s">
        <v>57</v>
      </c>
      <c r="B57" s="6">
        <v>0</v>
      </c>
      <c r="C57" s="6">
        <f>IF(8613337354.21&lt;&gt;0, (B57/8613337354.21)*100, 0)</f>
        <v>0</v>
      </c>
      <c r="D57" s="6">
        <v>0</v>
      </c>
      <c r="E57" s="6">
        <f>IF(841131444.28&lt;&gt;0, (D57/841131444.28)*100, 0)</f>
        <v>0</v>
      </c>
    </row>
    <row r="58" spans="1:5" x14ac:dyDescent="0.3">
      <c r="A58" s="4" t="s">
        <v>58</v>
      </c>
      <c r="B58" s="6">
        <v>714609381.50999999</v>
      </c>
      <c r="C58" s="6">
        <f>IF(8613337354.21&lt;&gt;0, (B58/8613337354.21)*100, 0)</f>
        <v>8.296544673949354</v>
      </c>
      <c r="D58" s="6">
        <v>122704106</v>
      </c>
      <c r="E58" s="6">
        <f>IF(841131444.28&lt;&gt;0, (D58/841131444.28)*100, 0)</f>
        <v>14.587982274878986</v>
      </c>
    </row>
    <row r="59" spans="1:5" x14ac:dyDescent="0.3">
      <c r="A59" s="4" t="s">
        <v>59</v>
      </c>
      <c r="B59" s="6">
        <v>983497.2</v>
      </c>
      <c r="C59" s="6">
        <f>IF(8613337354.21&lt;&gt;0, (B59/8613337354.21)*100, 0)</f>
        <v>1.1418305815216785E-2</v>
      </c>
      <c r="D59" s="6">
        <v>0</v>
      </c>
      <c r="E59" s="6">
        <f>IF(841131444.28&lt;&gt;0, (D59/841131444.28)*100, 0)</f>
        <v>0</v>
      </c>
    </row>
    <row r="60" spans="1:5" x14ac:dyDescent="0.3">
      <c r="A60" s="4" t="s">
        <v>60</v>
      </c>
      <c r="B60" s="6">
        <v>9895161.5</v>
      </c>
      <c r="C60" s="6">
        <f>IF(8613337354.21&lt;&gt;0, (B60/8613337354.21)*100, 0)</f>
        <v>0.11488185233060068</v>
      </c>
      <c r="D60" s="6">
        <v>955500</v>
      </c>
      <c r="E60" s="6">
        <f>IF(841131444.28&lt;&gt;0, (D60/841131444.28)*100, 0)</f>
        <v>0.11359698968547044</v>
      </c>
    </row>
    <row r="61" spans="1:5" x14ac:dyDescent="0.3">
      <c r="A61" s="4" t="s">
        <v>5</v>
      </c>
      <c r="B61" s="6">
        <v>0</v>
      </c>
      <c r="C61" s="6">
        <f>IF(8613337354.21&lt;&gt;0, (B61/8613337354.21)*100, 0)</f>
        <v>0</v>
      </c>
      <c r="D61" s="6">
        <v>0</v>
      </c>
      <c r="E61" s="6">
        <f>IF(841131444.28&lt;&gt;0, (D61/841131444.28)*100, 0)</f>
        <v>0</v>
      </c>
    </row>
    <row r="62" spans="1:5" x14ac:dyDescent="0.3">
      <c r="A62" s="4" t="s">
        <v>61</v>
      </c>
      <c r="B62" s="6">
        <v>0</v>
      </c>
      <c r="C62" s="6">
        <f>IF(8613337354.21&lt;&gt;0, (B62/8613337354.21)*100, 0)</f>
        <v>0</v>
      </c>
      <c r="D62" s="6">
        <v>0</v>
      </c>
      <c r="E62" s="6">
        <f>IF(841131444.28&lt;&gt;0, (D62/841131444.28)*100, 0)</f>
        <v>0</v>
      </c>
    </row>
    <row r="63" spans="1:5" x14ac:dyDescent="0.3">
      <c r="A63" s="4" t="s">
        <v>62</v>
      </c>
      <c r="B63" s="6">
        <v>0</v>
      </c>
      <c r="C63" s="6">
        <f>IF(8613337354.21&lt;&gt;0, (B63/8613337354.21)*100, 0)</f>
        <v>0</v>
      </c>
      <c r="D63" s="6">
        <v>0</v>
      </c>
      <c r="E63" s="6">
        <f>IF(841131444.28&lt;&gt;0, (D63/841131444.28)*100, 0)</f>
        <v>0</v>
      </c>
    </row>
    <row r="64" spans="1:5" x14ac:dyDescent="0.3">
      <c r="A64" s="4" t="s">
        <v>63</v>
      </c>
      <c r="B64" s="6">
        <v>8000</v>
      </c>
      <c r="C64" s="6">
        <f>IF(8613337354.21&lt;&gt;0, (B64/8613337354.21)*100, 0)</f>
        <v>9.287921360806547E-5</v>
      </c>
      <c r="D64" s="6">
        <v>0</v>
      </c>
      <c r="E64" s="6">
        <f>IF(841131444.28&lt;&gt;0, (D64/841131444.28)*100, 0)</f>
        <v>0</v>
      </c>
    </row>
    <row r="65" spans="1:5" x14ac:dyDescent="0.3">
      <c r="A65" s="4" t="s">
        <v>64</v>
      </c>
      <c r="B65" s="6">
        <v>-16079472.66</v>
      </c>
      <c r="C65" s="6">
        <f>IF(8613337354.21&lt;&gt;0, (B65/8613337354.21)*100, 0)</f>
        <v>-0.18668109698664859</v>
      </c>
      <c r="D65" s="6">
        <v>-1205618</v>
      </c>
      <c r="E65" s="6">
        <f>IF(841131444.28&lt;&gt;0, (D65/841131444.28)*100, 0)</f>
        <v>-0.14333288907442959</v>
      </c>
    </row>
    <row r="66" spans="1:5" x14ac:dyDescent="0.3">
      <c r="A66" s="4" t="s">
        <v>65</v>
      </c>
      <c r="B66" s="6">
        <v>0</v>
      </c>
      <c r="C66" s="6">
        <f>IF(8613337354.21&lt;&gt;0, (B66/8613337354.21)*100, 0)</f>
        <v>0</v>
      </c>
      <c r="D66" s="6">
        <v>0</v>
      </c>
      <c r="E66" s="6">
        <f>IF(841131444.28&lt;&gt;0, (D66/841131444.28)*100, 0)</f>
        <v>0</v>
      </c>
    </row>
    <row r="67" spans="1:5" x14ac:dyDescent="0.3">
      <c r="A67" s="4" t="s">
        <v>66</v>
      </c>
      <c r="B67" s="6">
        <v>76760317.150000006</v>
      </c>
      <c r="C67" s="6">
        <f>IF(8613337354.21&lt;&gt;0, (B67/8613337354.21)*100, 0)</f>
        <v>0.89117973664971273</v>
      </c>
      <c r="D67" s="6">
        <v>0</v>
      </c>
      <c r="E67" s="6">
        <f>IF(841131444.28&lt;&gt;0, (D67/841131444.28)*100, 0)</f>
        <v>0</v>
      </c>
    </row>
    <row r="68" spans="1:5" x14ac:dyDescent="0.3">
      <c r="A68" s="4" t="s">
        <v>67</v>
      </c>
      <c r="B68" s="6">
        <v>741955</v>
      </c>
      <c r="C68" s="6">
        <f>IF(8613337354.21&lt;&gt;0, (B68/8613337354.21)*100, 0)</f>
        <v>8.6140246165715261E-3</v>
      </c>
      <c r="D68" s="6">
        <v>0</v>
      </c>
      <c r="E68" s="6">
        <f>IF(841131444.28&lt;&gt;0, (D68/841131444.28)*100, 0)</f>
        <v>0</v>
      </c>
    </row>
    <row r="69" spans="1:5" x14ac:dyDescent="0.3">
      <c r="A69" s="4" t="s">
        <v>68</v>
      </c>
      <c r="B69" s="6">
        <v>8000</v>
      </c>
      <c r="C69" s="6">
        <f>IF(8613337354.21&lt;&gt;0, (B69/8613337354.21)*100, 0)</f>
        <v>9.287921360806547E-5</v>
      </c>
      <c r="D69" s="6">
        <v>0</v>
      </c>
      <c r="E69" s="6">
        <f>IF(841131444.28&lt;&gt;0, (D69/841131444.28)*100, 0)</f>
        <v>0</v>
      </c>
    </row>
    <row r="70" spans="1:5" x14ac:dyDescent="0.3">
      <c r="A70" s="4" t="s">
        <v>69</v>
      </c>
      <c r="B70" s="6">
        <v>2800000</v>
      </c>
      <c r="C70" s="6">
        <f>IF(8613337354.21&lt;&gt;0, (B70/8613337354.21)*100, 0)</f>
        <v>3.2507724762822918E-2</v>
      </c>
      <c r="D70" s="6">
        <v>0</v>
      </c>
      <c r="E70" s="6">
        <f>IF(841131444.28&lt;&gt;0, (D70/841131444.28)*100, 0)</f>
        <v>0</v>
      </c>
    </row>
    <row r="71" spans="1:5" x14ac:dyDescent="0.3">
      <c r="A71" s="4" t="s">
        <v>70</v>
      </c>
      <c r="B71" s="6">
        <v>0</v>
      </c>
      <c r="C71" s="6">
        <f>IF(8613337354.21&lt;&gt;0, (B71/8613337354.21)*100, 0)</f>
        <v>0</v>
      </c>
      <c r="D71" s="6">
        <v>0</v>
      </c>
      <c r="E71" s="6">
        <f>IF(841131444.28&lt;&gt;0, (D71/841131444.28)*100, 0)</f>
        <v>0</v>
      </c>
    </row>
    <row r="72" spans="1:5" x14ac:dyDescent="0.3">
      <c r="A72" s="4" t="s">
        <v>71</v>
      </c>
      <c r="B72" s="6">
        <v>48954105.5</v>
      </c>
      <c r="C72" s="6">
        <f>IF(8613337354.21&lt;&gt;0, (B72/8613337354.21)*100, 0)</f>
        <v>0.5683523527157841</v>
      </c>
      <c r="D72" s="6">
        <v>9134490</v>
      </c>
      <c r="E72" s="6">
        <f>IF(841131444.28&lt;&gt;0, (D72/841131444.28)*100, 0)</f>
        <v>1.0859765215196575</v>
      </c>
    </row>
    <row r="73" spans="1:5" x14ac:dyDescent="0.3">
      <c r="A73" s="4" t="s">
        <v>72</v>
      </c>
      <c r="B73" s="6">
        <v>500000</v>
      </c>
      <c r="C73" s="6">
        <f>IF(8613337354.21&lt;&gt;0, (B73/8613337354.21)*100, 0)</f>
        <v>5.8049508505040913E-3</v>
      </c>
      <c r="D73" s="6">
        <v>0</v>
      </c>
      <c r="E73" s="6">
        <f>IF(841131444.28&lt;&gt;0, (D73/841131444.28)*100, 0)</f>
        <v>0</v>
      </c>
    </row>
    <row r="74" spans="1:5" x14ac:dyDescent="0.3">
      <c r="A74" s="4" t="s">
        <v>73</v>
      </c>
      <c r="B74" s="6">
        <v>12929420</v>
      </c>
      <c r="C74" s="6">
        <f>IF(8613337354.21&lt;&gt;0, (B74/8613337354.21)*100, 0)</f>
        <v>0.15010929525104924</v>
      </c>
      <c r="D74" s="6">
        <v>2438140</v>
      </c>
      <c r="E74" s="6">
        <f>IF(841131444.28&lt;&gt;0, (D74/841131444.28)*100, 0)</f>
        <v>0.28986432698245196</v>
      </c>
    </row>
    <row r="75" spans="1:5" x14ac:dyDescent="0.3">
      <c r="A75" s="4" t="s">
        <v>74</v>
      </c>
      <c r="B75" s="6">
        <v>7032877</v>
      </c>
      <c r="C75" s="6">
        <f>IF(8613337354.21&lt;&gt;0, (B75/8613337354.21)*100, 0)</f>
        <v>8.1651010645281338E-2</v>
      </c>
      <c r="D75" s="6">
        <v>1788000</v>
      </c>
      <c r="E75" s="6">
        <f>IF(841131444.28&lt;&gt;0, (D75/841131444.28)*100, 0)</f>
        <v>0.21257081900326649</v>
      </c>
    </row>
    <row r="76" spans="1:5" x14ac:dyDescent="0.3">
      <c r="A76" s="4" t="s">
        <v>75</v>
      </c>
      <c r="B76" s="6">
        <v>8514584</v>
      </c>
      <c r="C76" s="6">
        <f>IF(8613337354.21&lt;&gt;0, (B76/8613337354.21)*100, 0)</f>
        <v>9.885348326497706E-2</v>
      </c>
      <c r="D76" s="6">
        <v>2185000</v>
      </c>
      <c r="E76" s="6">
        <f>IF(841131444.28&lt;&gt;0, (D76/841131444.28)*100, 0)</f>
        <v>0.25976914962088216</v>
      </c>
    </row>
    <row r="77" spans="1:5" x14ac:dyDescent="0.3">
      <c r="A77" s="4" t="s">
        <v>76</v>
      </c>
      <c r="B77" s="6">
        <v>1875402</v>
      </c>
      <c r="C77" s="6">
        <f>IF(8613337354.21&lt;&gt;0, (B77/8613337354.21)*100, 0)</f>
        <v>2.1773232869874152E-2</v>
      </c>
      <c r="D77" s="6">
        <v>0</v>
      </c>
      <c r="E77" s="6">
        <f>IF(841131444.28&lt;&gt;0, (D77/841131444.28)*100, 0)</f>
        <v>0</v>
      </c>
    </row>
    <row r="78" spans="1:5" x14ac:dyDescent="0.3">
      <c r="A78" s="4" t="s">
        <v>77</v>
      </c>
      <c r="B78" s="6">
        <v>561950</v>
      </c>
      <c r="C78" s="6">
        <f>IF(8613337354.21&lt;&gt;0, (B78/8613337354.21)*100, 0)</f>
        <v>6.5241842608815496E-3</v>
      </c>
      <c r="D78" s="6">
        <v>0</v>
      </c>
      <c r="E78" s="6">
        <f>IF(841131444.28&lt;&gt;0, (D78/841131444.28)*100, 0)</f>
        <v>0</v>
      </c>
    </row>
    <row r="79" spans="1:5" x14ac:dyDescent="0.3">
      <c r="A79" s="4" t="s">
        <v>3</v>
      </c>
      <c r="B79" s="6">
        <v>2000000</v>
      </c>
      <c r="C79" s="6">
        <f>IF(8613337354.21&lt;&gt;0, (B79/8613337354.21)*100, 0)</f>
        <v>2.3219803402016365E-2</v>
      </c>
      <c r="D79" s="6">
        <v>0</v>
      </c>
      <c r="E79" s="6">
        <f>IF(841131444.28&lt;&gt;0, (D79/841131444.28)*100, 0)</f>
        <v>0</v>
      </c>
    </row>
    <row r="80" spans="1:5" x14ac:dyDescent="0.3">
      <c r="A80" s="4" t="s">
        <v>78</v>
      </c>
      <c r="B80" s="6">
        <v>560572</v>
      </c>
      <c r="C80" s="6">
        <f>IF(8613337354.21&lt;&gt;0, (B80/8613337354.21)*100, 0)</f>
        <v>6.5081858163375606E-3</v>
      </c>
      <c r="D80" s="6">
        <v>0</v>
      </c>
      <c r="E80" s="6">
        <f>IF(841131444.28&lt;&gt;0, (D80/841131444.28)*100, 0)</f>
        <v>0</v>
      </c>
    </row>
    <row r="81" spans="1:5" x14ac:dyDescent="0.3">
      <c r="A81" s="4" t="s">
        <v>79</v>
      </c>
      <c r="B81" s="6">
        <v>234558</v>
      </c>
      <c r="C81" s="6">
        <f>IF(8613337354.21&lt;&gt;0, (B81/8613337354.21)*100, 0)</f>
        <v>2.723195323185078E-3</v>
      </c>
      <c r="D81" s="6">
        <v>0</v>
      </c>
      <c r="E81" s="6">
        <f>IF(841131444.28&lt;&gt;0, (D81/841131444.28)*100, 0)</f>
        <v>0</v>
      </c>
    </row>
    <row r="82" spans="1:5" x14ac:dyDescent="0.3">
      <c r="A82" s="4" t="s">
        <v>80</v>
      </c>
      <c r="B82" s="6">
        <v>862970396.75</v>
      </c>
      <c r="C82" s="6">
        <f>IF(8613337354.21&lt;&gt;0, (B82/8613337354.21)*100, 0)</f>
        <v>10.019001477147532</v>
      </c>
      <c r="D82" s="6">
        <v>148954041.75</v>
      </c>
      <c r="E82" s="6">
        <f>IF(841131444.28&lt;&gt;0, (D82/841131444.28)*100, 0)</f>
        <v>17.708771056288729</v>
      </c>
    </row>
    <row r="83" spans="1:5" x14ac:dyDescent="0.3">
      <c r="A83" s="4" t="s">
        <v>81</v>
      </c>
      <c r="B83" s="6">
        <v>1595175</v>
      </c>
      <c r="C83" s="6">
        <f>IF(8613337354.21&lt;&gt;0, (B83/8613337354.21)*100, 0)</f>
        <v>1.8519824945905729E-2</v>
      </c>
      <c r="D83" s="6">
        <v>0</v>
      </c>
      <c r="E83" s="6">
        <f>IF(841131444.28&lt;&gt;0, (D83/841131444.28)*100, 0)</f>
        <v>0</v>
      </c>
    </row>
    <row r="84" spans="1:5" x14ac:dyDescent="0.3">
      <c r="A84" s="4" t="s">
        <v>65</v>
      </c>
      <c r="B84" s="6">
        <v>2836050</v>
      </c>
      <c r="C84" s="6">
        <f>IF(8613337354.21&lt;&gt;0, (B84/8613337354.21)*100, 0)</f>
        <v>3.2926261719144263E-2</v>
      </c>
      <c r="D84" s="6">
        <v>0</v>
      </c>
      <c r="E84" s="6">
        <f>IF(841131444.28&lt;&gt;0, (D84/841131444.28)*100, 0)</f>
        <v>0</v>
      </c>
    </row>
    <row r="85" spans="1:5" x14ac:dyDescent="0.3">
      <c r="A85" s="4" t="s">
        <v>82</v>
      </c>
      <c r="B85" s="6">
        <v>373000</v>
      </c>
      <c r="C85" s="6">
        <f>IF(8613337354.21&lt;&gt;0, (B85/8613337354.21)*100, 0)</f>
        <v>4.3304933344760523E-3</v>
      </c>
      <c r="D85" s="6">
        <v>0</v>
      </c>
      <c r="E85" s="6">
        <f>IF(841131444.28&lt;&gt;0, (D85/841131444.28)*100, 0)</f>
        <v>0</v>
      </c>
    </row>
    <row r="86" spans="1:5" x14ac:dyDescent="0.3">
      <c r="A86" s="4" t="s">
        <v>83</v>
      </c>
      <c r="B86" s="6">
        <v>426000</v>
      </c>
      <c r="C86" s="6">
        <f>IF(8613337354.21&lt;&gt;0, (B86/8613337354.21)*100, 0)</f>
        <v>4.9458181246294858E-3</v>
      </c>
      <c r="D86" s="6">
        <v>0</v>
      </c>
      <c r="E86" s="6">
        <f>IF(841131444.28&lt;&gt;0, (D86/841131444.28)*100, 0)</f>
        <v>0</v>
      </c>
    </row>
    <row r="87" spans="1:5" x14ac:dyDescent="0.3">
      <c r="A87" s="4" t="s">
        <v>84</v>
      </c>
      <c r="B87" s="6">
        <v>377000</v>
      </c>
      <c r="C87" s="6">
        <f>IF(8613337354.21&lt;&gt;0, (B87/8613337354.21)*100, 0)</f>
        <v>4.376932941280086E-3</v>
      </c>
      <c r="D87" s="6">
        <v>0</v>
      </c>
      <c r="E87" s="6">
        <f>IF(841131444.28&lt;&gt;0, (D87/841131444.28)*100, 0)</f>
        <v>0</v>
      </c>
    </row>
    <row r="88" spans="1:5" x14ac:dyDescent="0.3">
      <c r="A88" s="4" t="s">
        <v>85</v>
      </c>
      <c r="B88" s="6">
        <v>2331496</v>
      </c>
      <c r="C88" s="6">
        <f>IF(8613337354.21&lt;&gt;0, (B88/8613337354.21)*100, 0)</f>
        <v>2.7068439376293777E-2</v>
      </c>
      <c r="D88" s="6">
        <v>438770</v>
      </c>
      <c r="E88" s="6">
        <f>IF(841131444.28&lt;&gt;0, (D88/841131444.28)*100, 0)</f>
        <v>5.2164260768491739E-2</v>
      </c>
    </row>
    <row r="89" spans="1:5" x14ac:dyDescent="0.3">
      <c r="A89" s="4" t="s">
        <v>86</v>
      </c>
      <c r="B89" s="6">
        <v>4930125</v>
      </c>
      <c r="C89" s="6">
        <f>IF(8613337354.21&lt;&gt;0, (B89/8613337354.21)*100, 0)</f>
        <v>5.7238266623682976E-2</v>
      </c>
      <c r="D89" s="6">
        <v>877250</v>
      </c>
      <c r="E89" s="6">
        <f>IF(841131444.28&lt;&gt;0, (D89/841131444.28)*100, 0)</f>
        <v>0.10429404416701091</v>
      </c>
    </row>
    <row r="90" spans="1:5" x14ac:dyDescent="0.3">
      <c r="A90" s="4" t="s">
        <v>87</v>
      </c>
      <c r="B90" s="6">
        <v>1123300</v>
      </c>
      <c r="C90" s="6">
        <f>IF(8613337354.21&lt;&gt;0, (B90/8613337354.21)*100, 0)</f>
        <v>1.3041402580742495E-2</v>
      </c>
      <c r="D90" s="6">
        <v>0</v>
      </c>
      <c r="E90" s="6">
        <f>IF(841131444.28&lt;&gt;0, (D90/841131444.28)*100, 0)</f>
        <v>0</v>
      </c>
    </row>
    <row r="91" spans="1:5" x14ac:dyDescent="0.3">
      <c r="A91" s="4" t="s">
        <v>88</v>
      </c>
      <c r="B91" s="6">
        <v>856464</v>
      </c>
      <c r="C91" s="6">
        <f>IF(8613337354.21&lt;&gt;0, (B91/8613337354.21)*100, 0)</f>
        <v>9.943462850452273E-3</v>
      </c>
      <c r="D91" s="6">
        <v>0</v>
      </c>
      <c r="E91" s="6">
        <f>IF(841131444.28&lt;&gt;0, (D91/841131444.28)*100, 0)</f>
        <v>0</v>
      </c>
    </row>
    <row r="92" spans="1:5" x14ac:dyDescent="0.3">
      <c r="A92" s="4" t="s">
        <v>89</v>
      </c>
      <c r="B92" s="6">
        <v>126063</v>
      </c>
      <c r="C92" s="6">
        <f>IF(8613337354.21&lt;&gt;0, (B92/8613337354.21)*100, 0)</f>
        <v>1.4635790381341946E-3</v>
      </c>
      <c r="D92" s="6">
        <v>-182700</v>
      </c>
      <c r="E92" s="6">
        <f>IF(841131444.28&lt;&gt;0, (D92/841131444.28)*100, 0)</f>
        <v>-2.1720743082716324E-2</v>
      </c>
    </row>
    <row r="93" spans="1:5" x14ac:dyDescent="0.3">
      <c r="A93" s="4" t="s">
        <v>90</v>
      </c>
      <c r="B93" s="6">
        <v>119660</v>
      </c>
      <c r="C93" s="6">
        <f>IF(8613337354.21&lt;&gt;0, (B93/8613337354.21)*100, 0)</f>
        <v>1.3892408375426393E-3</v>
      </c>
      <c r="D93" s="6">
        <v>0</v>
      </c>
      <c r="E93" s="6">
        <f>IF(841131444.28&lt;&gt;0, (D93/841131444.28)*100, 0)</f>
        <v>0</v>
      </c>
    </row>
    <row r="94" spans="1:5" x14ac:dyDescent="0.3">
      <c r="A94" s="4" t="s">
        <v>91</v>
      </c>
      <c r="B94" s="6">
        <v>539970</v>
      </c>
      <c r="C94" s="6">
        <f>IF(8613337354.21&lt;&gt;0, (B94/8613337354.21)*100, 0)</f>
        <v>6.2689986214933893E-3</v>
      </c>
      <c r="D94" s="6">
        <v>0</v>
      </c>
      <c r="E94" s="6">
        <f>IF(841131444.28&lt;&gt;0, (D94/841131444.28)*100, 0)</f>
        <v>0</v>
      </c>
    </row>
    <row r="95" spans="1:5" x14ac:dyDescent="0.3">
      <c r="A95" s="4" t="s">
        <v>92</v>
      </c>
      <c r="B95" s="6">
        <v>144500</v>
      </c>
      <c r="C95" s="6">
        <f>IF(8613337354.21&lt;&gt;0, (B95/8613337354.21)*100, 0)</f>
        <v>1.6776307957956827E-3</v>
      </c>
      <c r="D95" s="6">
        <v>-127160</v>
      </c>
      <c r="E95" s="6">
        <f>IF(841131444.28&lt;&gt;0, (D95/841131444.28)*100, 0)</f>
        <v>-1.5117732295556692E-2</v>
      </c>
    </row>
    <row r="96" spans="1:5" x14ac:dyDescent="0.3">
      <c r="A96" s="4" t="s">
        <v>93</v>
      </c>
      <c r="B96" s="6">
        <v>27975001</v>
      </c>
      <c r="C96" s="6">
        <f>IF(8613337354.21&lt;&gt;0, (B96/8613337354.21)*100, 0)</f>
        <v>0.32478701169560564</v>
      </c>
      <c r="D96" s="6">
        <v>27975001</v>
      </c>
      <c r="E96" s="6">
        <f>IF(841131444.28&lt;&gt;0, (D96/841131444.28)*100, 0)</f>
        <v>3.325877446413422</v>
      </c>
    </row>
    <row r="97" spans="1:5" customFormat="1" ht="14.5" x14ac:dyDescent="0.35">
      <c r="A97" s="7"/>
      <c r="B97" s="9"/>
      <c r="C97" s="8"/>
      <c r="D97" s="9"/>
      <c r="E97" s="8"/>
    </row>
    <row r="98" spans="1:5" x14ac:dyDescent="0.3">
      <c r="A98" s="4" t="s">
        <v>94</v>
      </c>
      <c r="B98" s="6">
        <f>ROUND(SUBTOTAL(9, B2:B97), 5)</f>
        <v>8613337354.2099991</v>
      </c>
      <c r="C98" s="6">
        <f>ROUND(SUBTOTAL(9, C2:C97), 5)</f>
        <v>100</v>
      </c>
      <c r="D98" s="6">
        <f>ROUND(SUBTOTAL(9, D2:D97), 5)</f>
        <v>841131444.27999997</v>
      </c>
      <c r="E98" s="6">
        <f>ROUND(SUBTOTAL(9, E2:E97), 5)</f>
        <v>100</v>
      </c>
    </row>
    <row r="99" spans="1:5" customFormat="1" ht="14.5" x14ac:dyDescent="0.35">
      <c r="A99" s="7"/>
      <c r="B99" s="9"/>
      <c r="C99" s="8"/>
      <c r="D99" s="9"/>
      <c r="E99" s="8"/>
    </row>
    <row r="100" spans="1:5" x14ac:dyDescent="0.3">
      <c r="A100" s="2" t="s">
        <v>95</v>
      </c>
    </row>
    <row r="101" spans="1:5" x14ac:dyDescent="0.3">
      <c r="A101" s="4" t="s">
        <v>96</v>
      </c>
    </row>
    <row r="102" spans="1:5" x14ac:dyDescent="0.3">
      <c r="A102" s="4" t="s">
        <v>4</v>
      </c>
      <c r="B102" s="6">
        <v>225743099.24000001</v>
      </c>
      <c r="C102" s="6">
        <f>IF(8613337354.21&lt;&gt;0, (B102/8613337354.21)*100, 0)</f>
        <v>2.6208551918573351</v>
      </c>
      <c r="D102" s="6">
        <v>-4028424</v>
      </c>
      <c r="E102" s="6">
        <f>IF(841131444.28&lt;&gt;0, (D102/841131444.28)*100, 0)</f>
        <v>-0.47892918846331922</v>
      </c>
    </row>
    <row r="103" spans="1:5" x14ac:dyDescent="0.3">
      <c r="A103" s="4" t="s">
        <v>5</v>
      </c>
      <c r="B103" s="6">
        <v>453261644.58999997</v>
      </c>
      <c r="C103" s="6">
        <f>IF(8613337354.21&lt;&gt;0, (B103/8613337354.21)*100, 0)</f>
        <v>5.2623231385272078</v>
      </c>
      <c r="D103" s="6">
        <v>47718747.090000004</v>
      </c>
      <c r="E103" s="6">
        <f>IF(841131444.28&lt;&gt;0, (D103/841131444.28)*100, 0)</f>
        <v>5.6731617174110962</v>
      </c>
    </row>
    <row r="104" spans="1:5" x14ac:dyDescent="0.3">
      <c r="A104" s="4" t="s">
        <v>6</v>
      </c>
      <c r="B104" s="6">
        <v>418594099.95999998</v>
      </c>
      <c r="C104" s="6">
        <f>IF(8613337354.21&lt;&gt;0, (B104/8613337354.21)*100, 0)</f>
        <v>4.8598363531575934</v>
      </c>
      <c r="D104" s="6">
        <v>24035990</v>
      </c>
      <c r="E104" s="6">
        <f>IF(841131444.28&lt;&gt;0, (D104/841131444.28)*100, 0)</f>
        <v>2.8575783444375409</v>
      </c>
    </row>
    <row r="105" spans="1:5" x14ac:dyDescent="0.3">
      <c r="A105" s="4" t="s">
        <v>7</v>
      </c>
      <c r="B105" s="6">
        <v>1600000</v>
      </c>
      <c r="C105" s="6">
        <f>IF(8613337354.21&lt;&gt;0, (B105/8613337354.21)*100, 0)</f>
        <v>1.8575842721613094E-2</v>
      </c>
      <c r="D105" s="6">
        <v>1060000</v>
      </c>
      <c r="E105" s="6">
        <f>IF(841131444.28&lt;&gt;0, (D105/841131444.28)*100, 0)</f>
        <v>0.12602073162386046</v>
      </c>
    </row>
    <row r="106" spans="1:5" x14ac:dyDescent="0.3">
      <c r="A106" s="4" t="s">
        <v>8</v>
      </c>
      <c r="B106" s="6">
        <v>0</v>
      </c>
      <c r="C106" s="6">
        <f>IF(8613337354.21&lt;&gt;0, (B106/8613337354.21)*100, 0)</f>
        <v>0</v>
      </c>
      <c r="D106" s="6">
        <v>0</v>
      </c>
      <c r="E106" s="6">
        <f>IF(841131444.28&lt;&gt;0, (D106/841131444.28)*100, 0)</f>
        <v>0</v>
      </c>
    </row>
    <row r="107" spans="1:5" x14ac:dyDescent="0.3">
      <c r="A107" s="4" t="s">
        <v>9</v>
      </c>
      <c r="B107" s="6">
        <v>121963.6</v>
      </c>
      <c r="C107" s="6">
        <f>IF(8613337354.21&lt;&gt;0, (B107/8613337354.21)*100, 0)</f>
        <v>1.4159854071010818E-3</v>
      </c>
      <c r="D107" s="6">
        <v>0</v>
      </c>
      <c r="E107" s="6">
        <f>IF(841131444.28&lt;&gt;0, (D107/841131444.28)*100, 0)</f>
        <v>0</v>
      </c>
    </row>
    <row r="108" spans="1:5" x14ac:dyDescent="0.3">
      <c r="A108" s="4" t="s">
        <v>10</v>
      </c>
      <c r="B108" s="6">
        <v>193276134.09999999</v>
      </c>
      <c r="C108" s="6">
        <f>IF(8613337354.21&lt;&gt;0, (B108/8613337354.21)*100, 0)</f>
        <v>2.2439169180518759</v>
      </c>
      <c r="D108" s="6">
        <v>18244510</v>
      </c>
      <c r="E108" s="6">
        <f>IF(841131444.28&lt;&gt;0, (D108/841131444.28)*100, 0)</f>
        <v>2.1690438663385265</v>
      </c>
    </row>
    <row r="109" spans="1:5" x14ac:dyDescent="0.3">
      <c r="A109" s="4" t="s">
        <v>97</v>
      </c>
      <c r="B109" s="6">
        <v>529659147.89999998</v>
      </c>
      <c r="C109" s="6">
        <f>IF(8613337354.21&lt;&gt;0, (B109/8613337354.21)*100, 0)</f>
        <v>6.1492906421587552</v>
      </c>
      <c r="D109" s="6">
        <v>66325073.600000001</v>
      </c>
      <c r="E109" s="6">
        <f>IF(841131444.28&lt;&gt;0, (D109/841131444.28)*100, 0)</f>
        <v>7.8852210378098029</v>
      </c>
    </row>
    <row r="110" spans="1:5" x14ac:dyDescent="0.3">
      <c r="A110" s="4" t="s">
        <v>12</v>
      </c>
      <c r="B110" s="6">
        <v>186315655.59999999</v>
      </c>
      <c r="C110" s="6">
        <f>IF(8613337354.21&lt;&gt;0, (B110/8613337354.21)*100, 0)</f>
        <v>2.1631064468748948</v>
      </c>
      <c r="D110" s="6">
        <v>0</v>
      </c>
      <c r="E110" s="6">
        <f>IF(841131444.28&lt;&gt;0, (D110/841131444.28)*100, 0)</f>
        <v>0</v>
      </c>
    </row>
    <row r="111" spans="1:5" x14ac:dyDescent="0.3">
      <c r="A111" s="4" t="s">
        <v>98</v>
      </c>
      <c r="B111" s="6">
        <v>0</v>
      </c>
      <c r="C111" s="6">
        <f>IF(8613337354.21&lt;&gt;0, (B111/8613337354.21)*100, 0)</f>
        <v>0</v>
      </c>
      <c r="D111" s="6">
        <v>0</v>
      </c>
      <c r="E111" s="6">
        <f>IF(841131444.28&lt;&gt;0, (D111/841131444.28)*100, 0)</f>
        <v>0</v>
      </c>
    </row>
    <row r="112" spans="1:5" x14ac:dyDescent="0.3">
      <c r="A112" s="4" t="s">
        <v>99</v>
      </c>
      <c r="B112" s="6">
        <v>0</v>
      </c>
      <c r="C112" s="6">
        <f>IF(8613337354.21&lt;&gt;0, (B112/8613337354.21)*100, 0)</f>
        <v>0</v>
      </c>
      <c r="D112" s="6">
        <v>0</v>
      </c>
      <c r="E112" s="6">
        <f>IF(841131444.28&lt;&gt;0, (D112/841131444.28)*100, 0)</f>
        <v>0</v>
      </c>
    </row>
    <row r="113" spans="1:5" x14ac:dyDescent="0.3">
      <c r="A113" s="4" t="s">
        <v>15</v>
      </c>
      <c r="B113" s="6">
        <v>925619875.36000001</v>
      </c>
      <c r="C113" s="6">
        <f>IF(8613337354.21&lt;&gt;0, (B113/8613337354.21)*100, 0)</f>
        <v>10.746355765429048</v>
      </c>
      <c r="D113" s="6">
        <v>109304300</v>
      </c>
      <c r="E113" s="6">
        <f>IF(841131444.28&lt;&gt;0, (D113/841131444.28)*100, 0)</f>
        <v>12.994913071352762</v>
      </c>
    </row>
    <row r="114" spans="1:5" x14ac:dyDescent="0.3">
      <c r="A114" s="4" t="s">
        <v>100</v>
      </c>
      <c r="B114" s="6">
        <v>0</v>
      </c>
      <c r="C114" s="6">
        <f>IF(8613337354.21&lt;&gt;0, (B114/8613337354.21)*100, 0)</f>
        <v>0</v>
      </c>
      <c r="D114" s="6">
        <v>0</v>
      </c>
      <c r="E114" s="6">
        <f>IF(841131444.28&lt;&gt;0, (D114/841131444.28)*100, 0)</f>
        <v>0</v>
      </c>
    </row>
    <row r="115" spans="1:5" x14ac:dyDescent="0.3">
      <c r="A115" s="4" t="s">
        <v>17</v>
      </c>
      <c r="B115" s="6">
        <v>4831841.5</v>
      </c>
      <c r="C115" s="6">
        <f>IF(8613337354.21&lt;&gt;0, (B115/8613337354.21)*100, 0)</f>
        <v>5.6097204849851943E-2</v>
      </c>
      <c r="D115" s="6">
        <v>0</v>
      </c>
      <c r="E115" s="6">
        <f>IF(841131444.28&lt;&gt;0, (D115/841131444.28)*100, 0)</f>
        <v>0</v>
      </c>
    </row>
    <row r="116" spans="1:5" x14ac:dyDescent="0.3">
      <c r="A116" s="4" t="s">
        <v>18</v>
      </c>
      <c r="B116" s="6">
        <v>600694488</v>
      </c>
      <c r="C116" s="6">
        <f>IF(8613337354.21&lt;&gt;0, (B116/8613337354.21)*100, 0)</f>
        <v>6.9740039580174402</v>
      </c>
      <c r="D116" s="6">
        <v>28988050</v>
      </c>
      <c r="E116" s="6">
        <f>IF(841131444.28&lt;&gt;0, (D116/841131444.28)*100, 0)</f>
        <v>3.4463162918387238</v>
      </c>
    </row>
    <row r="117" spans="1:5" x14ac:dyDescent="0.3">
      <c r="A117" s="4" t="s">
        <v>19</v>
      </c>
      <c r="B117" s="6">
        <v>3729250</v>
      </c>
      <c r="C117" s="6">
        <f>IF(8613337354.21&lt;&gt;0, (B117/8613337354.21)*100, 0)</f>
        <v>4.3296225918484768E-2</v>
      </c>
      <c r="D117" s="6">
        <v>7000</v>
      </c>
      <c r="E117" s="6">
        <f>IF(841131444.28&lt;&gt;0, (D117/841131444.28)*100, 0)</f>
        <v>8.3221237864813491E-4</v>
      </c>
    </row>
    <row r="118" spans="1:5" x14ac:dyDescent="0.3">
      <c r="A118" s="4" t="s">
        <v>20</v>
      </c>
      <c r="B118" s="6">
        <v>178072471.65000001</v>
      </c>
      <c r="C118" s="6">
        <f>IF(8613337354.21&lt;&gt;0, (B118/8613337354.21)*100, 0)</f>
        <v>2.0674038915120665</v>
      </c>
      <c r="D118" s="6">
        <v>24582952</v>
      </c>
      <c r="E118" s="6">
        <f>IF(841131444.28&lt;&gt;0, (D118/841131444.28)*100, 0)</f>
        <v>2.9226052797304183</v>
      </c>
    </row>
    <row r="119" spans="1:5" x14ac:dyDescent="0.3">
      <c r="A119" s="4" t="s">
        <v>21</v>
      </c>
      <c r="B119" s="6">
        <v>24208811.52</v>
      </c>
      <c r="C119" s="6">
        <f>IF(8613337354.21&lt;&gt;0, (B119/8613337354.21)*100, 0)</f>
        <v>0.28106192204543451</v>
      </c>
      <c r="D119" s="6">
        <v>0</v>
      </c>
      <c r="E119" s="6">
        <f>IF(841131444.28&lt;&gt;0, (D119/841131444.28)*100, 0)</f>
        <v>0</v>
      </c>
    </row>
    <row r="120" spans="1:5" x14ac:dyDescent="0.3">
      <c r="A120" s="4" t="s">
        <v>22</v>
      </c>
      <c r="B120" s="6">
        <v>14010069.5</v>
      </c>
      <c r="C120" s="6">
        <f>IF(8613337354.21&lt;&gt;0, (B120/8613337354.21)*100, 0)</f>
        <v>0.16265552971929287</v>
      </c>
      <c r="D120" s="6">
        <v>0</v>
      </c>
      <c r="E120" s="6">
        <f>IF(841131444.28&lt;&gt;0, (D120/841131444.28)*100, 0)</f>
        <v>0</v>
      </c>
    </row>
    <row r="121" spans="1:5" x14ac:dyDescent="0.3">
      <c r="A121" s="4" t="s">
        <v>23</v>
      </c>
      <c r="B121" s="6">
        <v>0</v>
      </c>
      <c r="C121" s="6">
        <f>IF(8613337354.21&lt;&gt;0, (B121/8613337354.21)*100, 0)</f>
        <v>0</v>
      </c>
      <c r="D121" s="6">
        <v>0</v>
      </c>
      <c r="E121" s="6">
        <f>IF(841131444.28&lt;&gt;0, (D121/841131444.28)*100, 0)</f>
        <v>0</v>
      </c>
    </row>
    <row r="122" spans="1:5" x14ac:dyDescent="0.3">
      <c r="A122" s="4" t="s">
        <v>24</v>
      </c>
      <c r="B122" s="6">
        <v>0</v>
      </c>
      <c r="C122" s="6">
        <f>IF(8613337354.21&lt;&gt;0, (B122/8613337354.21)*100, 0)</f>
        <v>0</v>
      </c>
      <c r="D122" s="6">
        <v>0</v>
      </c>
      <c r="E122" s="6">
        <f>IF(841131444.28&lt;&gt;0, (D122/841131444.28)*100, 0)</f>
        <v>0</v>
      </c>
    </row>
    <row r="123" spans="1:5" x14ac:dyDescent="0.3">
      <c r="A123" s="4" t="s">
        <v>25</v>
      </c>
      <c r="B123" s="6">
        <v>691480</v>
      </c>
      <c r="C123" s="6">
        <f>IF(8613337354.21&lt;&gt;0, (B123/8613337354.21)*100, 0)</f>
        <v>8.0280148282131387E-3</v>
      </c>
      <c r="D123" s="6">
        <v>0</v>
      </c>
      <c r="E123" s="6">
        <f>IF(841131444.28&lt;&gt;0, (D123/841131444.28)*100, 0)</f>
        <v>0</v>
      </c>
    </row>
    <row r="124" spans="1:5" x14ac:dyDescent="0.3">
      <c r="A124" s="4" t="s">
        <v>26</v>
      </c>
      <c r="B124" s="6">
        <v>29161938.18</v>
      </c>
      <c r="C124" s="6">
        <f>IF(8613337354.21&lt;&gt;0, (B124/8613337354.21)*100, 0)</f>
        <v>0.33856723568067748</v>
      </c>
      <c r="D124" s="6">
        <v>6083982.8799999999</v>
      </c>
      <c r="E124" s="6">
        <f>IF(841131444.28&lt;&gt;0, (D124/841131444.28)*100, 0)</f>
        <v>0.72330940917419007</v>
      </c>
    </row>
    <row r="125" spans="1:5" x14ac:dyDescent="0.3">
      <c r="A125" s="4" t="s">
        <v>27</v>
      </c>
      <c r="B125" s="6">
        <v>0</v>
      </c>
      <c r="C125" s="6">
        <f>IF(8613337354.21&lt;&gt;0, (B125/8613337354.21)*100, 0)</f>
        <v>0</v>
      </c>
      <c r="D125" s="6">
        <v>0</v>
      </c>
      <c r="E125" s="6">
        <f>IF(841131444.28&lt;&gt;0, (D125/841131444.28)*100, 0)</f>
        <v>0</v>
      </c>
    </row>
    <row r="126" spans="1:5" x14ac:dyDescent="0.3">
      <c r="A126" s="4" t="s">
        <v>28</v>
      </c>
      <c r="B126" s="6">
        <v>0</v>
      </c>
      <c r="C126" s="6">
        <f>IF(8613337354.21&lt;&gt;0, (B126/8613337354.21)*100, 0)</f>
        <v>0</v>
      </c>
      <c r="D126" s="6">
        <v>0</v>
      </c>
      <c r="E126" s="6">
        <f>IF(841131444.28&lt;&gt;0, (D126/841131444.28)*100, 0)</f>
        <v>0</v>
      </c>
    </row>
    <row r="127" spans="1:5" x14ac:dyDescent="0.3">
      <c r="A127" s="4" t="s">
        <v>29</v>
      </c>
      <c r="B127" s="6">
        <v>0</v>
      </c>
      <c r="C127" s="6">
        <f>IF(8613337354.21&lt;&gt;0, (B127/8613337354.21)*100, 0)</f>
        <v>0</v>
      </c>
      <c r="D127" s="6">
        <v>0</v>
      </c>
      <c r="E127" s="6">
        <f>IF(841131444.28&lt;&gt;0, (D127/841131444.28)*100, 0)</f>
        <v>0</v>
      </c>
    </row>
    <row r="128" spans="1:5" x14ac:dyDescent="0.3">
      <c r="A128" s="4" t="s">
        <v>30</v>
      </c>
      <c r="B128" s="6">
        <v>40580309</v>
      </c>
      <c r="C128" s="6">
        <f>IF(8613337354.21&lt;&gt;0, (B128/8613337354.21)*100, 0)</f>
        <v>0.47113339848653774</v>
      </c>
      <c r="D128" s="6">
        <v>3292774</v>
      </c>
      <c r="E128" s="6">
        <f>IF(841131444.28&lt;&gt;0, (D128/841131444.28)*100, 0)</f>
        <v>0.39146961184153345</v>
      </c>
    </row>
    <row r="129" spans="1:5" x14ac:dyDescent="0.3">
      <c r="A129" s="4" t="s">
        <v>101</v>
      </c>
      <c r="B129" s="6">
        <v>3625341.6</v>
      </c>
      <c r="C129" s="6">
        <f>IF(8613337354.21&lt;&gt;0, (B129/8613337354.21)*100, 0)</f>
        <v>4.2089859608575732E-2</v>
      </c>
      <c r="D129" s="6">
        <v>1346995</v>
      </c>
      <c r="E129" s="6">
        <f>IF(841131444.28&lt;&gt;0, (D129/841131444.28)*100, 0)</f>
        <v>0.16014084471102066</v>
      </c>
    </row>
    <row r="130" spans="1:5" x14ac:dyDescent="0.3">
      <c r="A130" s="4" t="s">
        <v>32</v>
      </c>
      <c r="B130" s="6">
        <v>0</v>
      </c>
      <c r="C130" s="6">
        <f>IF(8613337354.21&lt;&gt;0, (B130/8613337354.21)*100, 0)</f>
        <v>0</v>
      </c>
      <c r="D130" s="6">
        <v>0</v>
      </c>
      <c r="E130" s="6">
        <f>IF(841131444.28&lt;&gt;0, (D130/841131444.28)*100, 0)</f>
        <v>0</v>
      </c>
    </row>
    <row r="131" spans="1:5" x14ac:dyDescent="0.3">
      <c r="A131" s="4" t="s">
        <v>102</v>
      </c>
      <c r="B131" s="6">
        <v>106661060.63</v>
      </c>
      <c r="C131" s="6">
        <f>IF(8613337354.21&lt;&gt;0, (B131/8613337354.21)*100, 0)</f>
        <v>1.2383244292395739</v>
      </c>
      <c r="D131" s="6">
        <v>7362913.7800000003</v>
      </c>
      <c r="E131" s="6">
        <f>IF(841131444.28&lt;&gt;0, (D131/841131444.28)*100, 0)</f>
        <v>0.87535828437641883</v>
      </c>
    </row>
    <row r="132" spans="1:5" x14ac:dyDescent="0.3">
      <c r="A132" s="4" t="s">
        <v>34</v>
      </c>
      <c r="B132" s="6">
        <v>0</v>
      </c>
      <c r="C132" s="6">
        <f>IF(8613337354.21&lt;&gt;0, (B132/8613337354.21)*100, 0)</f>
        <v>0</v>
      </c>
      <c r="D132" s="6">
        <v>0</v>
      </c>
      <c r="E132" s="6">
        <f>IF(841131444.28&lt;&gt;0, (D132/841131444.28)*100, 0)</f>
        <v>0</v>
      </c>
    </row>
    <row r="133" spans="1:5" x14ac:dyDescent="0.3">
      <c r="A133" s="4" t="s">
        <v>35</v>
      </c>
      <c r="B133" s="6">
        <v>0</v>
      </c>
      <c r="C133" s="6">
        <f>IF(8613337354.21&lt;&gt;0, (B133/8613337354.21)*100, 0)</f>
        <v>0</v>
      </c>
      <c r="D133" s="6">
        <v>0</v>
      </c>
      <c r="E133" s="6">
        <f>IF(841131444.28&lt;&gt;0, (D133/841131444.28)*100, 0)</f>
        <v>0</v>
      </c>
    </row>
    <row r="134" spans="1:5" x14ac:dyDescent="0.3">
      <c r="A134" s="4" t="s">
        <v>36</v>
      </c>
      <c r="B134" s="6">
        <v>9437000</v>
      </c>
      <c r="C134" s="6">
        <f>IF(8613337354.21&lt;&gt;0, (B134/8613337354.21)*100, 0)</f>
        <v>0.10956264235241424</v>
      </c>
      <c r="D134" s="6">
        <v>0</v>
      </c>
      <c r="E134" s="6">
        <f>IF(841131444.28&lt;&gt;0, (D134/841131444.28)*100, 0)</f>
        <v>0</v>
      </c>
    </row>
    <row r="135" spans="1:5" x14ac:dyDescent="0.3">
      <c r="A135" s="4" t="s">
        <v>37</v>
      </c>
      <c r="B135" s="6">
        <v>2958200</v>
      </c>
      <c r="C135" s="6">
        <f>IF(8613337354.21&lt;&gt;0, (B135/8613337354.21)*100, 0)</f>
        <v>3.4344411211922408E-2</v>
      </c>
      <c r="D135" s="6">
        <v>0</v>
      </c>
      <c r="E135" s="6">
        <f>IF(841131444.28&lt;&gt;0, (D135/841131444.28)*100, 0)</f>
        <v>0</v>
      </c>
    </row>
    <row r="136" spans="1:5" x14ac:dyDescent="0.3">
      <c r="A136" s="4" t="s">
        <v>38</v>
      </c>
      <c r="B136" s="6">
        <v>11748677</v>
      </c>
      <c r="C136" s="6">
        <f>IF(8613337354.21&lt;&gt;0, (B136/8613337354.21)*100, 0)</f>
        <v>0.13640098508689574</v>
      </c>
      <c r="D136" s="6">
        <v>0</v>
      </c>
      <c r="E136" s="6">
        <f>IF(841131444.28&lt;&gt;0, (D136/841131444.28)*100, 0)</f>
        <v>0</v>
      </c>
    </row>
    <row r="137" spans="1:5" x14ac:dyDescent="0.3">
      <c r="A137" s="4" t="s">
        <v>39</v>
      </c>
      <c r="B137" s="6">
        <v>1486500</v>
      </c>
      <c r="C137" s="6">
        <f>IF(8613337354.21&lt;&gt;0, (B137/8613337354.21)*100, 0)</f>
        <v>1.7258118878548667E-2</v>
      </c>
      <c r="D137" s="6">
        <v>0</v>
      </c>
      <c r="E137" s="6">
        <f>IF(841131444.28&lt;&gt;0, (D137/841131444.28)*100, 0)</f>
        <v>0</v>
      </c>
    </row>
    <row r="138" spans="1:5" x14ac:dyDescent="0.3">
      <c r="A138" s="4" t="s">
        <v>103</v>
      </c>
      <c r="B138" s="6">
        <v>202769260</v>
      </c>
      <c r="C138" s="6">
        <f>IF(8613337354.21&lt;&gt;0, (B138/8613337354.21)*100, 0)</f>
        <v>2.3541311765861708</v>
      </c>
      <c r="D138" s="6">
        <v>3343140</v>
      </c>
      <c r="E138" s="6">
        <f>IF(841131444.28&lt;&gt;0, (D138/841131444.28)*100, 0)</f>
        <v>0.39745749879338943</v>
      </c>
    </row>
    <row r="139" spans="1:5" x14ac:dyDescent="0.3">
      <c r="A139" s="4" t="s">
        <v>41</v>
      </c>
      <c r="B139" s="6">
        <v>6150611</v>
      </c>
      <c r="C139" s="6">
        <f>IF(8613337354.21&lt;&gt;0, (B139/8613337354.21)*100, 0)</f>
        <v>7.1407989111139644E-2</v>
      </c>
      <c r="D139" s="6">
        <v>924000</v>
      </c>
      <c r="E139" s="6">
        <f>IF(841131444.28&lt;&gt;0, (D139/841131444.28)*100, 0)</f>
        <v>0.10985203398155383</v>
      </c>
    </row>
    <row r="140" spans="1:5" x14ac:dyDescent="0.3">
      <c r="A140" s="4" t="s">
        <v>42</v>
      </c>
      <c r="B140" s="6">
        <v>981596</v>
      </c>
      <c r="C140" s="6">
        <f>IF(8613337354.21&lt;&gt;0, (B140/8613337354.21)*100, 0)</f>
        <v>1.1396233070102828E-2</v>
      </c>
      <c r="D140" s="6">
        <v>0</v>
      </c>
      <c r="E140" s="6">
        <f>IF(841131444.28&lt;&gt;0, (D140/841131444.28)*100, 0)</f>
        <v>0</v>
      </c>
    </row>
    <row r="141" spans="1:5" x14ac:dyDescent="0.3">
      <c r="A141" s="4" t="s">
        <v>43</v>
      </c>
      <c r="B141" s="6">
        <v>8258250</v>
      </c>
      <c r="C141" s="6">
        <f>IF(8613337354.21&lt;&gt;0, (B141/8613337354.21)*100, 0)</f>
        <v>9.5877470722350838E-2</v>
      </c>
      <c r="D141" s="6">
        <v>1350875</v>
      </c>
      <c r="E141" s="6">
        <f>IF(841131444.28&lt;&gt;0, (D141/841131444.28)*100, 0)</f>
        <v>0.16060212814375704</v>
      </c>
    </row>
    <row r="142" spans="1:5" x14ac:dyDescent="0.3">
      <c r="A142" s="4" t="s">
        <v>44</v>
      </c>
      <c r="B142" s="6">
        <v>0</v>
      </c>
      <c r="C142" s="6">
        <f>IF(8613337354.21&lt;&gt;0, (B142/8613337354.21)*100, 0)</f>
        <v>0</v>
      </c>
      <c r="D142" s="6">
        <v>0</v>
      </c>
      <c r="E142" s="6">
        <f>IF(841131444.28&lt;&gt;0, (D142/841131444.28)*100, 0)</f>
        <v>0</v>
      </c>
    </row>
    <row r="143" spans="1:5" x14ac:dyDescent="0.3">
      <c r="A143" s="4" t="s">
        <v>45</v>
      </c>
      <c r="B143" s="6">
        <v>45028380</v>
      </c>
      <c r="C143" s="6">
        <f>IF(8613337354.21&lt;&gt;0, (B143/8613337354.21)*100, 0)</f>
        <v>0.5227750655556429</v>
      </c>
      <c r="D143" s="6">
        <v>0</v>
      </c>
      <c r="E143" s="6">
        <f>IF(841131444.28&lt;&gt;0, (D143/841131444.28)*100, 0)</f>
        <v>0</v>
      </c>
    </row>
    <row r="144" spans="1:5" x14ac:dyDescent="0.3">
      <c r="A144" s="4" t="s">
        <v>46</v>
      </c>
      <c r="B144" s="6">
        <v>114968765.09999999</v>
      </c>
      <c r="C144" s="6">
        <f>IF(8613337354.21&lt;&gt;0, (B144/8613337354.21)*100, 0)</f>
        <v>1.3347760614973003</v>
      </c>
      <c r="D144" s="6">
        <v>12289200</v>
      </c>
      <c r="E144" s="6">
        <f>IF(841131444.28&lt;&gt;0, (D144/841131444.28)*100, 0)</f>
        <v>1.4610320519546658</v>
      </c>
    </row>
    <row r="145" spans="1:5" x14ac:dyDescent="0.3">
      <c r="A145" s="4" t="s">
        <v>47</v>
      </c>
      <c r="B145" s="6">
        <v>259740945</v>
      </c>
      <c r="C145" s="6">
        <f>IF(8613337354.21&lt;&gt;0, (B145/8613337354.21)*100, 0)</f>
        <v>3.015566839176973</v>
      </c>
      <c r="D145" s="6">
        <v>0</v>
      </c>
      <c r="E145" s="6">
        <f>IF(841131444.28&lt;&gt;0, (D145/841131444.28)*100, 0)</f>
        <v>0</v>
      </c>
    </row>
    <row r="146" spans="1:5" x14ac:dyDescent="0.3">
      <c r="A146" s="4" t="s">
        <v>48</v>
      </c>
      <c r="B146" s="6">
        <v>428222258.5</v>
      </c>
      <c r="C146" s="6">
        <f>IF(8613337354.21&lt;&gt;0, (B146/8613337354.21)*100, 0)</f>
        <v>4.9716183273687165</v>
      </c>
      <c r="D146" s="6">
        <v>9996450</v>
      </c>
      <c r="E146" s="6">
        <f>IF(841131444.28&lt;&gt;0, (D146/841131444.28)*100, 0)</f>
        <v>1.1884527760767356</v>
      </c>
    </row>
    <row r="147" spans="1:5" x14ac:dyDescent="0.3">
      <c r="A147" s="4" t="s">
        <v>49</v>
      </c>
      <c r="B147" s="6">
        <v>39750326.380000003</v>
      </c>
      <c r="C147" s="6">
        <f>IF(8613337354.21&lt;&gt;0, (B147/8613337354.21)*100, 0)</f>
        <v>0.4614973818547925</v>
      </c>
      <c r="D147" s="6">
        <v>0</v>
      </c>
      <c r="E147" s="6">
        <f>IF(841131444.28&lt;&gt;0, (D147/841131444.28)*100, 0)</f>
        <v>0</v>
      </c>
    </row>
    <row r="148" spans="1:5" x14ac:dyDescent="0.3">
      <c r="A148" s="4" t="s">
        <v>50</v>
      </c>
      <c r="B148" s="6">
        <v>1599500</v>
      </c>
      <c r="C148" s="6">
        <f>IF(8613337354.21&lt;&gt;0, (B148/8613337354.21)*100, 0)</f>
        <v>1.857003777076259E-2</v>
      </c>
      <c r="D148" s="6">
        <v>0</v>
      </c>
      <c r="E148" s="6">
        <f>IF(841131444.28&lt;&gt;0, (D148/841131444.28)*100, 0)</f>
        <v>0</v>
      </c>
    </row>
    <row r="149" spans="1:5" x14ac:dyDescent="0.3">
      <c r="A149" s="4" t="s">
        <v>51</v>
      </c>
      <c r="B149" s="6">
        <v>9112473</v>
      </c>
      <c r="C149" s="6">
        <f>IF(8613337354.21&lt;&gt;0, (B149/8613337354.21)*100, 0)</f>
        <v>0.10579491578309114</v>
      </c>
      <c r="D149" s="6">
        <v>0</v>
      </c>
      <c r="E149" s="6">
        <f>IF(841131444.28&lt;&gt;0, (D149/841131444.28)*100, 0)</f>
        <v>0</v>
      </c>
    </row>
    <row r="150" spans="1:5" x14ac:dyDescent="0.3">
      <c r="A150" s="4" t="s">
        <v>52</v>
      </c>
      <c r="B150" s="6">
        <v>12021958</v>
      </c>
      <c r="C150" s="6">
        <f>IF(8613337354.21&lt;&gt;0, (B150/8613337354.21)*100, 0)</f>
        <v>0.13957375063364894</v>
      </c>
      <c r="D150" s="6">
        <v>0</v>
      </c>
      <c r="E150" s="6">
        <f>IF(841131444.28&lt;&gt;0, (D150/841131444.28)*100, 0)</f>
        <v>0</v>
      </c>
    </row>
    <row r="151" spans="1:5" x14ac:dyDescent="0.3">
      <c r="A151" s="4" t="s">
        <v>53</v>
      </c>
      <c r="B151" s="6">
        <v>2206500.52</v>
      </c>
      <c r="C151" s="6">
        <f>IF(8613337354.21&lt;&gt;0, (B151/8613337354.21)*100, 0)</f>
        <v>2.5617254140423443E-2</v>
      </c>
      <c r="D151" s="6">
        <v>0</v>
      </c>
      <c r="E151" s="6">
        <f>IF(841131444.28&lt;&gt;0, (D151/841131444.28)*100, 0)</f>
        <v>0</v>
      </c>
    </row>
    <row r="152" spans="1:5" x14ac:dyDescent="0.3">
      <c r="A152" s="4" t="s">
        <v>54</v>
      </c>
      <c r="B152" s="6">
        <v>581780128.20000005</v>
      </c>
      <c r="C152" s="6">
        <f>IF(8613337354.21&lt;&gt;0, (B152/8613337354.21)*100, 0)</f>
        <v>6.7544101000019392</v>
      </c>
      <c r="D152" s="6">
        <v>85989573</v>
      </c>
      <c r="E152" s="6">
        <f>IF(841131444.28&lt;&gt;0, (D152/841131444.28)*100, 0)</f>
        <v>10.22308386932392</v>
      </c>
    </row>
    <row r="153" spans="1:5" x14ac:dyDescent="0.3">
      <c r="A153" s="4" t="s">
        <v>55</v>
      </c>
      <c r="B153" s="6">
        <v>23881949.91</v>
      </c>
      <c r="C153" s="6">
        <f>IF(8613337354.21&lt;&gt;0, (B153/8613337354.21)*100, 0)</f>
        <v>0.27726709088350127</v>
      </c>
      <c r="D153" s="6">
        <v>4516205.4000000004</v>
      </c>
      <c r="E153" s="6">
        <f>IF(841131444.28&lt;&gt;0, (D153/841131444.28)*100, 0)</f>
        <v>0.53692029119965035</v>
      </c>
    </row>
    <row r="154" spans="1:5" x14ac:dyDescent="0.3">
      <c r="A154" s="4" t="s">
        <v>56</v>
      </c>
      <c r="B154" s="6">
        <v>56959137</v>
      </c>
      <c r="C154" s="6">
        <f>IF(8613337354.21&lt;&gt;0, (B154/8613337354.21)*100, 0)</f>
        <v>0.66128998154425822</v>
      </c>
      <c r="D154" s="6">
        <v>4715235.3600000003</v>
      </c>
      <c r="E154" s="6">
        <f>IF(841131444.28&lt;&gt;0, (D154/841131444.28)*100, 0)</f>
        <v>0.56058246211877072</v>
      </c>
    </row>
    <row r="155" spans="1:5" x14ac:dyDescent="0.3">
      <c r="A155" s="4" t="s">
        <v>57</v>
      </c>
      <c r="B155" s="6">
        <v>0</v>
      </c>
      <c r="C155" s="6">
        <f>IF(8613337354.21&lt;&gt;0, (B155/8613337354.21)*100, 0)</f>
        <v>0</v>
      </c>
      <c r="D155" s="6">
        <v>0</v>
      </c>
      <c r="E155" s="6">
        <f>IF(841131444.28&lt;&gt;0, (D155/841131444.28)*100, 0)</f>
        <v>0</v>
      </c>
    </row>
    <row r="156" spans="1:5" x14ac:dyDescent="0.3">
      <c r="A156" s="4" t="s">
        <v>58</v>
      </c>
      <c r="B156" s="6">
        <v>614068259.29999995</v>
      </c>
      <c r="C156" s="6">
        <f>IF(8613337354.21&lt;&gt;0, (B156/8613337354.21)*100, 0)</f>
        <v>7.1292721281822038</v>
      </c>
      <c r="D156" s="6">
        <v>112071624</v>
      </c>
      <c r="E156" s="6">
        <f>IF(841131444.28&lt;&gt;0, (D156/841131444.28)*100, 0)</f>
        <v>13.323913255428488</v>
      </c>
    </row>
    <row r="157" spans="1:5" x14ac:dyDescent="0.3">
      <c r="A157" s="4" t="s">
        <v>71</v>
      </c>
      <c r="B157" s="6">
        <v>36598796</v>
      </c>
      <c r="C157" s="6">
        <f>IF(8613337354.21&lt;&gt;0, (B157/8613337354.21)*100, 0)</f>
        <v>0.42490842393525152</v>
      </c>
      <c r="D157" s="6">
        <v>7037170</v>
      </c>
      <c r="E157" s="6">
        <f>IF(841131444.28&lt;&gt;0, (D157/841131444.28)*100, 0)</f>
        <v>0.83663142637875665</v>
      </c>
    </row>
    <row r="158" spans="1:5" x14ac:dyDescent="0.3">
      <c r="A158" s="4" t="s">
        <v>104</v>
      </c>
      <c r="B158" s="6">
        <v>0</v>
      </c>
      <c r="C158" s="6">
        <f>IF(8613337354.21&lt;&gt;0, (B158/8613337354.21)*100, 0)</f>
        <v>0</v>
      </c>
      <c r="D158" s="6">
        <v>0</v>
      </c>
      <c r="E158" s="6">
        <f>IF(841131444.28&lt;&gt;0, (D158/841131444.28)*100, 0)</f>
        <v>0</v>
      </c>
    </row>
    <row r="159" spans="1:5" x14ac:dyDescent="0.3">
      <c r="A159" s="4" t="s">
        <v>105</v>
      </c>
      <c r="B159" s="6">
        <v>0</v>
      </c>
      <c r="C159" s="6">
        <f>IF(8613337354.21&lt;&gt;0, (B159/8613337354.21)*100, 0)</f>
        <v>0</v>
      </c>
      <c r="D159" s="6">
        <v>0</v>
      </c>
      <c r="E159" s="6">
        <f>IF(841131444.28&lt;&gt;0, (D159/841131444.28)*100, 0)</f>
        <v>0</v>
      </c>
    </row>
    <row r="160" spans="1:5" x14ac:dyDescent="0.3">
      <c r="A160" s="4" t="s">
        <v>106</v>
      </c>
      <c r="B160" s="6">
        <v>0</v>
      </c>
      <c r="C160" s="6">
        <f>IF(8613337354.21&lt;&gt;0, (B160/8613337354.21)*100, 0)</f>
        <v>0</v>
      </c>
      <c r="D160" s="6">
        <v>0</v>
      </c>
      <c r="E160" s="6">
        <f>IF(841131444.28&lt;&gt;0, (D160/841131444.28)*100, 0)</f>
        <v>0</v>
      </c>
    </row>
    <row r="161" spans="1:5" x14ac:dyDescent="0.3">
      <c r="A161" s="4" t="s">
        <v>107</v>
      </c>
      <c r="B161" s="6">
        <v>0</v>
      </c>
      <c r="C161" s="6">
        <f>IF(8613337354.21&lt;&gt;0, (B161/8613337354.21)*100, 0)</f>
        <v>0</v>
      </c>
      <c r="D161" s="6">
        <v>0</v>
      </c>
      <c r="E161" s="6">
        <f>IF(841131444.28&lt;&gt;0, (D161/841131444.28)*100, 0)</f>
        <v>0</v>
      </c>
    </row>
    <row r="162" spans="1:5" x14ac:dyDescent="0.3">
      <c r="A162" s="4" t="s">
        <v>108</v>
      </c>
      <c r="B162" s="6">
        <v>0</v>
      </c>
      <c r="C162" s="6">
        <f>IF(8613337354.21&lt;&gt;0, (B162/8613337354.21)*100, 0)</f>
        <v>0</v>
      </c>
      <c r="D162" s="6">
        <v>0</v>
      </c>
      <c r="E162" s="6">
        <f>IF(841131444.28&lt;&gt;0, (D162/841131444.28)*100, 0)</f>
        <v>0</v>
      </c>
    </row>
    <row r="163" spans="1:5" x14ac:dyDescent="0.3">
      <c r="A163" s="4" t="s">
        <v>109</v>
      </c>
      <c r="B163" s="6">
        <v>0</v>
      </c>
      <c r="C163" s="6">
        <f>IF(8613337354.21&lt;&gt;0, (B163/8613337354.21)*100, 0)</f>
        <v>0</v>
      </c>
      <c r="D163" s="6">
        <v>0</v>
      </c>
      <c r="E163" s="6">
        <f>IF(841131444.28&lt;&gt;0, (D163/841131444.28)*100, 0)</f>
        <v>0</v>
      </c>
    </row>
    <row r="164" spans="1:5" x14ac:dyDescent="0.3">
      <c r="A164" s="4" t="s">
        <v>110</v>
      </c>
      <c r="B164" s="6">
        <v>0</v>
      </c>
      <c r="C164" s="6">
        <f>IF(8613337354.21&lt;&gt;0, (B164/8613337354.21)*100, 0)</f>
        <v>0</v>
      </c>
      <c r="D164" s="6">
        <v>0</v>
      </c>
      <c r="E164" s="6">
        <f>IF(841131444.28&lt;&gt;0, (D164/841131444.28)*100, 0)</f>
        <v>0</v>
      </c>
    </row>
    <row r="165" spans="1:5" x14ac:dyDescent="0.3">
      <c r="A165" s="4" t="s">
        <v>111</v>
      </c>
      <c r="B165" s="6">
        <v>0</v>
      </c>
      <c r="C165" s="6">
        <f>IF(8613337354.21&lt;&gt;0, (B165/8613337354.21)*100, 0)</f>
        <v>0</v>
      </c>
      <c r="D165" s="6">
        <v>0</v>
      </c>
      <c r="E165" s="6">
        <f>IF(841131444.28&lt;&gt;0, (D165/841131444.28)*100, 0)</f>
        <v>0</v>
      </c>
    </row>
    <row r="166" spans="1:5" x14ac:dyDescent="0.3">
      <c r="A166" s="4" t="s">
        <v>67</v>
      </c>
      <c r="B166" s="6">
        <v>1055000</v>
      </c>
      <c r="C166" s="6">
        <f>IF(8613337354.21&lt;&gt;0, (B166/8613337354.21)*100, 0)</f>
        <v>1.2248446294563635E-2</v>
      </c>
      <c r="D166" s="6">
        <v>0</v>
      </c>
      <c r="E166" s="6">
        <f>IF(841131444.28&lt;&gt;0, (D166/841131444.28)*100, 0)</f>
        <v>0</v>
      </c>
    </row>
    <row r="167" spans="1:5" x14ac:dyDescent="0.3">
      <c r="A167" s="4" t="s">
        <v>112</v>
      </c>
      <c r="B167" s="6">
        <v>16000</v>
      </c>
      <c r="C167" s="6">
        <f>IF(8613337354.21&lt;&gt;0, (B167/8613337354.21)*100, 0)</f>
        <v>1.8575842721613094E-4</v>
      </c>
      <c r="D167" s="6">
        <v>0</v>
      </c>
      <c r="E167" s="6">
        <f>IF(841131444.28&lt;&gt;0, (D167/841131444.28)*100, 0)</f>
        <v>0</v>
      </c>
    </row>
    <row r="168" spans="1:5" x14ac:dyDescent="0.3">
      <c r="A168" s="4" t="s">
        <v>69</v>
      </c>
      <c r="B168" s="6">
        <v>2250000</v>
      </c>
      <c r="C168" s="6">
        <f>IF(8613337354.21&lt;&gt;0, (B168/8613337354.21)*100, 0)</f>
        <v>2.6122278827268412E-2</v>
      </c>
      <c r="D168" s="6">
        <v>0</v>
      </c>
      <c r="E168" s="6">
        <f>IF(841131444.28&lt;&gt;0, (D168/841131444.28)*100, 0)</f>
        <v>0</v>
      </c>
    </row>
    <row r="169" spans="1:5" x14ac:dyDescent="0.3">
      <c r="A169" s="4" t="s">
        <v>70</v>
      </c>
      <c r="B169" s="6">
        <v>0</v>
      </c>
      <c r="C169" s="6">
        <f>IF(8613337354.21&lt;&gt;0, (B169/8613337354.21)*100, 0)</f>
        <v>0</v>
      </c>
      <c r="D169" s="6">
        <v>0</v>
      </c>
      <c r="E169" s="6">
        <f>IF(841131444.28&lt;&gt;0, (D169/841131444.28)*100, 0)</f>
        <v>0</v>
      </c>
    </row>
    <row r="170" spans="1:5" x14ac:dyDescent="0.3">
      <c r="A170" s="4" t="s">
        <v>72</v>
      </c>
      <c r="B170" s="6">
        <v>400000.04</v>
      </c>
      <c r="C170" s="6">
        <f>IF(8613337354.21&lt;&gt;0, (B170/8613337354.21)*100, 0)</f>
        <v>4.6439611447993412E-3</v>
      </c>
      <c r="D170" s="6">
        <v>0</v>
      </c>
      <c r="E170" s="6">
        <f>IF(841131444.28&lt;&gt;0, (D170/841131444.28)*100, 0)</f>
        <v>0</v>
      </c>
    </row>
    <row r="171" spans="1:5" x14ac:dyDescent="0.3">
      <c r="A171" s="4" t="s">
        <v>113</v>
      </c>
      <c r="B171" s="6">
        <v>10047800</v>
      </c>
      <c r="C171" s="6">
        <f>IF(8613337354.21&lt;&gt;0, (B171/8613337354.21)*100, 0)</f>
        <v>0.11665397031139003</v>
      </c>
      <c r="D171" s="6">
        <v>2029760</v>
      </c>
      <c r="E171" s="6">
        <f>IF(841131444.28&lt;&gt;0, (D171/841131444.28)*100, 0)</f>
        <v>0.24131305681211979</v>
      </c>
    </row>
    <row r="172" spans="1:5" x14ac:dyDescent="0.3">
      <c r="A172" s="4" t="s">
        <v>74</v>
      </c>
      <c r="B172" s="6">
        <v>5344416.22</v>
      </c>
      <c r="C172" s="6">
        <f>IF(8613337354.21&lt;&gt;0, (B172/8613337354.21)*100, 0)</f>
        <v>6.2048146963473723E-2</v>
      </c>
      <c r="D172" s="6">
        <v>1250816.22</v>
      </c>
      <c r="E172" s="6">
        <f>IF(841131444.28&lt;&gt;0, (D172/841131444.28)*100, 0)</f>
        <v>0.14870639167112412</v>
      </c>
    </row>
    <row r="173" spans="1:5" x14ac:dyDescent="0.3">
      <c r="A173" s="4" t="s">
        <v>75</v>
      </c>
      <c r="B173" s="6">
        <v>7236100</v>
      </c>
      <c r="C173" s="6">
        <f>IF(8613337354.21&lt;&gt;0, (B173/8613337354.21)*100, 0)</f>
        <v>8.4010409698665328E-2</v>
      </c>
      <c r="D173" s="6">
        <v>1900000</v>
      </c>
      <c r="E173" s="6">
        <f>IF(841131444.28&lt;&gt;0, (D173/841131444.28)*100, 0)</f>
        <v>0.22588621706163664</v>
      </c>
    </row>
    <row r="174" spans="1:5" x14ac:dyDescent="0.3">
      <c r="A174" s="4" t="s">
        <v>76</v>
      </c>
      <c r="B174" s="6">
        <v>1227000</v>
      </c>
      <c r="C174" s="6">
        <f>IF(8613337354.21&lt;&gt;0, (B174/8613337354.21)*100, 0)</f>
        <v>1.424534938713704E-2</v>
      </c>
      <c r="D174" s="6">
        <v>0</v>
      </c>
      <c r="E174" s="6">
        <f>IF(841131444.28&lt;&gt;0, (D174/841131444.28)*100, 0)</f>
        <v>0</v>
      </c>
    </row>
    <row r="175" spans="1:5" x14ac:dyDescent="0.3">
      <c r="A175" s="4" t="s">
        <v>77</v>
      </c>
      <c r="B175" s="6">
        <v>561950</v>
      </c>
      <c r="C175" s="6">
        <f>IF(8613337354.21&lt;&gt;0, (B175/8613337354.21)*100, 0)</f>
        <v>6.5241842608815496E-3</v>
      </c>
      <c r="D175" s="6">
        <v>0</v>
      </c>
      <c r="E175" s="6">
        <f>IF(841131444.28&lt;&gt;0, (D175/841131444.28)*100, 0)</f>
        <v>0</v>
      </c>
    </row>
    <row r="176" spans="1:5" x14ac:dyDescent="0.3">
      <c r="A176" s="4" t="s">
        <v>3</v>
      </c>
      <c r="B176" s="6">
        <v>1900000</v>
      </c>
      <c r="C176" s="6">
        <f>IF(8613337354.21&lt;&gt;0, (B176/8613337354.21)*100, 0)</f>
        <v>2.2058813231915549E-2</v>
      </c>
      <c r="D176" s="6">
        <v>0</v>
      </c>
      <c r="E176" s="6">
        <f>IF(841131444.28&lt;&gt;0, (D176/841131444.28)*100, 0)</f>
        <v>0</v>
      </c>
    </row>
    <row r="177" spans="1:5" x14ac:dyDescent="0.3">
      <c r="A177" s="4" t="s">
        <v>78</v>
      </c>
      <c r="B177" s="6">
        <v>465600</v>
      </c>
      <c r="C177" s="6">
        <f>IF(8613337354.21&lt;&gt;0, (B177/8613337354.21)*100, 0)</f>
        <v>5.4055702319894105E-3</v>
      </c>
      <c r="D177" s="6">
        <v>0</v>
      </c>
      <c r="E177" s="6">
        <f>IF(841131444.28&lt;&gt;0, (D177/841131444.28)*100, 0)</f>
        <v>0</v>
      </c>
    </row>
    <row r="178" spans="1:5" x14ac:dyDescent="0.3">
      <c r="A178" s="4" t="s">
        <v>79</v>
      </c>
      <c r="B178" s="6">
        <v>147400</v>
      </c>
      <c r="C178" s="6">
        <f>IF(8613337354.21&lt;&gt;0, (B178/8613337354.21)*100, 0)</f>
        <v>1.7112995107286064E-3</v>
      </c>
      <c r="D178" s="6">
        <v>0</v>
      </c>
      <c r="E178" s="6">
        <f>IF(841131444.28&lt;&gt;0, (D178/841131444.28)*100, 0)</f>
        <v>0</v>
      </c>
    </row>
    <row r="179" spans="1:5" x14ac:dyDescent="0.3">
      <c r="A179" s="4" t="s">
        <v>80</v>
      </c>
      <c r="B179" s="6">
        <v>657658748.76999998</v>
      </c>
      <c r="C179" s="6">
        <f>IF(8613337354.21&lt;&gt;0, (B179/8613337354.21)*100, 0)</f>
        <v>7.6353534260277369</v>
      </c>
      <c r="D179" s="6">
        <v>118430093.58</v>
      </c>
      <c r="E179" s="6">
        <f>IF(841131444.28&lt;&gt;0, (D179/841131444.28)*100, 0)</f>
        <v>14.079855697390432</v>
      </c>
    </row>
    <row r="180" spans="1:5" x14ac:dyDescent="0.3">
      <c r="A180" s="4" t="s">
        <v>81</v>
      </c>
      <c r="B180" s="6">
        <v>2445000</v>
      </c>
      <c r="C180" s="6">
        <f>IF(8613337354.21&lt;&gt;0, (B180/8613337354.21)*100, 0)</f>
        <v>2.838620965896501E-2</v>
      </c>
      <c r="D180" s="6">
        <v>0</v>
      </c>
      <c r="E180" s="6">
        <f>IF(841131444.28&lt;&gt;0, (D180/841131444.28)*100, 0)</f>
        <v>0</v>
      </c>
    </row>
    <row r="181" spans="1:5" x14ac:dyDescent="0.3">
      <c r="A181" s="4" t="s">
        <v>65</v>
      </c>
      <c r="B181" s="6">
        <v>2575000</v>
      </c>
      <c r="C181" s="6">
        <f>IF(8613337354.21&lt;&gt;0, (B181/8613337354.21)*100, 0)</f>
        <v>2.9895496880096073E-2</v>
      </c>
      <c r="D181" s="6">
        <v>0</v>
      </c>
      <c r="E181" s="6">
        <f>IF(841131444.28&lt;&gt;0, (D181/841131444.28)*100, 0)</f>
        <v>0</v>
      </c>
    </row>
    <row r="182" spans="1:5" x14ac:dyDescent="0.3">
      <c r="A182" s="4" t="s">
        <v>82</v>
      </c>
      <c r="B182" s="6">
        <v>310500</v>
      </c>
      <c r="C182" s="6">
        <f>IF(8613337354.21&lt;&gt;0, (B182/8613337354.21)*100, 0)</f>
        <v>3.6048744781630409E-3</v>
      </c>
      <c r="D182" s="6">
        <v>0</v>
      </c>
      <c r="E182" s="6">
        <f>IF(841131444.28&lt;&gt;0, (D182/841131444.28)*100, 0)</f>
        <v>0</v>
      </c>
    </row>
    <row r="183" spans="1:5" x14ac:dyDescent="0.3">
      <c r="A183" s="4" t="s">
        <v>83</v>
      </c>
      <c r="B183" s="6">
        <v>355000</v>
      </c>
      <c r="C183" s="6">
        <f>IF(8613337354.21&lt;&gt;0, (B183/8613337354.21)*100, 0)</f>
        <v>4.1215151038579059E-3</v>
      </c>
      <c r="D183" s="6">
        <v>0</v>
      </c>
      <c r="E183" s="6">
        <f>IF(841131444.28&lt;&gt;0, (D183/841131444.28)*100, 0)</f>
        <v>0</v>
      </c>
    </row>
    <row r="184" spans="1:5" x14ac:dyDescent="0.3">
      <c r="A184" s="4" t="s">
        <v>84</v>
      </c>
      <c r="B184" s="6">
        <v>301600</v>
      </c>
      <c r="C184" s="6">
        <f>IF(8613337354.21&lt;&gt;0, (B184/8613337354.21)*100, 0)</f>
        <v>3.5015463530240682E-3</v>
      </c>
      <c r="D184" s="6">
        <v>0</v>
      </c>
      <c r="E184" s="6">
        <f>IF(841131444.28&lt;&gt;0, (D184/841131444.28)*100, 0)</f>
        <v>0</v>
      </c>
    </row>
    <row r="185" spans="1:5" x14ac:dyDescent="0.3">
      <c r="A185" s="4" t="s">
        <v>85</v>
      </c>
      <c r="B185" s="6">
        <v>1916179.92</v>
      </c>
      <c r="C185" s="6">
        <f>IF(8613337354.21&lt;&gt;0, (B185/8613337354.21)*100, 0)</f>
        <v>2.2246660512645726E-2</v>
      </c>
      <c r="D185" s="6">
        <v>362618.16</v>
      </c>
      <c r="E185" s="6">
        <f>IF(841131444.28&lt;&gt;0, (D185/841131444.28)*100, 0)</f>
        <v>4.3110760210658572E-2</v>
      </c>
    </row>
    <row r="186" spans="1:5" x14ac:dyDescent="0.3">
      <c r="A186" s="4" t="s">
        <v>114</v>
      </c>
      <c r="B186" s="6">
        <v>3645000</v>
      </c>
      <c r="C186" s="6">
        <f>IF(8613337354.21&lt;&gt;0, (B186/8613337354.21)*100, 0)</f>
        <v>4.231809170017483E-2</v>
      </c>
      <c r="D186" s="6">
        <v>647500</v>
      </c>
      <c r="E186" s="6">
        <f>IF(841131444.28&lt;&gt;0, (D186/841131444.28)*100, 0)</f>
        <v>7.6979645024952484E-2</v>
      </c>
    </row>
    <row r="187" spans="1:5" x14ac:dyDescent="0.3">
      <c r="A187" s="4" t="s">
        <v>87</v>
      </c>
      <c r="B187" s="6">
        <v>3634000</v>
      </c>
      <c r="C187" s="6">
        <f>IF(8613337354.21&lt;&gt;0, (B187/8613337354.21)*100, 0)</f>
        <v>4.2190382781463739E-2</v>
      </c>
      <c r="D187" s="6">
        <v>450000</v>
      </c>
      <c r="E187" s="6">
        <f>IF(841131444.28&lt;&gt;0, (D187/841131444.28)*100, 0)</f>
        <v>5.3499367198808684E-2</v>
      </c>
    </row>
    <row r="188" spans="1:5" x14ac:dyDescent="0.3">
      <c r="A188" s="4" t="s">
        <v>88</v>
      </c>
      <c r="B188" s="6">
        <v>800000</v>
      </c>
      <c r="C188" s="6">
        <f>IF(8613337354.21&lt;&gt;0, (B188/8613337354.21)*100, 0)</f>
        <v>9.2879213608065472E-3</v>
      </c>
      <c r="D188" s="6">
        <v>0</v>
      </c>
      <c r="E188" s="6">
        <f>IF(841131444.28&lt;&gt;0, (D188/841131444.28)*100, 0)</f>
        <v>0</v>
      </c>
    </row>
    <row r="189" spans="1:5" x14ac:dyDescent="0.3">
      <c r="A189" s="4" t="s">
        <v>89</v>
      </c>
      <c r="B189" s="6">
        <v>290000</v>
      </c>
      <c r="C189" s="6">
        <f>IF(8613337354.21&lt;&gt;0, (B189/8613337354.21)*100, 0)</f>
        <v>3.3668714932923731E-3</v>
      </c>
      <c r="D189" s="6">
        <v>0</v>
      </c>
      <c r="E189" s="6">
        <f>IF(841131444.28&lt;&gt;0, (D189/841131444.28)*100, 0)</f>
        <v>0</v>
      </c>
    </row>
    <row r="190" spans="1:5" x14ac:dyDescent="0.3">
      <c r="A190" s="4" t="s">
        <v>90</v>
      </c>
      <c r="B190" s="6">
        <v>280000</v>
      </c>
      <c r="C190" s="6">
        <f>IF(8613337354.21&lt;&gt;0, (B190/8613337354.21)*100, 0)</f>
        <v>3.2507724762822917E-3</v>
      </c>
      <c r="D190" s="6">
        <v>0</v>
      </c>
      <c r="E190" s="6">
        <f>IF(841131444.28&lt;&gt;0, (D190/841131444.28)*100, 0)</f>
        <v>0</v>
      </c>
    </row>
    <row r="191" spans="1:5" x14ac:dyDescent="0.3">
      <c r="A191" s="4" t="s">
        <v>91</v>
      </c>
      <c r="B191" s="6">
        <v>566500</v>
      </c>
      <c r="C191" s="6">
        <f>IF(8613337354.21&lt;&gt;0, (B191/8613337354.21)*100, 0)</f>
        <v>6.5770093136211369E-3</v>
      </c>
      <c r="D191" s="6">
        <v>0</v>
      </c>
      <c r="E191" s="6">
        <f>IF(841131444.28&lt;&gt;0, (D191/841131444.28)*100, 0)</f>
        <v>0</v>
      </c>
    </row>
    <row r="192" spans="1:5" x14ac:dyDescent="0.3">
      <c r="A192" s="4" t="s">
        <v>92</v>
      </c>
      <c r="B192" s="6">
        <v>616000</v>
      </c>
      <c r="C192" s="6">
        <f>IF(8613337354.21&lt;&gt;0, (B192/8613337354.21)*100, 0)</f>
        <v>7.1516994478210416E-3</v>
      </c>
      <c r="D192" s="6">
        <v>0</v>
      </c>
      <c r="E192" s="6">
        <f>IF(841131444.28&lt;&gt;0, (D192/841131444.28)*100, 0)</f>
        <v>0</v>
      </c>
    </row>
    <row r="193" spans="1:5" x14ac:dyDescent="0.3">
      <c r="A193" s="4" t="s">
        <v>93</v>
      </c>
      <c r="B193" s="6">
        <v>22443651.620000001</v>
      </c>
      <c r="C193" s="6">
        <f>IF(8613337354.21&lt;&gt;0, (B193/8613337354.21)*100, 0)</f>
        <v>0.26056858911987313</v>
      </c>
      <c r="D193" s="6">
        <v>22443651.620000001</v>
      </c>
      <c r="E193" s="6">
        <f>IF(841131444.28&lt;&gt;0, (D193/841131444.28)*100, 0)</f>
        <v>2.6682692428900383</v>
      </c>
    </row>
    <row r="194" spans="1:5" customFormat="1" ht="14.5" x14ac:dyDescent="0.35">
      <c r="A194" s="7"/>
      <c r="B194" s="9"/>
      <c r="C194" s="8"/>
      <c r="D194" s="9"/>
      <c r="E194" s="8"/>
    </row>
    <row r="195" spans="1:5" x14ac:dyDescent="0.3">
      <c r="A195" s="4" t="s">
        <v>115</v>
      </c>
      <c r="B195" s="6">
        <f>ROUND(SUBTOTAL(9, B100:B194), 5)</f>
        <v>7138676599.4099998</v>
      </c>
      <c r="C195" s="6">
        <f>ROUND(SUBTOTAL(9, C100:C194), 5)</f>
        <v>82.879329999999996</v>
      </c>
      <c r="D195" s="6">
        <f>ROUND(SUBTOTAL(9, D100:D194), 5)</f>
        <v>724072776.69000006</v>
      </c>
      <c r="E195" s="6">
        <f>ROUND(SUBTOTAL(9, E100:E194), 5)</f>
        <v>86.083190000000002</v>
      </c>
    </row>
    <row r="196" spans="1:5" customFormat="1" ht="14.5" x14ac:dyDescent="0.35">
      <c r="A196" s="7"/>
      <c r="B196" s="9"/>
      <c r="C196" s="8"/>
      <c r="D196" s="9"/>
      <c r="E196" s="8"/>
    </row>
    <row r="197" spans="1:5" x14ac:dyDescent="0.3">
      <c r="A197" s="4" t="s">
        <v>116</v>
      </c>
      <c r="B197" s="6">
        <f>-(ROUND(-B98+B195, 5))</f>
        <v>1474660754.8</v>
      </c>
      <c r="C197" s="6">
        <f>-(ROUND(-C98+C195, 5))</f>
        <v>17.12067</v>
      </c>
      <c r="D197" s="6">
        <f>-(ROUND(-D98+D195, 5))</f>
        <v>117058667.59</v>
      </c>
      <c r="E197" s="6">
        <f>-(ROUND(-E98+E195, 5))</f>
        <v>13.91681</v>
      </c>
    </row>
    <row r="198" spans="1:5" customFormat="1" ht="14.5" x14ac:dyDescent="0.35">
      <c r="A198" s="7"/>
      <c r="B198" s="9"/>
      <c r="C198" s="8"/>
      <c r="D198" s="9"/>
      <c r="E198" s="8"/>
    </row>
    <row r="199" spans="1:5" x14ac:dyDescent="0.3">
      <c r="A199" s="4" t="s">
        <v>117</v>
      </c>
    </row>
    <row r="200" spans="1:5" x14ac:dyDescent="0.3">
      <c r="A200" s="4" t="s">
        <v>118</v>
      </c>
      <c r="B200" s="6">
        <v>0</v>
      </c>
      <c r="C200" s="6">
        <f>IF(8613337354.21&lt;&gt;0, (B200/8613337354.21)*100, 0)</f>
        <v>0</v>
      </c>
      <c r="D200" s="6">
        <v>0</v>
      </c>
      <c r="E200" s="6">
        <f>IF(841131444.28&lt;&gt;0, (D200/841131444.28)*100, 0)</f>
        <v>0</v>
      </c>
    </row>
    <row r="201" spans="1:5" x14ac:dyDescent="0.3">
      <c r="A201" s="4" t="s">
        <v>119</v>
      </c>
      <c r="B201" s="6">
        <v>6535200</v>
      </c>
      <c r="C201" s="6">
        <f>IF(8613337354.21&lt;&gt;0, (B201/8613337354.21)*100, 0)</f>
        <v>7.5873029596428679E-2</v>
      </c>
      <c r="D201" s="6">
        <v>0</v>
      </c>
      <c r="E201" s="6">
        <f>IF(841131444.28&lt;&gt;0, (D201/841131444.28)*100, 0)</f>
        <v>0</v>
      </c>
    </row>
    <row r="202" spans="1:5" x14ac:dyDescent="0.3">
      <c r="A202" s="4" t="s">
        <v>120</v>
      </c>
      <c r="B202" s="6">
        <v>2468650</v>
      </c>
      <c r="C202" s="6">
        <f>IF(8613337354.21&lt;&gt;0, (B202/8613337354.21)*100, 0)</f>
        <v>2.8660783834193855E-2</v>
      </c>
      <c r="D202" s="6">
        <v>11000</v>
      </c>
      <c r="E202" s="6">
        <f>IF(841131444.28&lt;&gt;0, (D202/841131444.28)*100, 0)</f>
        <v>1.3077623093042121E-3</v>
      </c>
    </row>
    <row r="203" spans="1:5" x14ac:dyDescent="0.3">
      <c r="A203" s="4" t="s">
        <v>121</v>
      </c>
      <c r="B203" s="6">
        <v>0</v>
      </c>
      <c r="C203" s="6">
        <f>IF(8613337354.21&lt;&gt;0, (B203/8613337354.21)*100, 0)</f>
        <v>0</v>
      </c>
      <c r="D203" s="6">
        <v>0</v>
      </c>
      <c r="E203" s="6">
        <f>IF(841131444.28&lt;&gt;0, (D203/841131444.28)*100, 0)</f>
        <v>0</v>
      </c>
    </row>
    <row r="204" spans="1:5" x14ac:dyDescent="0.3">
      <c r="A204" s="4" t="s">
        <v>122</v>
      </c>
      <c r="B204" s="6">
        <v>0</v>
      </c>
      <c r="C204" s="6">
        <f>IF(8613337354.21&lt;&gt;0, (B204/8613337354.21)*100, 0)</f>
        <v>0</v>
      </c>
      <c r="D204" s="6">
        <v>0</v>
      </c>
      <c r="E204" s="6">
        <f>IF(841131444.28&lt;&gt;0, (D204/841131444.28)*100, 0)</f>
        <v>0</v>
      </c>
    </row>
    <row r="205" spans="1:5" x14ac:dyDescent="0.3">
      <c r="A205" s="4" t="s">
        <v>123</v>
      </c>
      <c r="B205" s="6">
        <v>30594830</v>
      </c>
      <c r="C205" s="6">
        <f>IF(8613337354.21&lt;&gt;0, (B205/8613337354.21)*100, 0)</f>
        <v>0.35520296885905622</v>
      </c>
      <c r="D205" s="6">
        <v>1767500</v>
      </c>
      <c r="E205" s="6">
        <f>IF(841131444.28&lt;&gt;0, (D205/841131444.28)*100, 0)</f>
        <v>0.21013362560865409</v>
      </c>
    </row>
    <row r="206" spans="1:5" x14ac:dyDescent="0.3">
      <c r="A206" s="4" t="s">
        <v>124</v>
      </c>
      <c r="B206" s="6">
        <v>5455285</v>
      </c>
      <c r="C206" s="6">
        <f>IF(8613337354.21&lt;&gt;0, (B206/8613337354.21)*100, 0)</f>
        <v>6.3335322600984428E-2</v>
      </c>
      <c r="D206" s="6">
        <v>202250</v>
      </c>
      <c r="E206" s="6">
        <f>IF(841131444.28&lt;&gt;0, (D206/841131444.28)*100, 0)</f>
        <v>2.4044993368797903E-2</v>
      </c>
    </row>
    <row r="207" spans="1:5" x14ac:dyDescent="0.3">
      <c r="A207" s="4" t="s">
        <v>125</v>
      </c>
      <c r="B207" s="6">
        <v>0</v>
      </c>
      <c r="C207" s="6">
        <f>IF(8613337354.21&lt;&gt;0, (B207/8613337354.21)*100, 0)</f>
        <v>0</v>
      </c>
      <c r="D207" s="6">
        <v>0</v>
      </c>
      <c r="E207" s="6">
        <f>IF(841131444.28&lt;&gt;0, (D207/841131444.28)*100, 0)</f>
        <v>0</v>
      </c>
    </row>
    <row r="208" spans="1:5" x14ac:dyDescent="0.3">
      <c r="A208" s="4" t="s">
        <v>126</v>
      </c>
      <c r="B208" s="6">
        <v>15645506.16</v>
      </c>
      <c r="C208" s="6">
        <f>IF(8613337354.21&lt;&gt;0, (B208/8613337354.21)*100, 0)</f>
        <v>0.18164278858011804</v>
      </c>
      <c r="D208" s="6">
        <v>0</v>
      </c>
      <c r="E208" s="6">
        <f>IF(841131444.28&lt;&gt;0, (D208/841131444.28)*100, 0)</f>
        <v>0</v>
      </c>
    </row>
    <row r="209" spans="1:5" x14ac:dyDescent="0.3">
      <c r="A209" s="4" t="s">
        <v>127</v>
      </c>
      <c r="B209" s="6">
        <v>1046583.23</v>
      </c>
      <c r="C209" s="6">
        <f>IF(8613337354.21&lt;&gt;0, (B209/8613337354.21)*100, 0)</f>
        <v>1.2150728422223639E-2</v>
      </c>
      <c r="D209" s="6">
        <v>18975.349999999999</v>
      </c>
      <c r="E209" s="6">
        <f>IF(841131444.28&lt;&gt;0, (D209/841131444.28)*100, 0)</f>
        <v>2.2559315941686983E-3</v>
      </c>
    </row>
    <row r="210" spans="1:5" x14ac:dyDescent="0.3">
      <c r="A210" s="4" t="s">
        <v>128</v>
      </c>
      <c r="B210" s="6">
        <v>127512.54</v>
      </c>
      <c r="C210" s="6">
        <f>IF(8613337354.21&lt;&gt;0, (B210/8613337354.21)*100, 0)</f>
        <v>1.480408055045874E-3</v>
      </c>
      <c r="D210" s="6">
        <v>0</v>
      </c>
      <c r="E210" s="6">
        <f>IF(841131444.28&lt;&gt;0, (D210/841131444.28)*100, 0)</f>
        <v>0</v>
      </c>
    </row>
    <row r="211" spans="1:5" x14ac:dyDescent="0.3">
      <c r="A211" s="4" t="s">
        <v>129</v>
      </c>
      <c r="B211" s="6">
        <v>1380922.53</v>
      </c>
      <c r="C211" s="6">
        <f>IF(8613337354.21&lt;&gt;0, (B211/8613337354.21)*100, 0)</f>
        <v>1.6032374830007527E-2</v>
      </c>
      <c r="D211" s="6">
        <v>25598.35</v>
      </c>
      <c r="E211" s="6">
        <f>IF(841131444.28&lt;&gt;0, (D211/841131444.28)*100, 0)</f>
        <v>3.0433233918524981E-3</v>
      </c>
    </row>
    <row r="212" spans="1:5" x14ac:dyDescent="0.3">
      <c r="A212" s="4" t="s">
        <v>130</v>
      </c>
      <c r="B212" s="6">
        <v>5000</v>
      </c>
      <c r="C212" s="6">
        <f>IF(8613337354.21&lt;&gt;0, (B212/8613337354.21)*100, 0)</f>
        <v>5.8049508505040924E-5</v>
      </c>
      <c r="D212" s="6">
        <v>0</v>
      </c>
      <c r="E212" s="6">
        <f>IF(841131444.28&lt;&gt;0, (D212/841131444.28)*100, 0)</f>
        <v>0</v>
      </c>
    </row>
    <row r="213" spans="1:5" x14ac:dyDescent="0.3">
      <c r="A213" s="4" t="s">
        <v>131</v>
      </c>
      <c r="B213" s="6">
        <v>53.75</v>
      </c>
      <c r="C213" s="6">
        <f>IF(8613337354.21&lt;&gt;0, (B213/8613337354.21)*100, 0)</f>
        <v>6.2403221642918995E-7</v>
      </c>
      <c r="D213" s="6">
        <v>0</v>
      </c>
      <c r="E213" s="6">
        <f>IF(841131444.28&lt;&gt;0, (D213/841131444.28)*100, 0)</f>
        <v>0</v>
      </c>
    </row>
    <row r="214" spans="1:5" x14ac:dyDescent="0.3">
      <c r="A214" s="4" t="s">
        <v>132</v>
      </c>
      <c r="B214" s="6">
        <v>0</v>
      </c>
      <c r="C214" s="6">
        <f>IF(8613337354.21&lt;&gt;0, (B214/8613337354.21)*100, 0)</f>
        <v>0</v>
      </c>
      <c r="D214" s="6">
        <v>0</v>
      </c>
      <c r="E214" s="6">
        <f>IF(841131444.28&lt;&gt;0, (D214/841131444.28)*100, 0)</f>
        <v>0</v>
      </c>
    </row>
    <row r="215" spans="1:5" x14ac:dyDescent="0.3">
      <c r="A215" s="4" t="s">
        <v>133</v>
      </c>
      <c r="B215" s="6">
        <v>0</v>
      </c>
      <c r="C215" s="6">
        <f>IF(8613337354.21&lt;&gt;0, (B215/8613337354.21)*100, 0)</f>
        <v>0</v>
      </c>
      <c r="D215" s="6">
        <v>0</v>
      </c>
      <c r="E215" s="6">
        <f>IF(841131444.28&lt;&gt;0, (D215/841131444.28)*100, 0)</f>
        <v>0</v>
      </c>
    </row>
    <row r="216" spans="1:5" x14ac:dyDescent="0.3">
      <c r="A216" s="4" t="s">
        <v>134</v>
      </c>
      <c r="B216" s="6">
        <v>3951100</v>
      </c>
      <c r="C216" s="6">
        <f>IF(8613337354.21&lt;&gt;0, (B216/8613337354.21)*100, 0)</f>
        <v>4.587188261085344E-2</v>
      </c>
      <c r="D216" s="6">
        <v>0</v>
      </c>
      <c r="E216" s="6">
        <f>IF(841131444.28&lt;&gt;0, (D216/841131444.28)*100, 0)</f>
        <v>0</v>
      </c>
    </row>
    <row r="217" spans="1:5" x14ac:dyDescent="0.3">
      <c r="A217" s="4" t="s">
        <v>135</v>
      </c>
      <c r="B217" s="6">
        <v>12035230</v>
      </c>
      <c r="C217" s="6">
        <f>IF(8613337354.21&lt;&gt;0, (B217/8613337354.21)*100, 0)</f>
        <v>0.13972783724902474</v>
      </c>
      <c r="D217" s="6">
        <v>572600</v>
      </c>
      <c r="E217" s="6">
        <f>IF(841131444.28&lt;&gt;0, (D217/841131444.28)*100, 0)</f>
        <v>6.8074972573417436E-2</v>
      </c>
    </row>
    <row r="218" spans="1:5" x14ac:dyDescent="0.3">
      <c r="A218" s="4" t="s">
        <v>136</v>
      </c>
      <c r="B218" s="6">
        <v>0</v>
      </c>
      <c r="C218" s="6">
        <f>IF(8613337354.21&lt;&gt;0, (B218/8613337354.21)*100, 0)</f>
        <v>0</v>
      </c>
      <c r="D218" s="6">
        <v>0</v>
      </c>
      <c r="E218" s="6">
        <f>IF(841131444.28&lt;&gt;0, (D218/841131444.28)*100, 0)</f>
        <v>0</v>
      </c>
    </row>
    <row r="219" spans="1:5" x14ac:dyDescent="0.3">
      <c r="A219" s="4" t="s">
        <v>137</v>
      </c>
      <c r="B219" s="6">
        <v>312025</v>
      </c>
      <c r="C219" s="6">
        <f>IF(8613337354.21&lt;&gt;0, (B219/8613337354.21)*100, 0)</f>
        <v>3.6225795782570788E-3</v>
      </c>
      <c r="D219" s="6">
        <v>0</v>
      </c>
      <c r="E219" s="6">
        <f>IF(841131444.28&lt;&gt;0, (D219/841131444.28)*100, 0)</f>
        <v>0</v>
      </c>
    </row>
    <row r="220" spans="1:5" x14ac:dyDescent="0.3">
      <c r="A220" s="4" t="s">
        <v>138</v>
      </c>
      <c r="B220" s="6">
        <v>1190000</v>
      </c>
      <c r="C220" s="6">
        <f>IF(8613337354.21&lt;&gt;0, (B220/8613337354.21)*100, 0)</f>
        <v>1.3815783024199738E-2</v>
      </c>
      <c r="D220" s="6">
        <v>0</v>
      </c>
      <c r="E220" s="6">
        <f>IF(841131444.28&lt;&gt;0, (D220/841131444.28)*100, 0)</f>
        <v>0</v>
      </c>
    </row>
    <row r="221" spans="1:5" x14ac:dyDescent="0.3">
      <c r="A221" s="4" t="s">
        <v>139</v>
      </c>
      <c r="B221" s="6">
        <v>0</v>
      </c>
      <c r="C221" s="6">
        <f>IF(8613337354.21&lt;&gt;0, (B221/8613337354.21)*100, 0)</f>
        <v>0</v>
      </c>
      <c r="D221" s="6">
        <v>0</v>
      </c>
      <c r="E221" s="6">
        <f>IF(841131444.28&lt;&gt;0, (D221/841131444.28)*100, 0)</f>
        <v>0</v>
      </c>
    </row>
    <row r="222" spans="1:5" x14ac:dyDescent="0.3">
      <c r="A222" s="4" t="s">
        <v>140</v>
      </c>
      <c r="B222" s="6">
        <v>40941.800000000003</v>
      </c>
      <c r="C222" s="6">
        <f>IF(8613337354.21&lt;&gt;0, (B222/8613337354.21)*100, 0)</f>
        <v>4.7533027346233686E-4</v>
      </c>
      <c r="D222" s="6">
        <v>0</v>
      </c>
      <c r="E222" s="6">
        <f>IF(841131444.28&lt;&gt;0, (D222/841131444.28)*100, 0)</f>
        <v>0</v>
      </c>
    </row>
    <row r="223" spans="1:5" x14ac:dyDescent="0.3">
      <c r="A223" s="4" t="s">
        <v>141</v>
      </c>
      <c r="B223" s="6">
        <v>3045000</v>
      </c>
      <c r="C223" s="6">
        <f>IF(8613337354.21&lt;&gt;0, (B223/8613337354.21)*100, 0)</f>
        <v>3.535215067956992E-2</v>
      </c>
      <c r="D223" s="6">
        <v>0</v>
      </c>
      <c r="E223" s="6">
        <f>IF(841131444.28&lt;&gt;0, (D223/841131444.28)*100, 0)</f>
        <v>0</v>
      </c>
    </row>
    <row r="224" spans="1:5" x14ac:dyDescent="0.3">
      <c r="A224" s="4" t="s">
        <v>142</v>
      </c>
      <c r="B224" s="6">
        <v>154000</v>
      </c>
      <c r="C224" s="6">
        <f>IF(8613337354.21&lt;&gt;0, (B224/8613337354.21)*100, 0)</f>
        <v>1.7879248619552604E-3</v>
      </c>
      <c r="D224" s="6">
        <v>0</v>
      </c>
      <c r="E224" s="6">
        <f>IF(841131444.28&lt;&gt;0, (D224/841131444.28)*100, 0)</f>
        <v>0</v>
      </c>
    </row>
    <row r="225" spans="1:5" x14ac:dyDescent="0.3">
      <c r="A225" s="4" t="s">
        <v>143</v>
      </c>
      <c r="B225" s="6">
        <v>1466680</v>
      </c>
      <c r="C225" s="6">
        <f>IF(8613337354.21&lt;&gt;0, (B225/8613337354.21)*100, 0)</f>
        <v>1.7028010626834681E-2</v>
      </c>
      <c r="D225" s="6">
        <v>427180</v>
      </c>
      <c r="E225" s="6">
        <f>IF(841131444.28&lt;&gt;0, (D225/841131444.28)*100, 0)</f>
        <v>5.0786354844415758E-2</v>
      </c>
    </row>
    <row r="226" spans="1:5" x14ac:dyDescent="0.3">
      <c r="A226" s="4" t="s">
        <v>144</v>
      </c>
      <c r="B226" s="6">
        <v>12965342</v>
      </c>
      <c r="C226" s="6">
        <f>IF(8613337354.21&lt;&gt;0, (B226/8613337354.21)*100, 0)</f>
        <v>0.15052634613995286</v>
      </c>
      <c r="D226" s="6">
        <v>82600</v>
      </c>
      <c r="E226" s="6">
        <f>IF(841131444.28&lt;&gt;0, (D226/841131444.28)*100, 0)</f>
        <v>9.8201060680479929E-3</v>
      </c>
    </row>
    <row r="227" spans="1:5" x14ac:dyDescent="0.3">
      <c r="A227" s="4" t="s">
        <v>145</v>
      </c>
      <c r="B227" s="6">
        <v>0</v>
      </c>
      <c r="C227" s="6">
        <f>IF(8613337354.21&lt;&gt;0, (B227/8613337354.21)*100, 0)</f>
        <v>0</v>
      </c>
      <c r="D227" s="6">
        <v>0</v>
      </c>
      <c r="E227" s="6">
        <f>IF(841131444.28&lt;&gt;0, (D227/841131444.28)*100, 0)</f>
        <v>0</v>
      </c>
    </row>
    <row r="228" spans="1:5" x14ac:dyDescent="0.3">
      <c r="A228" s="4" t="s">
        <v>146</v>
      </c>
      <c r="B228" s="6">
        <v>993000</v>
      </c>
      <c r="C228" s="6">
        <f>IF(8613337354.21&lt;&gt;0, (B228/8613337354.21)*100, 0)</f>
        <v>1.1528632389101127E-2</v>
      </c>
      <c r="D228" s="6">
        <v>0</v>
      </c>
      <c r="E228" s="6">
        <f>IF(841131444.28&lt;&gt;0, (D228/841131444.28)*100, 0)</f>
        <v>0</v>
      </c>
    </row>
    <row r="229" spans="1:5" x14ac:dyDescent="0.3">
      <c r="A229" s="4" t="s">
        <v>147</v>
      </c>
      <c r="B229" s="6">
        <v>436100.2</v>
      </c>
      <c r="C229" s="6">
        <f>IF(8613337354.21&lt;&gt;0, (B229/8613337354.21)*100, 0)</f>
        <v>5.0630804537900092E-3</v>
      </c>
      <c r="D229" s="6">
        <v>0</v>
      </c>
      <c r="E229" s="6">
        <f>IF(841131444.28&lt;&gt;0, (D229/841131444.28)*100, 0)</f>
        <v>0</v>
      </c>
    </row>
    <row r="230" spans="1:5" x14ac:dyDescent="0.3">
      <c r="A230" s="4" t="s">
        <v>148</v>
      </c>
      <c r="B230" s="6">
        <v>1450000</v>
      </c>
      <c r="C230" s="6">
        <f>IF(8613337354.21&lt;&gt;0, (B230/8613337354.21)*100, 0)</f>
        <v>1.6834357466461867E-2</v>
      </c>
      <c r="D230" s="6">
        <v>0</v>
      </c>
      <c r="E230" s="6">
        <f>IF(841131444.28&lt;&gt;0, (D230/841131444.28)*100, 0)</f>
        <v>0</v>
      </c>
    </row>
    <row r="231" spans="1:5" x14ac:dyDescent="0.3">
      <c r="A231" s="4" t="s">
        <v>149</v>
      </c>
      <c r="B231" s="6">
        <v>6731552.2599999998</v>
      </c>
      <c r="C231" s="6">
        <f>IF(8613337354.21&lt;&gt;0, (B231/8613337354.21)*100, 0)</f>
        <v>7.815266003379949E-2</v>
      </c>
      <c r="D231" s="6">
        <v>47509.08</v>
      </c>
      <c r="E231" s="6">
        <f>IF(841131444.28&lt;&gt;0, (D231/841131444.28)*100, 0)</f>
        <v>5.648234924883506E-3</v>
      </c>
    </row>
    <row r="232" spans="1:5" x14ac:dyDescent="0.3">
      <c r="A232" s="4" t="s">
        <v>150</v>
      </c>
      <c r="B232" s="6">
        <v>0</v>
      </c>
      <c r="C232" s="6">
        <f>IF(8613337354.21&lt;&gt;0, (B232/8613337354.21)*100, 0)</f>
        <v>0</v>
      </c>
      <c r="D232" s="6">
        <v>0</v>
      </c>
      <c r="E232" s="6">
        <f>IF(841131444.28&lt;&gt;0, (D232/841131444.28)*100, 0)</f>
        <v>0</v>
      </c>
    </row>
    <row r="233" spans="1:5" x14ac:dyDescent="0.3">
      <c r="A233" s="4" t="s">
        <v>151</v>
      </c>
      <c r="B233" s="6">
        <v>50000</v>
      </c>
      <c r="C233" s="6">
        <f>IF(8613337354.21&lt;&gt;0, (B233/8613337354.21)*100, 0)</f>
        <v>5.804950850504092E-4</v>
      </c>
      <c r="D233" s="6">
        <v>0</v>
      </c>
      <c r="E233" s="6">
        <f>IF(841131444.28&lt;&gt;0, (D233/841131444.28)*100, 0)</f>
        <v>0</v>
      </c>
    </row>
    <row r="234" spans="1:5" x14ac:dyDescent="0.3">
      <c r="A234" s="4" t="s">
        <v>152</v>
      </c>
      <c r="B234" s="6">
        <v>1400000</v>
      </c>
      <c r="C234" s="6">
        <f>IF(8613337354.21&lt;&gt;0, (B234/8613337354.21)*100, 0)</f>
        <v>1.6253862381411459E-2</v>
      </c>
      <c r="D234" s="6">
        <v>0</v>
      </c>
      <c r="E234" s="6">
        <f>IF(841131444.28&lt;&gt;0, (D234/841131444.28)*100, 0)</f>
        <v>0</v>
      </c>
    </row>
    <row r="235" spans="1:5" x14ac:dyDescent="0.3">
      <c r="A235" s="4" t="s">
        <v>153</v>
      </c>
      <c r="B235" s="6">
        <v>13285550.5</v>
      </c>
      <c r="C235" s="6">
        <f>IF(8613337354.21&lt;&gt;0, (B235/8613337354.21)*100, 0)</f>
        <v>0.15424393534878014</v>
      </c>
      <c r="D235" s="6">
        <v>726900</v>
      </c>
      <c r="E235" s="6">
        <f>IF(841131444.28&lt;&gt;0, (D235/841131444.28)*100, 0)</f>
        <v>8.6419311148475619E-2</v>
      </c>
    </row>
    <row r="236" spans="1:5" x14ac:dyDescent="0.3">
      <c r="A236" s="4" t="s">
        <v>154</v>
      </c>
      <c r="B236" s="6">
        <v>507000</v>
      </c>
      <c r="C236" s="6">
        <f>IF(8613337354.21&lt;&gt;0, (B236/8613337354.21)*100, 0)</f>
        <v>5.8862201624111489E-3</v>
      </c>
      <c r="D236" s="6">
        <v>50000</v>
      </c>
      <c r="E236" s="6">
        <f>IF(841131444.28&lt;&gt;0, (D236/841131444.28)*100, 0)</f>
        <v>5.9443741332009638E-3</v>
      </c>
    </row>
    <row r="237" spans="1:5" x14ac:dyDescent="0.3">
      <c r="A237" s="4" t="s">
        <v>155</v>
      </c>
      <c r="B237" s="6">
        <v>31715.49</v>
      </c>
      <c r="C237" s="6">
        <f>IF(8613337354.21&lt;&gt;0, (B237/8613337354.21)*100, 0)</f>
        <v>3.6821372129930809E-4</v>
      </c>
      <c r="D237" s="6">
        <v>0</v>
      </c>
      <c r="E237" s="6">
        <f>IF(841131444.28&lt;&gt;0, (D237/841131444.28)*100, 0)</f>
        <v>0</v>
      </c>
    </row>
    <row r="238" spans="1:5" x14ac:dyDescent="0.3">
      <c r="A238" s="4" t="s">
        <v>156</v>
      </c>
      <c r="B238" s="6">
        <v>1558500</v>
      </c>
      <c r="C238" s="6">
        <f>IF(8613337354.21&lt;&gt;0, (B238/8613337354.21)*100, 0)</f>
        <v>1.8094031801021256E-2</v>
      </c>
      <c r="D238" s="6">
        <v>43000</v>
      </c>
      <c r="E238" s="6">
        <f>IF(841131444.28&lt;&gt;0, (D238/841131444.28)*100, 0)</f>
        <v>5.1121617545528296E-3</v>
      </c>
    </row>
    <row r="239" spans="1:5" x14ac:dyDescent="0.3">
      <c r="A239" s="4" t="s">
        <v>157</v>
      </c>
      <c r="B239" s="6">
        <v>3001960</v>
      </c>
      <c r="C239" s="6">
        <f>IF(8613337354.21&lt;&gt;0, (B239/8613337354.21)*100, 0)</f>
        <v>3.4852460510358528E-2</v>
      </c>
      <c r="D239" s="6">
        <v>113500</v>
      </c>
      <c r="E239" s="6">
        <f>IF(841131444.28&lt;&gt;0, (D239/841131444.28)*100, 0)</f>
        <v>1.3493729282366189E-2</v>
      </c>
    </row>
    <row r="240" spans="1:5" x14ac:dyDescent="0.3">
      <c r="A240" s="4" t="s">
        <v>158</v>
      </c>
      <c r="B240" s="6">
        <v>0</v>
      </c>
      <c r="C240" s="6">
        <f>IF(8613337354.21&lt;&gt;0, (B240/8613337354.21)*100, 0)</f>
        <v>0</v>
      </c>
      <c r="D240" s="6">
        <v>0</v>
      </c>
      <c r="E240" s="6">
        <f>IF(841131444.28&lt;&gt;0, (D240/841131444.28)*100, 0)</f>
        <v>0</v>
      </c>
    </row>
    <row r="241" spans="1:5" x14ac:dyDescent="0.3">
      <c r="A241" s="4" t="s">
        <v>159</v>
      </c>
      <c r="B241" s="6">
        <v>51500</v>
      </c>
      <c r="C241" s="6">
        <f>IF(8613337354.21&lt;&gt;0, (B241/8613337354.21)*100, 0)</f>
        <v>5.9790993760192143E-4</v>
      </c>
      <c r="D241" s="6">
        <v>0</v>
      </c>
      <c r="E241" s="6">
        <f>IF(841131444.28&lt;&gt;0, (D241/841131444.28)*100, 0)</f>
        <v>0</v>
      </c>
    </row>
    <row r="242" spans="1:5" x14ac:dyDescent="0.3">
      <c r="A242" s="4" t="s">
        <v>160</v>
      </c>
      <c r="B242" s="6">
        <v>3665860</v>
      </c>
      <c r="C242" s="6">
        <f>IF(8613337354.21&lt;&gt;0, (B242/8613337354.21)*100, 0)</f>
        <v>4.2560274249657859E-2</v>
      </c>
      <c r="D242" s="6">
        <v>9500</v>
      </c>
      <c r="E242" s="6">
        <f>IF(841131444.28&lt;&gt;0, (D242/841131444.28)*100, 0)</f>
        <v>1.1294310853081832E-3</v>
      </c>
    </row>
    <row r="243" spans="1:5" x14ac:dyDescent="0.3">
      <c r="A243" s="4" t="s">
        <v>161</v>
      </c>
      <c r="B243" s="6">
        <v>3250440</v>
      </c>
      <c r="C243" s="6">
        <f>IF(8613337354.21&lt;&gt;0, (B243/8613337354.21)*100, 0)</f>
        <v>3.773728888502504E-2</v>
      </c>
      <c r="D243" s="6">
        <v>204300</v>
      </c>
      <c r="E243" s="6">
        <f>IF(841131444.28&lt;&gt;0, (D243/841131444.28)*100, 0)</f>
        <v>2.4288712708259139E-2</v>
      </c>
    </row>
    <row r="244" spans="1:5" x14ac:dyDescent="0.3">
      <c r="A244" s="4" t="s">
        <v>162</v>
      </c>
      <c r="B244" s="6">
        <v>63700</v>
      </c>
      <c r="C244" s="6">
        <f>IF(8613337354.21&lt;&gt;0, (B244/8613337354.21)*100, 0)</f>
        <v>7.3955073835422125E-4</v>
      </c>
      <c r="D244" s="6">
        <v>8400</v>
      </c>
      <c r="E244" s="6">
        <f>IF(841131444.28&lt;&gt;0, (D244/841131444.28)*100, 0)</f>
        <v>9.9865485437776198E-4</v>
      </c>
    </row>
    <row r="245" spans="1:5" x14ac:dyDescent="0.3">
      <c r="A245" s="4" t="s">
        <v>163</v>
      </c>
      <c r="B245" s="6">
        <v>88004973</v>
      </c>
      <c r="C245" s="6">
        <f>IF(8613337354.21&lt;&gt;0, (B245/8613337354.21)*100, 0)</f>
        <v>1.0217290857298793</v>
      </c>
      <c r="D245" s="6">
        <v>1448840</v>
      </c>
      <c r="E245" s="6">
        <f>IF(841131444.28&lt;&gt;0, (D245/841131444.28)*100, 0)</f>
        <v>0.1722489403829377</v>
      </c>
    </row>
    <row r="246" spans="1:5" x14ac:dyDescent="0.3">
      <c r="A246" s="4" t="s">
        <v>164</v>
      </c>
      <c r="B246" s="6">
        <v>6502022.8399999999</v>
      </c>
      <c r="C246" s="6">
        <f>IF(8613337354.21&lt;&gt;0, (B246/8613337354.21)*100, 0)</f>
        <v>7.5487846030110051E-2</v>
      </c>
      <c r="D246" s="6">
        <v>438134</v>
      </c>
      <c r="E246" s="6">
        <f>IF(841131444.28&lt;&gt;0, (D246/841131444.28)*100, 0)</f>
        <v>5.2088648329517429E-2</v>
      </c>
    </row>
    <row r="247" spans="1:5" x14ac:dyDescent="0.3">
      <c r="A247" s="4" t="s">
        <v>165</v>
      </c>
      <c r="B247" s="6">
        <v>176500</v>
      </c>
      <c r="C247" s="6">
        <f>IF(8613337354.21&lt;&gt;0, (B247/8613337354.21)*100, 0)</f>
        <v>2.0491476502279443E-3</v>
      </c>
      <c r="D247" s="6">
        <v>0</v>
      </c>
      <c r="E247" s="6">
        <f>IF(841131444.28&lt;&gt;0, (D247/841131444.28)*100, 0)</f>
        <v>0</v>
      </c>
    </row>
    <row r="248" spans="1:5" x14ac:dyDescent="0.3">
      <c r="A248" s="4" t="s">
        <v>166</v>
      </c>
      <c r="B248" s="6">
        <v>17052916.890000001</v>
      </c>
      <c r="C248" s="6">
        <f>IF(8613337354.21&lt;&gt;0, (B248/8613337354.21)*100, 0)</f>
        <v>0.1979826888083622</v>
      </c>
      <c r="D248" s="6">
        <v>50000</v>
      </c>
      <c r="E248" s="6">
        <f>IF(841131444.28&lt;&gt;0, (D248/841131444.28)*100, 0)</f>
        <v>5.9443741332009638E-3</v>
      </c>
    </row>
    <row r="249" spans="1:5" x14ac:dyDescent="0.3">
      <c r="A249" s="4" t="s">
        <v>167</v>
      </c>
      <c r="B249" s="6">
        <v>0</v>
      </c>
      <c r="C249" s="6">
        <f>IF(8613337354.21&lt;&gt;0, (B249/8613337354.21)*100, 0)</f>
        <v>0</v>
      </c>
      <c r="D249" s="6">
        <v>0</v>
      </c>
      <c r="E249" s="6">
        <f>IF(841131444.28&lt;&gt;0, (D249/841131444.28)*100, 0)</f>
        <v>0</v>
      </c>
    </row>
    <row r="250" spans="1:5" x14ac:dyDescent="0.3">
      <c r="A250" s="4" t="s">
        <v>168</v>
      </c>
      <c r="B250" s="6">
        <v>975000</v>
      </c>
      <c r="C250" s="6">
        <f>IF(8613337354.21&lt;&gt;0, (B250/8613337354.21)*100, 0)</f>
        <v>1.1319654158482979E-2</v>
      </c>
      <c r="D250" s="6">
        <v>0</v>
      </c>
      <c r="E250" s="6">
        <f>IF(841131444.28&lt;&gt;0, (D250/841131444.28)*100, 0)</f>
        <v>0</v>
      </c>
    </row>
    <row r="251" spans="1:5" x14ac:dyDescent="0.3">
      <c r="A251" s="4" t="s">
        <v>169</v>
      </c>
      <c r="B251" s="6">
        <v>28598356.690000001</v>
      </c>
      <c r="C251" s="6">
        <f>IF(8613337354.21&lt;&gt;0, (B251/8613337354.21)*100, 0)</f>
        <v>0.3320241099812698</v>
      </c>
      <c r="D251" s="6">
        <v>2478750</v>
      </c>
      <c r="E251" s="6">
        <f>IF(841131444.28&lt;&gt;0, (D251/841131444.28)*100, 0)</f>
        <v>0.29469234765343783</v>
      </c>
    </row>
    <row r="252" spans="1:5" x14ac:dyDescent="0.3">
      <c r="A252" s="4" t="s">
        <v>170</v>
      </c>
      <c r="B252" s="6">
        <v>16137431.390000001</v>
      </c>
      <c r="C252" s="6">
        <f>IF(8613337354.21&lt;&gt;0, (B252/8613337354.21)*100, 0)</f>
        <v>0.18735399214466386</v>
      </c>
      <c r="D252" s="6">
        <v>984000</v>
      </c>
      <c r="E252" s="6">
        <f>IF(841131444.28&lt;&gt;0, (D252/841131444.28)*100, 0)</f>
        <v>0.11698528294139497</v>
      </c>
    </row>
    <row r="253" spans="1:5" x14ac:dyDescent="0.3">
      <c r="A253" s="4" t="s">
        <v>171</v>
      </c>
      <c r="B253" s="6">
        <v>7967700</v>
      </c>
      <c r="C253" s="6">
        <f>IF(8613337354.21&lt;&gt;0, (B253/8613337354.21)*100, 0)</f>
        <v>9.2504213783122916E-2</v>
      </c>
      <c r="D253" s="6">
        <v>362500</v>
      </c>
      <c r="E253" s="6">
        <f>IF(841131444.28&lt;&gt;0, (D253/841131444.28)*100, 0)</f>
        <v>4.3096712465706989E-2</v>
      </c>
    </row>
    <row r="254" spans="1:5" x14ac:dyDescent="0.3">
      <c r="A254" s="4" t="s">
        <v>172</v>
      </c>
      <c r="B254" s="6">
        <v>1848750</v>
      </c>
      <c r="C254" s="6">
        <f>IF(8613337354.21&lt;&gt;0, (B254/8613337354.21)*100, 0)</f>
        <v>2.1463805769738879E-2</v>
      </c>
      <c r="D254" s="6">
        <v>90100</v>
      </c>
      <c r="E254" s="6">
        <f>IF(841131444.28&lt;&gt;0, (D254/841131444.28)*100, 0)</f>
        <v>1.0711762188028138E-2</v>
      </c>
    </row>
    <row r="255" spans="1:5" x14ac:dyDescent="0.3">
      <c r="A255" s="4" t="s">
        <v>173</v>
      </c>
      <c r="B255" s="6">
        <v>119208262.93000001</v>
      </c>
      <c r="C255" s="6">
        <f>IF(8613337354.21&lt;&gt;0, (B255/8613337354.21)*100, 0)</f>
        <v>1.383996214565238</v>
      </c>
      <c r="D255" s="6">
        <v>6191046</v>
      </c>
      <c r="E255" s="6">
        <f>IF(841131444.28&lt;&gt;0, (D255/841131444.28)*100, 0)</f>
        <v>0.73603787399714593</v>
      </c>
    </row>
    <row r="256" spans="1:5" x14ac:dyDescent="0.3">
      <c r="A256" s="4" t="s">
        <v>174</v>
      </c>
      <c r="B256" s="6">
        <v>4290840</v>
      </c>
      <c r="C256" s="6">
        <f>IF(8613337354.21&lt;&gt;0, (B256/8613337354.21)*100, 0)</f>
        <v>4.9816230614753952E-2</v>
      </c>
      <c r="D256" s="6">
        <v>0</v>
      </c>
      <c r="E256" s="6">
        <f>IF(841131444.28&lt;&gt;0, (D256/841131444.28)*100, 0)</f>
        <v>0</v>
      </c>
    </row>
    <row r="257" spans="1:5" x14ac:dyDescent="0.3">
      <c r="A257" s="4" t="s">
        <v>175</v>
      </c>
      <c r="B257" s="6">
        <v>16038265</v>
      </c>
      <c r="C257" s="6">
        <f>IF(8613337354.21&lt;&gt;0, (B257/8613337354.21)*100, 0)</f>
        <v>0.18620268010472002</v>
      </c>
      <c r="D257" s="6">
        <v>1700000</v>
      </c>
      <c r="E257" s="6">
        <f>IF(841131444.28&lt;&gt;0, (D257/841131444.28)*100, 0)</f>
        <v>0.2021087205288328</v>
      </c>
    </row>
    <row r="258" spans="1:5" x14ac:dyDescent="0.3">
      <c r="A258" s="4" t="s">
        <v>176</v>
      </c>
      <c r="B258" s="6">
        <v>1412204.74</v>
      </c>
      <c r="C258" s="6">
        <f>IF(8613337354.21&lt;&gt;0, (B258/8613337354.21)*100, 0)</f>
        <v>1.6395558213097822E-2</v>
      </c>
      <c r="D258" s="6">
        <v>0</v>
      </c>
      <c r="E258" s="6">
        <f>IF(841131444.28&lt;&gt;0, (D258/841131444.28)*100, 0)</f>
        <v>0</v>
      </c>
    </row>
    <row r="259" spans="1:5" x14ac:dyDescent="0.3">
      <c r="A259" s="4" t="s">
        <v>177</v>
      </c>
      <c r="B259" s="6">
        <v>534730.43000000005</v>
      </c>
      <c r="C259" s="6">
        <f>IF(8613337354.21&lt;&gt;0, (B259/8613337354.21)*100, 0)</f>
        <v>6.2081677288378379E-3</v>
      </c>
      <c r="D259" s="6">
        <v>0</v>
      </c>
      <c r="E259" s="6">
        <f>IF(841131444.28&lt;&gt;0, (D259/841131444.28)*100, 0)</f>
        <v>0</v>
      </c>
    </row>
    <row r="260" spans="1:5" x14ac:dyDescent="0.3">
      <c r="A260" s="4" t="s">
        <v>178</v>
      </c>
      <c r="B260" s="6">
        <v>0</v>
      </c>
      <c r="C260" s="6">
        <f>IF(8613337354.21&lt;&gt;0, (B260/8613337354.21)*100, 0)</f>
        <v>0</v>
      </c>
      <c r="D260" s="6">
        <v>0</v>
      </c>
      <c r="E260" s="6">
        <f>IF(841131444.28&lt;&gt;0, (D260/841131444.28)*100, 0)</f>
        <v>0</v>
      </c>
    </row>
    <row r="261" spans="1:5" x14ac:dyDescent="0.3">
      <c r="A261" s="4" t="s">
        <v>179</v>
      </c>
      <c r="B261" s="6">
        <v>500000</v>
      </c>
      <c r="C261" s="6">
        <f>IF(8613337354.21&lt;&gt;0, (B261/8613337354.21)*100, 0)</f>
        <v>5.8049508505040913E-3</v>
      </c>
      <c r="D261" s="6">
        <v>0</v>
      </c>
      <c r="E261" s="6">
        <f>IF(841131444.28&lt;&gt;0, (D261/841131444.28)*100, 0)</f>
        <v>0</v>
      </c>
    </row>
    <row r="262" spans="1:5" x14ac:dyDescent="0.3">
      <c r="A262" s="4" t="s">
        <v>180</v>
      </c>
      <c r="B262" s="6">
        <v>1143500</v>
      </c>
      <c r="C262" s="6">
        <f>IF(8613337354.21&lt;&gt;0, (B262/8613337354.21)*100, 0)</f>
        <v>1.3275922595102858E-2</v>
      </c>
      <c r="D262" s="6">
        <v>64500</v>
      </c>
      <c r="E262" s="6">
        <f>IF(841131444.28&lt;&gt;0, (D262/841131444.28)*100, 0)</f>
        <v>7.6682426318292448E-3</v>
      </c>
    </row>
    <row r="263" spans="1:5" x14ac:dyDescent="0.3">
      <c r="A263" s="4" t="s">
        <v>181</v>
      </c>
      <c r="B263" s="6">
        <v>952300</v>
      </c>
      <c r="C263" s="6">
        <f>IF(8613337354.21&lt;&gt;0, (B263/8613337354.21)*100, 0)</f>
        <v>1.1056109389870094E-2</v>
      </c>
      <c r="D263" s="6">
        <v>0</v>
      </c>
      <c r="E263" s="6">
        <f>IF(841131444.28&lt;&gt;0, (D263/841131444.28)*100, 0)</f>
        <v>0</v>
      </c>
    </row>
    <row r="264" spans="1:5" x14ac:dyDescent="0.3">
      <c r="A264" s="4" t="s">
        <v>182</v>
      </c>
      <c r="B264" s="6">
        <v>48791524.880000003</v>
      </c>
      <c r="C264" s="6">
        <f>IF(8613337354.21&lt;&gt;0, (B264/8613337354.21)*100, 0)</f>
        <v>0.56646480769909513</v>
      </c>
      <c r="D264" s="6">
        <v>1392325.08</v>
      </c>
      <c r="E264" s="6">
        <f>IF(841131444.28&lt;&gt;0, (D264/841131444.28)*100, 0)</f>
        <v>0.16553002381117929</v>
      </c>
    </row>
    <row r="265" spans="1:5" x14ac:dyDescent="0.3">
      <c r="A265" s="4" t="s">
        <v>183</v>
      </c>
      <c r="B265" s="6">
        <v>40000</v>
      </c>
      <c r="C265" s="6">
        <f>IF(8613337354.21&lt;&gt;0, (B265/8613337354.21)*100, 0)</f>
        <v>4.6439606804032739E-4</v>
      </c>
      <c r="D265" s="6">
        <v>0</v>
      </c>
      <c r="E265" s="6">
        <f>IF(841131444.28&lt;&gt;0, (D265/841131444.28)*100, 0)</f>
        <v>0</v>
      </c>
    </row>
    <row r="266" spans="1:5" x14ac:dyDescent="0.3">
      <c r="A266" s="4" t="s">
        <v>184</v>
      </c>
      <c r="B266" s="6">
        <v>566550</v>
      </c>
      <c r="C266" s="6">
        <f>IF(8613337354.21&lt;&gt;0, (B266/8613337354.21)*100, 0)</f>
        <v>6.5775898087061871E-3</v>
      </c>
      <c r="D266" s="6">
        <v>30000</v>
      </c>
      <c r="E266" s="6">
        <f>IF(841131444.28&lt;&gt;0, (D266/841131444.28)*100, 0)</f>
        <v>3.566624479920579E-3</v>
      </c>
    </row>
    <row r="267" spans="1:5" x14ac:dyDescent="0.3">
      <c r="A267" s="4" t="s">
        <v>185</v>
      </c>
      <c r="B267" s="6">
        <v>1693780</v>
      </c>
      <c r="C267" s="6">
        <f>IF(8613337354.21&lt;&gt;0, (B267/8613337354.21)*100, 0)</f>
        <v>1.9664619303133641E-2</v>
      </c>
      <c r="D267" s="6">
        <v>136100</v>
      </c>
      <c r="E267" s="6">
        <f>IF(841131444.28&lt;&gt;0, (D267/841131444.28)*100, 0)</f>
        <v>1.6180586390573022E-2</v>
      </c>
    </row>
    <row r="268" spans="1:5" x14ac:dyDescent="0.3">
      <c r="A268" s="4" t="s">
        <v>186</v>
      </c>
      <c r="B268" s="6">
        <v>0</v>
      </c>
      <c r="C268" s="6">
        <f>IF(8613337354.21&lt;&gt;0, (B268/8613337354.21)*100, 0)</f>
        <v>0</v>
      </c>
      <c r="D268" s="6">
        <v>0</v>
      </c>
      <c r="E268" s="6">
        <f>IF(841131444.28&lt;&gt;0, (D268/841131444.28)*100, 0)</f>
        <v>0</v>
      </c>
    </row>
    <row r="269" spans="1:5" x14ac:dyDescent="0.3">
      <c r="A269" s="4" t="s">
        <v>187</v>
      </c>
      <c r="B269" s="6">
        <v>31800</v>
      </c>
      <c r="C269" s="6">
        <f>IF(8613337354.21&lt;&gt;0, (B269/8613337354.21)*100, 0)</f>
        <v>3.6919487409206022E-4</v>
      </c>
      <c r="D269" s="6">
        <v>0</v>
      </c>
      <c r="E269" s="6">
        <f>IF(841131444.28&lt;&gt;0, (D269/841131444.28)*100, 0)</f>
        <v>0</v>
      </c>
    </row>
    <row r="270" spans="1:5" x14ac:dyDescent="0.3">
      <c r="A270" s="4" t="s">
        <v>188</v>
      </c>
      <c r="B270" s="6">
        <v>289350</v>
      </c>
      <c r="C270" s="6">
        <f>IF(8613337354.21&lt;&gt;0, (B270/8613337354.21)*100, 0)</f>
        <v>3.3593250571867178E-3</v>
      </c>
      <c r="D270" s="6">
        <v>0</v>
      </c>
      <c r="E270" s="6">
        <f>IF(841131444.28&lt;&gt;0, (D270/841131444.28)*100, 0)</f>
        <v>0</v>
      </c>
    </row>
    <row r="271" spans="1:5" x14ac:dyDescent="0.3">
      <c r="A271" s="4" t="s">
        <v>189</v>
      </c>
      <c r="B271" s="6">
        <v>9273080</v>
      </c>
      <c r="C271" s="6">
        <f>IF(8613337354.21&lt;&gt;0, (B271/8613337354.21)*100, 0)</f>
        <v>0.10765954726558497</v>
      </c>
      <c r="D271" s="6">
        <v>1622700</v>
      </c>
      <c r="E271" s="6">
        <f>IF(841131444.28&lt;&gt;0, (D271/841131444.28)*100, 0)</f>
        <v>0.1929187181189041</v>
      </c>
    </row>
    <row r="272" spans="1:5" x14ac:dyDescent="0.3">
      <c r="A272" s="4" t="s">
        <v>190</v>
      </c>
      <c r="B272" s="6">
        <v>318700</v>
      </c>
      <c r="C272" s="6">
        <f>IF(8613337354.21&lt;&gt;0, (B272/8613337354.21)*100, 0)</f>
        <v>3.7000756721113082E-3</v>
      </c>
      <c r="D272" s="6">
        <v>0</v>
      </c>
      <c r="E272" s="6">
        <f>IF(841131444.28&lt;&gt;0, (D272/841131444.28)*100, 0)</f>
        <v>0</v>
      </c>
    </row>
    <row r="273" spans="1:5" x14ac:dyDescent="0.3">
      <c r="A273" s="4" t="s">
        <v>191</v>
      </c>
      <c r="B273" s="6">
        <v>0</v>
      </c>
      <c r="C273" s="6">
        <f>IF(8613337354.21&lt;&gt;0, (B273/8613337354.21)*100, 0)</f>
        <v>0</v>
      </c>
      <c r="D273" s="6">
        <v>0</v>
      </c>
      <c r="E273" s="6">
        <f>IF(841131444.28&lt;&gt;0, (D273/841131444.28)*100, 0)</f>
        <v>0</v>
      </c>
    </row>
    <row r="274" spans="1:5" x14ac:dyDescent="0.3">
      <c r="A274" s="4" t="s">
        <v>192</v>
      </c>
      <c r="B274" s="6">
        <v>432000</v>
      </c>
      <c r="C274" s="6">
        <f>IF(8613337354.21&lt;&gt;0, (B274/8613337354.21)*100, 0)</f>
        <v>5.0154775348355352E-3</v>
      </c>
      <c r="D274" s="6">
        <v>0</v>
      </c>
      <c r="E274" s="6">
        <f>IF(841131444.28&lt;&gt;0, (D274/841131444.28)*100, 0)</f>
        <v>0</v>
      </c>
    </row>
    <row r="275" spans="1:5" x14ac:dyDescent="0.3">
      <c r="A275" s="4" t="s">
        <v>193</v>
      </c>
      <c r="B275" s="6">
        <v>0</v>
      </c>
      <c r="C275" s="6">
        <f>IF(8613337354.21&lt;&gt;0, (B275/8613337354.21)*100, 0)</f>
        <v>0</v>
      </c>
      <c r="D275" s="6">
        <v>0</v>
      </c>
      <c r="E275" s="6">
        <f>IF(841131444.28&lt;&gt;0, (D275/841131444.28)*100, 0)</f>
        <v>0</v>
      </c>
    </row>
    <row r="276" spans="1:5" x14ac:dyDescent="0.3">
      <c r="A276" s="4" t="s">
        <v>194</v>
      </c>
      <c r="B276" s="6">
        <v>7706650</v>
      </c>
      <c r="C276" s="6">
        <f>IF(8613337354.21&lt;&gt;0, (B276/8613337354.21)*100, 0)</f>
        <v>8.9473448944074732E-2</v>
      </c>
      <c r="D276" s="6">
        <v>763000</v>
      </c>
      <c r="E276" s="6">
        <f>IF(841131444.28&lt;&gt;0, (D276/841131444.28)*100, 0)</f>
        <v>9.0711149272646716E-2</v>
      </c>
    </row>
    <row r="277" spans="1:5" x14ac:dyDescent="0.3">
      <c r="A277" s="4" t="s">
        <v>195</v>
      </c>
      <c r="B277" s="6">
        <v>906800</v>
      </c>
      <c r="C277" s="6">
        <f>IF(8613337354.21&lt;&gt;0, (B277/8613337354.21)*100, 0)</f>
        <v>1.0527858862474222E-2</v>
      </c>
      <c r="D277" s="6">
        <v>0</v>
      </c>
      <c r="E277" s="6">
        <f>IF(841131444.28&lt;&gt;0, (D277/841131444.28)*100, 0)</f>
        <v>0</v>
      </c>
    </row>
    <row r="278" spans="1:5" x14ac:dyDescent="0.3">
      <c r="A278" s="4" t="s">
        <v>196</v>
      </c>
      <c r="B278" s="6">
        <v>17450959.940000001</v>
      </c>
      <c r="C278" s="6">
        <f>IF(8613337354.21&lt;&gt;0, (B278/8613337354.21)*100, 0)</f>
        <v>0.2026039294916317</v>
      </c>
      <c r="D278" s="6">
        <v>763438</v>
      </c>
      <c r="E278" s="6">
        <f>IF(841131444.28&lt;&gt;0, (D278/841131444.28)*100, 0)</f>
        <v>9.0763221990053544E-2</v>
      </c>
    </row>
    <row r="279" spans="1:5" x14ac:dyDescent="0.3">
      <c r="A279" s="4" t="s">
        <v>197</v>
      </c>
      <c r="B279" s="6">
        <v>1724050</v>
      </c>
      <c r="C279" s="6">
        <f>IF(8613337354.21&lt;&gt;0, (B279/8613337354.21)*100, 0)</f>
        <v>2.0016051027623161E-2</v>
      </c>
      <c r="D279" s="6">
        <v>193600</v>
      </c>
      <c r="E279" s="6">
        <f>IF(841131444.28&lt;&gt;0, (D279/841131444.28)*100, 0)</f>
        <v>2.3016616643754133E-2</v>
      </c>
    </row>
    <row r="280" spans="1:5" x14ac:dyDescent="0.3">
      <c r="A280" s="4" t="s">
        <v>198</v>
      </c>
      <c r="B280" s="6">
        <v>0</v>
      </c>
      <c r="C280" s="6">
        <f>IF(8613337354.21&lt;&gt;0, (B280/8613337354.21)*100, 0)</f>
        <v>0</v>
      </c>
      <c r="D280" s="6">
        <v>0</v>
      </c>
      <c r="E280" s="6">
        <f>IF(841131444.28&lt;&gt;0, (D280/841131444.28)*100, 0)</f>
        <v>0</v>
      </c>
    </row>
    <row r="281" spans="1:5" x14ac:dyDescent="0.3">
      <c r="A281" s="4" t="s">
        <v>199</v>
      </c>
      <c r="B281" s="6">
        <v>183500</v>
      </c>
      <c r="C281" s="6">
        <f>IF(8613337354.21&lt;&gt;0, (B281/8613337354.21)*100, 0)</f>
        <v>2.1304169621350019E-3</v>
      </c>
      <c r="D281" s="6">
        <v>0</v>
      </c>
      <c r="E281" s="6">
        <f>IF(841131444.28&lt;&gt;0, (D281/841131444.28)*100, 0)</f>
        <v>0</v>
      </c>
    </row>
    <row r="282" spans="1:5" x14ac:dyDescent="0.3">
      <c r="A282" s="4" t="s">
        <v>200</v>
      </c>
      <c r="B282" s="6">
        <v>0</v>
      </c>
      <c r="C282" s="6">
        <f>IF(8613337354.21&lt;&gt;0, (B282/8613337354.21)*100, 0)</f>
        <v>0</v>
      </c>
      <c r="D282" s="6">
        <v>0</v>
      </c>
      <c r="E282" s="6">
        <f>IF(841131444.28&lt;&gt;0, (D282/841131444.28)*100, 0)</f>
        <v>0</v>
      </c>
    </row>
    <row r="283" spans="1:5" x14ac:dyDescent="0.3">
      <c r="A283" s="4" t="s">
        <v>201</v>
      </c>
      <c r="B283" s="6">
        <v>52000</v>
      </c>
      <c r="C283" s="6">
        <f>IF(8613337354.21&lt;&gt;0, (B283/8613337354.21)*100, 0)</f>
        <v>6.0371488845242555E-4</v>
      </c>
      <c r="D283" s="6">
        <v>0</v>
      </c>
      <c r="E283" s="6">
        <f>IF(841131444.28&lt;&gt;0, (D283/841131444.28)*100, 0)</f>
        <v>0</v>
      </c>
    </row>
    <row r="284" spans="1:5" x14ac:dyDescent="0.3">
      <c r="A284" s="4" t="s">
        <v>202</v>
      </c>
      <c r="B284" s="6">
        <v>1237727.7</v>
      </c>
      <c r="C284" s="6">
        <f>IF(8613337354.21&lt;&gt;0, (B284/8613337354.21)*100, 0)</f>
        <v>1.4369896929614948E-2</v>
      </c>
      <c r="D284" s="6">
        <v>0</v>
      </c>
      <c r="E284" s="6">
        <f>IF(841131444.28&lt;&gt;0, (D284/841131444.28)*100, 0)</f>
        <v>0</v>
      </c>
    </row>
    <row r="285" spans="1:5" x14ac:dyDescent="0.3">
      <c r="A285" s="4" t="s">
        <v>203</v>
      </c>
      <c r="B285" s="6">
        <v>23611901.789999999</v>
      </c>
      <c r="C285" s="6">
        <f>IF(8613337354.21&lt;&gt;0, (B285/8613337354.21)*100, 0)</f>
        <v>0.27413185875575918</v>
      </c>
      <c r="D285" s="6">
        <v>0</v>
      </c>
      <c r="E285" s="6">
        <f>IF(841131444.28&lt;&gt;0, (D285/841131444.28)*100, 0)</f>
        <v>0</v>
      </c>
    </row>
    <row r="286" spans="1:5" x14ac:dyDescent="0.3">
      <c r="A286" s="4" t="s">
        <v>204</v>
      </c>
      <c r="B286" s="6">
        <v>47928875.520000003</v>
      </c>
      <c r="C286" s="6">
        <f>IF(8613337354.21&lt;&gt;0, (B286/8613337354.21)*100, 0)</f>
        <v>0.55644953342705761</v>
      </c>
      <c r="D286" s="6">
        <v>0</v>
      </c>
      <c r="E286" s="6">
        <f>IF(841131444.28&lt;&gt;0, (D286/841131444.28)*100, 0)</f>
        <v>0</v>
      </c>
    </row>
    <row r="287" spans="1:5" x14ac:dyDescent="0.3">
      <c r="A287" s="4" t="s">
        <v>205</v>
      </c>
      <c r="B287" s="6">
        <v>1659990</v>
      </c>
      <c r="C287" s="6">
        <f>IF(8613337354.21&lt;&gt;0, (B287/8613337354.21)*100, 0)</f>
        <v>1.9272320724656577E-2</v>
      </c>
      <c r="D287" s="6">
        <v>0</v>
      </c>
      <c r="E287" s="6">
        <f>IF(841131444.28&lt;&gt;0, (D287/841131444.28)*100, 0)</f>
        <v>0</v>
      </c>
    </row>
    <row r="288" spans="1:5" customFormat="1" ht="14.5" x14ac:dyDescent="0.35">
      <c r="A288" s="7"/>
      <c r="B288" s="9"/>
      <c r="C288" s="8"/>
      <c r="D288" s="9"/>
      <c r="E288" s="8"/>
    </row>
    <row r="289" spans="1:5" x14ac:dyDescent="0.3">
      <c r="A289" s="4" t="s">
        <v>206</v>
      </c>
      <c r="B289" s="6">
        <f>ROUND(SUBTOTAL(9, B199:B288), 5)</f>
        <v>610139734.20000005</v>
      </c>
      <c r="C289" s="6">
        <f>ROUND(SUBTOTAL(9, C199:C288), 5)</f>
        <v>7.0836600000000001</v>
      </c>
      <c r="D289" s="6">
        <f>ROUND(SUBTOTAL(9, D199:D288), 5)</f>
        <v>23019845.859999999</v>
      </c>
      <c r="E289" s="6">
        <f>ROUND(SUBTOTAL(9, E199:E288), 5)</f>
        <v>2.7367699999999999</v>
      </c>
    </row>
    <row r="290" spans="1:5" customFormat="1" ht="14.5" x14ac:dyDescent="0.35">
      <c r="A290" s="7"/>
      <c r="B290" s="9"/>
      <c r="C290" s="8"/>
      <c r="D290" s="9"/>
      <c r="E290" s="8"/>
    </row>
    <row r="291" spans="1:5" ht="13.5" thickBot="1" x14ac:dyDescent="0.35">
      <c r="A291" s="4" t="s">
        <v>207</v>
      </c>
      <c r="B291" s="5">
        <f>-(ROUND(-B197+B289, 5))</f>
        <v>864521020.60000002</v>
      </c>
      <c r="C291" s="6">
        <f>-(ROUND(-C197+C289, 5))</f>
        <v>10.03701</v>
      </c>
      <c r="D291" s="5">
        <f>-(ROUND(-D197+D289, 5))</f>
        <v>94038821.730000004</v>
      </c>
      <c r="E291" s="6">
        <f>-(ROUND(-E197+E289, 5))</f>
        <v>11.18004</v>
      </c>
    </row>
    <row r="292" spans="1:5" customFormat="1" ht="15.5" thickTop="1" thickBot="1" x14ac:dyDescent="0.4">
      <c r="A292" s="10"/>
      <c r="B292" s="11"/>
      <c r="C292" s="12"/>
      <c r="D292" s="11"/>
      <c r="E292" s="12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Income Statement
For the Twelve Months Ending December 31,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Stmnt</vt:lpstr>
      <vt:lpstr>'Income Stmnt'!Print_Titles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2026-07-05T17:39:55Z</dcterms:created>
  <dcterms:modified xsi:type="dcterms:W3CDTF">2026-07-05T17:40:42Z</dcterms:modified>
</cp:coreProperties>
</file>