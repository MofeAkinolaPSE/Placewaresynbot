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50EAB8F1-F01C-4795-8264-D4C50C9C3C73}" xr6:coauthVersionLast="47" xr6:coauthVersionMax="47" xr10:uidLastSave="{00000000-0000-0000-0000-000000000000}"/>
  <bookViews>
    <workbookView xWindow="-110" yWindow="-110" windowWidth="19420" windowHeight="10300" xr2:uid="{C1FDC9D4-C071-49FC-A205-6220AFA4C082}"/>
  </bookViews>
  <sheets>
    <sheet name="Balance Sheet" sheetId="1" r:id="rId1"/>
  </sheets>
  <definedNames>
    <definedName name="_xlnm.Print_Titles" localSheetId="0">'Balance Sheet'!$1:$1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1" l="1"/>
  <c r="C100" i="1"/>
  <c r="C93" i="1"/>
  <c r="C91" i="1"/>
  <c r="C87" i="1"/>
  <c r="C72" i="1"/>
  <c r="C70" i="1"/>
  <c r="C66" i="1"/>
  <c r="C52" i="1"/>
</calcChain>
</file>

<file path=xl/sharedStrings.xml><?xml version="1.0" encoding="utf-8"?>
<sst xmlns="http://schemas.openxmlformats.org/spreadsheetml/2006/main" count="166" uniqueCount="84">
  <si>
    <t>ASSETS</t>
  </si>
  <si>
    <t/>
  </si>
  <si>
    <t>Current Assets</t>
  </si>
  <si>
    <t>Petty Cash</t>
  </si>
  <si>
    <t>Cash on Hand</t>
  </si>
  <si>
    <t>Zenith Bank-account 2</t>
  </si>
  <si>
    <t>Fidelity Bank</t>
  </si>
  <si>
    <t>Fixed Deposit Account(Fidelity</t>
  </si>
  <si>
    <t>Fixed Deposit Account</t>
  </si>
  <si>
    <t>Accounts Receivable</t>
  </si>
  <si>
    <t>Hepatitis B Vaccines</t>
  </si>
  <si>
    <t>Hepatitis A Vaccine</t>
  </si>
  <si>
    <t>Cervarix Vaccines</t>
  </si>
  <si>
    <t>Gardasil 4</t>
  </si>
  <si>
    <t>Tyhoid Fever Vaccine</t>
  </si>
  <si>
    <t>Measles,Mumps &amp; Rubella Vac</t>
  </si>
  <si>
    <t>Meningitis Vaccine</t>
  </si>
  <si>
    <t>Rotavirus</t>
  </si>
  <si>
    <t>Synflorix</t>
  </si>
  <si>
    <t>Prevenar 13</t>
  </si>
  <si>
    <t>Pentaxim</t>
  </si>
  <si>
    <t>Actrapid 100 i.u</t>
  </si>
  <si>
    <t>Mixtard 30 HM 100 i.u</t>
  </si>
  <si>
    <t>Stamaril 1 Vial</t>
  </si>
  <si>
    <t>Novomix 30 Flexpen 100u</t>
  </si>
  <si>
    <t>Polprotec Vaccines</t>
  </si>
  <si>
    <t>Chicken Pox Vaccine(zolon)</t>
  </si>
  <si>
    <t>Tetanus Toxoid</t>
  </si>
  <si>
    <t>Anti Rabis</t>
  </si>
  <si>
    <t>Sanofi Insulin</t>
  </si>
  <si>
    <t>Clexane</t>
  </si>
  <si>
    <t>Flu Vaccines</t>
  </si>
  <si>
    <t>Tresiba</t>
  </si>
  <si>
    <t>Adacel Polio Tdap/Ipv</t>
  </si>
  <si>
    <t>Hexaxim</t>
  </si>
  <si>
    <t>Tavanic</t>
  </si>
  <si>
    <t>Nucard 160mg</t>
  </si>
  <si>
    <t>Nucard 80mg</t>
  </si>
  <si>
    <t>VARIRID</t>
  </si>
  <si>
    <t>NOVOFINE NEEDLE 32G</t>
  </si>
  <si>
    <t>Tetanus dipthteria multiple</t>
  </si>
  <si>
    <t>FUSIBACT OINTMENT</t>
  </si>
  <si>
    <t>Euvichol - S</t>
  </si>
  <si>
    <t>Loan Receivable (Staff)</t>
  </si>
  <si>
    <t>Loan receivable (Others)</t>
  </si>
  <si>
    <t>Sundary Debtors</t>
  </si>
  <si>
    <t>Octapharm C/A</t>
  </si>
  <si>
    <t>Vaccines Place Current accoun</t>
  </si>
  <si>
    <t>Mr Akinola Idowu current acct</t>
  </si>
  <si>
    <t>Total Current Assets</t>
  </si>
  <si>
    <t>Property and Equipment</t>
  </si>
  <si>
    <t>Furnitures and Fixtures</t>
  </si>
  <si>
    <t>Plant &amp; Machinery</t>
  </si>
  <si>
    <t>Office Equipment</t>
  </si>
  <si>
    <t>Motor Vehicle</t>
  </si>
  <si>
    <t>Land &amp; Building</t>
  </si>
  <si>
    <t>Investment</t>
  </si>
  <si>
    <t>Accum. Deprec - Furnitur &amp; Fix</t>
  </si>
  <si>
    <t>Accum. Deprec - Office Equipme</t>
  </si>
  <si>
    <t>Accum. Deprec - M/V</t>
  </si>
  <si>
    <t>Accum. Deprec - P &amp; M</t>
  </si>
  <si>
    <t>Total Property and Equipment</t>
  </si>
  <si>
    <t>Other Assets</t>
  </si>
  <si>
    <t>Total Other Assets</t>
  </si>
  <si>
    <t>Total Assets</t>
  </si>
  <si>
    <t>LIABILITIES AND CAPITAL</t>
  </si>
  <si>
    <t>Current Liabilities</t>
  </si>
  <si>
    <t>Accounts Payable</t>
  </si>
  <si>
    <t>Accrued Expenses</t>
  </si>
  <si>
    <t>Withholding Tax Payable</t>
  </si>
  <si>
    <t>Short Term Loan</t>
  </si>
  <si>
    <t>Creditor</t>
  </si>
  <si>
    <t>Sundary Creditor</t>
  </si>
  <si>
    <t>Suspense Account</t>
  </si>
  <si>
    <t>Total Current Liabilities</t>
  </si>
  <si>
    <t>Long-Term Liabilities</t>
  </si>
  <si>
    <t>Total Long-Term Liabilities</t>
  </si>
  <si>
    <t>Total Liabilities</t>
  </si>
  <si>
    <t>Capital</t>
  </si>
  <si>
    <t>Beginning Balance Equity</t>
  </si>
  <si>
    <t>Retained Earnings</t>
  </si>
  <si>
    <t>Net Income</t>
  </si>
  <si>
    <t>Total Capital</t>
  </si>
  <si>
    <t>Total Liabilities &amp;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</si>
</sst>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732B-7AD1-4BEF-BDF1-519196EE78BA}">
  <dimension ref="A1:C103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3" width="14.6328125" style="1" customWidth="1"/>
    <col min="4" max="16384" width="8.7265625" style="1"/>
  </cols>
  <sheetData>
    <row r="1" spans="1:3" x14ac:dyDescent="0.3">
      <c r="A1" s="2"/>
      <c r="B1" s="2"/>
      <c r="C1" s="2"/>
    </row>
    <row r="2" spans="1:3" x14ac:dyDescent="0.3">
      <c r="A2" s="3" t="s">
        <v>0</v>
      </c>
    </row>
    <row r="3" spans="1:3" x14ac:dyDescent="0.3">
      <c r="A3" s="3" t="s">
        <v>1</v>
      </c>
    </row>
    <row r="4" spans="1:3" x14ac:dyDescent="0.3">
      <c r="A4" s="4" t="s">
        <v>2</v>
      </c>
    </row>
    <row r="5" spans="1:3" x14ac:dyDescent="0.3">
      <c r="A5" s="4" t="s">
        <v>3</v>
      </c>
      <c r="B5" s="5">
        <v>97015</v>
      </c>
      <c r="C5" s="4" t="s">
        <v>1</v>
      </c>
    </row>
    <row r="6" spans="1:3" x14ac:dyDescent="0.3">
      <c r="A6" s="4" t="s">
        <v>4</v>
      </c>
      <c r="B6" s="6">
        <v>1523532</v>
      </c>
      <c r="C6" s="4" t="s">
        <v>1</v>
      </c>
    </row>
    <row r="7" spans="1:3" x14ac:dyDescent="0.3">
      <c r="A7" s="4" t="s">
        <v>5</v>
      </c>
      <c r="B7" s="6">
        <v>27246804.210000001</v>
      </c>
      <c r="C7" s="4" t="s">
        <v>1</v>
      </c>
    </row>
    <row r="8" spans="1:3" x14ac:dyDescent="0.3">
      <c r="A8" s="4" t="s">
        <v>6</v>
      </c>
      <c r="B8" s="6">
        <v>288234047.06</v>
      </c>
      <c r="C8" s="4" t="s">
        <v>1</v>
      </c>
    </row>
    <row r="9" spans="1:3" x14ac:dyDescent="0.3">
      <c r="A9" s="4" t="s">
        <v>7</v>
      </c>
      <c r="B9" s="6">
        <v>14500000</v>
      </c>
      <c r="C9" s="4" t="s">
        <v>1</v>
      </c>
    </row>
    <row r="10" spans="1:3" x14ac:dyDescent="0.3">
      <c r="A10" s="4" t="s">
        <v>8</v>
      </c>
      <c r="B10" s="6">
        <v>5000000</v>
      </c>
      <c r="C10" s="4" t="s">
        <v>1</v>
      </c>
    </row>
    <row r="11" spans="1:3" x14ac:dyDescent="0.3">
      <c r="A11" s="4" t="s">
        <v>9</v>
      </c>
      <c r="B11" s="6">
        <v>559967748.30999994</v>
      </c>
      <c r="C11" s="4" t="s">
        <v>1</v>
      </c>
    </row>
    <row r="12" spans="1:3" x14ac:dyDescent="0.3">
      <c r="A12" s="4" t="s">
        <v>10</v>
      </c>
      <c r="B12" s="6">
        <v>10950897.310000001</v>
      </c>
      <c r="C12" s="4" t="s">
        <v>1</v>
      </c>
    </row>
    <row r="13" spans="1:3" x14ac:dyDescent="0.3">
      <c r="A13" s="4" t="s">
        <v>11</v>
      </c>
      <c r="B13" s="6">
        <v>22102058.91</v>
      </c>
      <c r="C13" s="4" t="s">
        <v>1</v>
      </c>
    </row>
    <row r="14" spans="1:3" x14ac:dyDescent="0.3">
      <c r="A14" s="4" t="s">
        <v>12</v>
      </c>
      <c r="B14" s="6">
        <v>1786312.04</v>
      </c>
      <c r="C14" s="4" t="s">
        <v>1</v>
      </c>
    </row>
    <row r="15" spans="1:3" x14ac:dyDescent="0.3">
      <c r="A15" s="4" t="s">
        <v>13</v>
      </c>
      <c r="B15" s="6">
        <v>-1000000</v>
      </c>
      <c r="C15" s="4" t="s">
        <v>1</v>
      </c>
    </row>
    <row r="16" spans="1:3" x14ac:dyDescent="0.3">
      <c r="A16" s="4" t="s">
        <v>14</v>
      </c>
      <c r="B16" s="6">
        <v>31302986</v>
      </c>
      <c r="C16" s="4" t="s">
        <v>1</v>
      </c>
    </row>
    <row r="17" spans="1:3" x14ac:dyDescent="0.3">
      <c r="A17" s="4" t="s">
        <v>15</v>
      </c>
      <c r="B17" s="6">
        <v>-20167194</v>
      </c>
      <c r="C17" s="4" t="s">
        <v>1</v>
      </c>
    </row>
    <row r="18" spans="1:3" x14ac:dyDescent="0.3">
      <c r="A18" s="4" t="s">
        <v>16</v>
      </c>
      <c r="B18" s="6">
        <v>20807500</v>
      </c>
      <c r="C18" s="4" t="s">
        <v>1</v>
      </c>
    </row>
    <row r="19" spans="1:3" x14ac:dyDescent="0.3">
      <c r="A19" s="4" t="s">
        <v>17</v>
      </c>
      <c r="B19" s="6">
        <v>1361178</v>
      </c>
      <c r="C19" s="4" t="s">
        <v>1</v>
      </c>
    </row>
    <row r="20" spans="1:3" x14ac:dyDescent="0.3">
      <c r="A20" s="4" t="s">
        <v>18</v>
      </c>
      <c r="B20" s="6">
        <v>-7000</v>
      </c>
      <c r="C20" s="4" t="s">
        <v>1</v>
      </c>
    </row>
    <row r="21" spans="1:3" x14ac:dyDescent="0.3">
      <c r="A21" s="4" t="s">
        <v>19</v>
      </c>
      <c r="B21" s="6">
        <v>4935870.4400000004</v>
      </c>
      <c r="C21" s="4" t="s">
        <v>1</v>
      </c>
    </row>
    <row r="22" spans="1:3" x14ac:dyDescent="0.3">
      <c r="A22" s="4" t="s">
        <v>20</v>
      </c>
      <c r="B22" s="6">
        <v>2351498.92</v>
      </c>
      <c r="C22" s="4" t="s">
        <v>1</v>
      </c>
    </row>
    <row r="23" spans="1:3" x14ac:dyDescent="0.3">
      <c r="A23" s="4" t="s">
        <v>21</v>
      </c>
      <c r="B23" s="6">
        <v>2575494</v>
      </c>
      <c r="C23" s="4" t="s">
        <v>1</v>
      </c>
    </row>
    <row r="24" spans="1:3" x14ac:dyDescent="0.3">
      <c r="A24" s="4" t="s">
        <v>22</v>
      </c>
      <c r="B24" s="6">
        <v>2944266.09</v>
      </c>
      <c r="C24" s="4" t="s">
        <v>1</v>
      </c>
    </row>
    <row r="25" spans="1:3" x14ac:dyDescent="0.3">
      <c r="A25" s="4" t="s">
        <v>23</v>
      </c>
      <c r="B25" s="6">
        <v>642413</v>
      </c>
      <c r="C25" s="4" t="s">
        <v>1</v>
      </c>
    </row>
    <row r="26" spans="1:3" x14ac:dyDescent="0.3">
      <c r="A26" s="4" t="s">
        <v>24</v>
      </c>
      <c r="B26" s="6">
        <v>1192434.94</v>
      </c>
      <c r="C26" s="4" t="s">
        <v>1</v>
      </c>
    </row>
    <row r="27" spans="1:3" x14ac:dyDescent="0.3">
      <c r="A27" s="4" t="s">
        <v>25</v>
      </c>
      <c r="B27" s="6">
        <v>2500</v>
      </c>
      <c r="C27" s="4" t="s">
        <v>1</v>
      </c>
    </row>
    <row r="28" spans="1:3" x14ac:dyDescent="0.3">
      <c r="A28" s="4" t="s">
        <v>26</v>
      </c>
      <c r="B28" s="6">
        <v>6419910</v>
      </c>
      <c r="C28" s="4" t="s">
        <v>1</v>
      </c>
    </row>
    <row r="29" spans="1:3" x14ac:dyDescent="0.3">
      <c r="A29" s="4" t="s">
        <v>27</v>
      </c>
      <c r="B29" s="6">
        <v>276000</v>
      </c>
      <c r="C29" s="4" t="s">
        <v>1</v>
      </c>
    </row>
    <row r="30" spans="1:3" x14ac:dyDescent="0.3">
      <c r="A30" s="4" t="s">
        <v>28</v>
      </c>
      <c r="B30" s="6">
        <v>385250</v>
      </c>
      <c r="C30" s="4" t="s">
        <v>1</v>
      </c>
    </row>
    <row r="31" spans="1:3" x14ac:dyDescent="0.3">
      <c r="A31" s="4" t="s">
        <v>29</v>
      </c>
      <c r="B31" s="6">
        <v>7056000</v>
      </c>
      <c r="C31" s="4" t="s">
        <v>1</v>
      </c>
    </row>
    <row r="32" spans="1:3" x14ac:dyDescent="0.3">
      <c r="A32" s="4" t="s">
        <v>30</v>
      </c>
      <c r="B32" s="6">
        <v>6046040</v>
      </c>
      <c r="C32" s="4" t="s">
        <v>1</v>
      </c>
    </row>
    <row r="33" spans="1:3" x14ac:dyDescent="0.3">
      <c r="A33" s="4" t="s">
        <v>31</v>
      </c>
      <c r="B33" s="6">
        <v>7073943</v>
      </c>
      <c r="C33" s="4" t="s">
        <v>1</v>
      </c>
    </row>
    <row r="34" spans="1:3" x14ac:dyDescent="0.3">
      <c r="A34" s="4" t="s">
        <v>32</v>
      </c>
      <c r="B34" s="6">
        <v>813740</v>
      </c>
      <c r="C34" s="4" t="s">
        <v>1</v>
      </c>
    </row>
    <row r="35" spans="1:3" x14ac:dyDescent="0.3">
      <c r="A35" s="4" t="s">
        <v>33</v>
      </c>
      <c r="B35" s="6">
        <v>3719070</v>
      </c>
      <c r="C35" s="4" t="s">
        <v>1</v>
      </c>
    </row>
    <row r="36" spans="1:3" x14ac:dyDescent="0.3">
      <c r="A36" s="4" t="s">
        <v>34</v>
      </c>
      <c r="B36" s="6">
        <v>-31246406.920000002</v>
      </c>
      <c r="C36" s="4" t="s">
        <v>1</v>
      </c>
    </row>
    <row r="37" spans="1:3" x14ac:dyDescent="0.3">
      <c r="A37" s="4" t="s">
        <v>35</v>
      </c>
      <c r="B37" s="6">
        <v>4107030</v>
      </c>
      <c r="C37" s="4" t="s">
        <v>1</v>
      </c>
    </row>
    <row r="38" spans="1:3" x14ac:dyDescent="0.3">
      <c r="A38" s="4" t="s">
        <v>36</v>
      </c>
      <c r="B38" s="6">
        <v>211360</v>
      </c>
      <c r="C38" s="4" t="s">
        <v>1</v>
      </c>
    </row>
    <row r="39" spans="1:3" x14ac:dyDescent="0.3">
      <c r="A39" s="4" t="s">
        <v>37</v>
      </c>
      <c r="B39" s="6">
        <v>790985.58</v>
      </c>
      <c r="C39" s="4" t="s">
        <v>1</v>
      </c>
    </row>
    <row r="40" spans="1:3" x14ac:dyDescent="0.3">
      <c r="A40" s="4" t="s">
        <v>38</v>
      </c>
      <c r="B40" s="6">
        <v>6254800.3799999999</v>
      </c>
      <c r="C40" s="4" t="s">
        <v>1</v>
      </c>
    </row>
    <row r="41" spans="1:3" x14ac:dyDescent="0.3">
      <c r="A41" s="4" t="s">
        <v>39</v>
      </c>
      <c r="B41" s="6">
        <v>1329599.92</v>
      </c>
      <c r="C41" s="4" t="s">
        <v>1</v>
      </c>
    </row>
    <row r="42" spans="1:3" x14ac:dyDescent="0.3">
      <c r="A42" s="4" t="s">
        <v>40</v>
      </c>
      <c r="B42" s="6">
        <v>-422500</v>
      </c>
      <c r="C42" s="4" t="s">
        <v>1</v>
      </c>
    </row>
    <row r="43" spans="1:3" x14ac:dyDescent="0.3">
      <c r="A43" s="4" t="s">
        <v>41</v>
      </c>
      <c r="B43" s="6">
        <v>533500</v>
      </c>
      <c r="C43" s="4" t="s">
        <v>1</v>
      </c>
    </row>
    <row r="44" spans="1:3" x14ac:dyDescent="0.3">
      <c r="A44" s="4" t="s">
        <v>42</v>
      </c>
      <c r="B44" s="6">
        <v>5740088.3799999999</v>
      </c>
      <c r="C44" s="4" t="s">
        <v>1</v>
      </c>
    </row>
    <row r="45" spans="1:3" x14ac:dyDescent="0.3">
      <c r="A45" s="4" t="s">
        <v>43</v>
      </c>
      <c r="B45" s="6">
        <v>5895633.3300000001</v>
      </c>
      <c r="C45" s="4" t="s">
        <v>1</v>
      </c>
    </row>
    <row r="46" spans="1:3" x14ac:dyDescent="0.3">
      <c r="A46" s="4" t="s">
        <v>44</v>
      </c>
      <c r="B46" s="6">
        <v>30912946.879999999</v>
      </c>
      <c r="C46" s="4" t="s">
        <v>1</v>
      </c>
    </row>
    <row r="47" spans="1:3" x14ac:dyDescent="0.3">
      <c r="A47" s="4" t="s">
        <v>45</v>
      </c>
      <c r="B47" s="6">
        <v>42864046.170000002</v>
      </c>
      <c r="C47" s="4" t="s">
        <v>1</v>
      </c>
    </row>
    <row r="48" spans="1:3" x14ac:dyDescent="0.3">
      <c r="A48" s="4" t="s">
        <v>46</v>
      </c>
      <c r="B48" s="6">
        <v>105664026.26000001</v>
      </c>
      <c r="C48" s="4" t="s">
        <v>1</v>
      </c>
    </row>
    <row r="49" spans="1:3" x14ac:dyDescent="0.3">
      <c r="A49" s="4" t="s">
        <v>47</v>
      </c>
      <c r="B49" s="6">
        <v>35041659.359999999</v>
      </c>
      <c r="C49" s="4" t="s">
        <v>1</v>
      </c>
    </row>
    <row r="50" spans="1:3" x14ac:dyDescent="0.3">
      <c r="A50" s="4" t="s">
        <v>48</v>
      </c>
      <c r="B50" s="6">
        <v>68444558.170000002</v>
      </c>
      <c r="C50" s="4" t="s">
        <v>1</v>
      </c>
    </row>
    <row r="51" spans="1:3" customFormat="1" ht="14.5" x14ac:dyDescent="0.35">
      <c r="A51" s="7"/>
      <c r="B51" s="8"/>
      <c r="C51" s="9"/>
    </row>
    <row r="52" spans="1:3" x14ac:dyDescent="0.3">
      <c r="A52" s="4" t="s">
        <v>49</v>
      </c>
      <c r="B52" s="4" t="s">
        <v>1</v>
      </c>
      <c r="C52" s="6">
        <f>ROUND(SUBTOTAL(9, B2:B51), 5)</f>
        <v>1286261642.74</v>
      </c>
    </row>
    <row r="53" spans="1:3" x14ac:dyDescent="0.3">
      <c r="A53" s="3" t="s">
        <v>1</v>
      </c>
    </row>
    <row r="54" spans="1:3" x14ac:dyDescent="0.3">
      <c r="A54" s="4" t="s">
        <v>50</v>
      </c>
    </row>
    <row r="55" spans="1:3" x14ac:dyDescent="0.3">
      <c r="A55" s="4" t="s">
        <v>51</v>
      </c>
      <c r="B55" s="6">
        <v>2500050</v>
      </c>
      <c r="C55" s="4" t="s">
        <v>1</v>
      </c>
    </row>
    <row r="56" spans="1:3" x14ac:dyDescent="0.3">
      <c r="A56" s="4" t="s">
        <v>52</v>
      </c>
      <c r="B56" s="6">
        <v>1660000</v>
      </c>
      <c r="C56" s="4" t="s">
        <v>1</v>
      </c>
    </row>
    <row r="57" spans="1:3" x14ac:dyDescent="0.3">
      <c r="A57" s="4" t="s">
        <v>53</v>
      </c>
      <c r="B57" s="6">
        <v>65443275.899999999</v>
      </c>
      <c r="C57" s="4" t="s">
        <v>1</v>
      </c>
    </row>
    <row r="58" spans="1:3" x14ac:dyDescent="0.3">
      <c r="A58" s="4" t="s">
        <v>54</v>
      </c>
      <c r="B58" s="6">
        <v>102064271</v>
      </c>
      <c r="C58" s="4" t="s">
        <v>1</v>
      </c>
    </row>
    <row r="59" spans="1:3" x14ac:dyDescent="0.3">
      <c r="A59" s="4" t="s">
        <v>55</v>
      </c>
      <c r="B59" s="6">
        <v>140022487.5</v>
      </c>
      <c r="C59" s="4" t="s">
        <v>1</v>
      </c>
    </row>
    <row r="60" spans="1:3" x14ac:dyDescent="0.3">
      <c r="A60" s="4" t="s">
        <v>56</v>
      </c>
      <c r="B60" s="6">
        <v>216006948.25</v>
      </c>
      <c r="C60" s="4" t="s">
        <v>1</v>
      </c>
    </row>
    <row r="61" spans="1:3" x14ac:dyDescent="0.3">
      <c r="A61" s="4" t="s">
        <v>57</v>
      </c>
      <c r="B61" s="6">
        <v>-1993865.8</v>
      </c>
      <c r="C61" s="4" t="s">
        <v>1</v>
      </c>
    </row>
    <row r="62" spans="1:3" x14ac:dyDescent="0.3">
      <c r="A62" s="4" t="s">
        <v>58</v>
      </c>
      <c r="B62" s="6">
        <v>-29296611.949999999</v>
      </c>
      <c r="C62" s="4" t="s">
        <v>1</v>
      </c>
    </row>
    <row r="63" spans="1:3" x14ac:dyDescent="0.3">
      <c r="A63" s="4" t="s">
        <v>59</v>
      </c>
      <c r="B63" s="6">
        <v>-52346423.630000003</v>
      </c>
      <c r="C63" s="4" t="s">
        <v>1</v>
      </c>
    </row>
    <row r="64" spans="1:3" x14ac:dyDescent="0.3">
      <c r="A64" s="4" t="s">
        <v>60</v>
      </c>
      <c r="B64" s="6">
        <v>-1659990</v>
      </c>
      <c r="C64" s="4" t="s">
        <v>1</v>
      </c>
    </row>
    <row r="65" spans="1:3" customFormat="1" ht="14.5" x14ac:dyDescent="0.35">
      <c r="A65" s="7"/>
      <c r="B65" s="8"/>
      <c r="C65" s="9"/>
    </row>
    <row r="66" spans="1:3" x14ac:dyDescent="0.3">
      <c r="A66" s="4" t="s">
        <v>61</v>
      </c>
      <c r="B66" s="4" t="s">
        <v>1</v>
      </c>
      <c r="C66" s="6">
        <f>ROUND(SUBTOTAL(9, B53:B65), 5)</f>
        <v>442400141.26999998</v>
      </c>
    </row>
    <row r="67" spans="1:3" x14ac:dyDescent="0.3">
      <c r="A67" s="3" t="s">
        <v>1</v>
      </c>
    </row>
    <row r="68" spans="1:3" x14ac:dyDescent="0.3">
      <c r="A68" s="4" t="s">
        <v>62</v>
      </c>
    </row>
    <row r="69" spans="1:3" customFormat="1" ht="14.5" x14ac:dyDescent="0.35">
      <c r="A69" s="7"/>
      <c r="B69" s="8"/>
      <c r="C69" s="9"/>
    </row>
    <row r="70" spans="1:3" x14ac:dyDescent="0.3">
      <c r="A70" s="4" t="s">
        <v>63</v>
      </c>
      <c r="B70" s="4" t="s">
        <v>1</v>
      </c>
      <c r="C70" s="6">
        <f>ROUND(SUBTOTAL(9, C67:C69), 5)</f>
        <v>0</v>
      </c>
    </row>
    <row r="71" spans="1:3" customFormat="1" ht="14.5" x14ac:dyDescent="0.35">
      <c r="A71" s="7"/>
      <c r="B71" s="7"/>
      <c r="C71" s="10"/>
    </row>
    <row r="72" spans="1:3" ht="13.5" thickBot="1" x14ac:dyDescent="0.35">
      <c r="A72" s="4" t="s">
        <v>64</v>
      </c>
      <c r="B72" s="4" t="s">
        <v>1</v>
      </c>
      <c r="C72" s="5">
        <f>ROUND(C52+C66+C70, 5)</f>
        <v>1728661784.01</v>
      </c>
    </row>
    <row r="73" spans="1:3" customFormat="1" ht="15" thickTop="1" x14ac:dyDescent="0.35">
      <c r="A73" s="7"/>
      <c r="B73" s="7"/>
      <c r="C73" s="11"/>
    </row>
    <row r="74" spans="1:3" x14ac:dyDescent="0.3">
      <c r="A74" s="3" t="s">
        <v>1</v>
      </c>
    </row>
    <row r="75" spans="1:3" x14ac:dyDescent="0.3">
      <c r="A75" s="3" t="s">
        <v>1</v>
      </c>
    </row>
    <row r="76" spans="1:3" x14ac:dyDescent="0.3">
      <c r="A76" s="3" t="s">
        <v>65</v>
      </c>
    </row>
    <row r="77" spans="1:3" x14ac:dyDescent="0.3">
      <c r="A77" s="3" t="s">
        <v>1</v>
      </c>
    </row>
    <row r="78" spans="1:3" x14ac:dyDescent="0.3">
      <c r="A78" s="4" t="s">
        <v>66</v>
      </c>
    </row>
    <row r="79" spans="1:3" x14ac:dyDescent="0.3">
      <c r="A79" s="4" t="s">
        <v>67</v>
      </c>
      <c r="B79" s="5">
        <v>589853418.49000001</v>
      </c>
      <c r="C79" s="4" t="s">
        <v>1</v>
      </c>
    </row>
    <row r="80" spans="1:3" x14ac:dyDescent="0.3">
      <c r="A80" s="4" t="s">
        <v>68</v>
      </c>
      <c r="B80" s="6">
        <v>445000</v>
      </c>
      <c r="C80" s="4" t="s">
        <v>1</v>
      </c>
    </row>
    <row r="81" spans="1:3" x14ac:dyDescent="0.3">
      <c r="A81" s="4" t="s">
        <v>69</v>
      </c>
      <c r="B81" s="6">
        <v>1337302.8400000001</v>
      </c>
      <c r="C81" s="4" t="s">
        <v>1</v>
      </c>
    </row>
    <row r="82" spans="1:3" x14ac:dyDescent="0.3">
      <c r="A82" s="4" t="s">
        <v>70</v>
      </c>
      <c r="B82" s="6">
        <v>39700209.689999998</v>
      </c>
      <c r="C82" s="4" t="s">
        <v>1</v>
      </c>
    </row>
    <row r="83" spans="1:3" x14ac:dyDescent="0.3">
      <c r="A83" s="4" t="s">
        <v>71</v>
      </c>
      <c r="B83" s="6">
        <v>7001350</v>
      </c>
      <c r="C83" s="4" t="s">
        <v>1</v>
      </c>
    </row>
    <row r="84" spans="1:3" x14ac:dyDescent="0.3">
      <c r="A84" s="4" t="s">
        <v>72</v>
      </c>
      <c r="B84" s="6">
        <v>36430698.359999999</v>
      </c>
      <c r="C84" s="4" t="s">
        <v>1</v>
      </c>
    </row>
    <row r="85" spans="1:3" x14ac:dyDescent="0.3">
      <c r="A85" s="4" t="s">
        <v>73</v>
      </c>
      <c r="B85" s="6">
        <v>555434.73</v>
      </c>
      <c r="C85" s="4" t="s">
        <v>1</v>
      </c>
    </row>
    <row r="86" spans="1:3" customFormat="1" ht="14.5" x14ac:dyDescent="0.35">
      <c r="A86" s="7"/>
      <c r="B86" s="8"/>
      <c r="C86" s="9"/>
    </row>
    <row r="87" spans="1:3" x14ac:dyDescent="0.3">
      <c r="A87" s="4" t="s">
        <v>74</v>
      </c>
      <c r="B87" s="4" t="s">
        <v>1</v>
      </c>
      <c r="C87" s="6">
        <f>ROUND(SUBTOTAL(9, B74:B86), 5)</f>
        <v>675323414.11000001</v>
      </c>
    </row>
    <row r="88" spans="1:3" x14ac:dyDescent="0.3">
      <c r="A88" s="3" t="s">
        <v>1</v>
      </c>
    </row>
    <row r="89" spans="1:3" x14ac:dyDescent="0.3">
      <c r="A89" s="4" t="s">
        <v>75</v>
      </c>
    </row>
    <row r="90" spans="1:3" customFormat="1" ht="14.5" x14ac:dyDescent="0.35">
      <c r="A90" s="7"/>
      <c r="B90" s="8"/>
      <c r="C90" s="9"/>
    </row>
    <row r="91" spans="1:3" x14ac:dyDescent="0.3">
      <c r="A91" s="4" t="s">
        <v>76</v>
      </c>
      <c r="B91" s="4" t="s">
        <v>1</v>
      </c>
      <c r="C91" s="6">
        <f>ROUND(SUBTOTAL(9, C88:C90), 5)</f>
        <v>0</v>
      </c>
    </row>
    <row r="92" spans="1:3" customFormat="1" ht="14.5" x14ac:dyDescent="0.35">
      <c r="A92" s="7"/>
      <c r="B92" s="7"/>
      <c r="C92" s="10"/>
    </row>
    <row r="93" spans="1:3" x14ac:dyDescent="0.3">
      <c r="A93" s="4" t="s">
        <v>77</v>
      </c>
      <c r="B93" s="4" t="s">
        <v>1</v>
      </c>
      <c r="C93" s="6">
        <f>-(ROUND(-C87+-C91, 5))</f>
        <v>675323414.11000001</v>
      </c>
    </row>
    <row r="94" spans="1:3" x14ac:dyDescent="0.3">
      <c r="A94" s="3" t="s">
        <v>1</v>
      </c>
    </row>
    <row r="95" spans="1:3" x14ac:dyDescent="0.3">
      <c r="A95" s="4" t="s">
        <v>78</v>
      </c>
    </row>
    <row r="96" spans="1:3" x14ac:dyDescent="0.3">
      <c r="A96" s="4" t="s">
        <v>79</v>
      </c>
      <c r="B96" s="6">
        <v>-24177817.949999999</v>
      </c>
      <c r="C96" s="4" t="s">
        <v>1</v>
      </c>
    </row>
    <row r="97" spans="1:3" x14ac:dyDescent="0.3">
      <c r="A97" s="4" t="s">
        <v>80</v>
      </c>
      <c r="B97" s="6">
        <v>983477366.12</v>
      </c>
      <c r="C97" s="4" t="s">
        <v>1</v>
      </c>
    </row>
    <row r="98" spans="1:3" x14ac:dyDescent="0.3">
      <c r="A98" s="4" t="s">
        <v>81</v>
      </c>
      <c r="B98" s="6">
        <v>94038821.730000004</v>
      </c>
      <c r="C98" s="4" t="s">
        <v>1</v>
      </c>
    </row>
    <row r="99" spans="1:3" customFormat="1" ht="14.5" x14ac:dyDescent="0.35">
      <c r="A99" s="7"/>
      <c r="B99" s="8"/>
      <c r="C99" s="9"/>
    </row>
    <row r="100" spans="1:3" x14ac:dyDescent="0.3">
      <c r="A100" s="4" t="s">
        <v>82</v>
      </c>
      <c r="B100" s="4" t="s">
        <v>1</v>
      </c>
      <c r="C100" s="6">
        <f>ROUND(SUBTOTAL(9, B94:B99), 5)</f>
        <v>1053338369.9</v>
      </c>
    </row>
    <row r="101" spans="1:3" customFormat="1" ht="14.5" x14ac:dyDescent="0.35">
      <c r="A101" s="7"/>
      <c r="B101" s="7"/>
      <c r="C101" s="10"/>
    </row>
    <row r="102" spans="1:3" ht="13.5" thickBot="1" x14ac:dyDescent="0.35">
      <c r="A102" s="4" t="s">
        <v>83</v>
      </c>
      <c r="B102" s="4" t="s">
        <v>1</v>
      </c>
      <c r="C102" s="5">
        <f>-(ROUND(-C93+-C100, 5))</f>
        <v>1728661784.01</v>
      </c>
    </row>
    <row r="103" spans="1:3" customFormat="1" ht="15.5" thickTop="1" thickBot="1" x14ac:dyDescent="0.4">
      <c r="A103" s="12"/>
      <c r="B103" s="12"/>
      <c r="C103" s="13"/>
    </row>
  </sheetData>
  <pageMargins left="0.7" right="0.7" top="1.2222222222222223" bottom="0.65277777777777779" header="0.3" footer="0.3"/>
  <pageSetup orientation="landscape" r:id="rId1"/>
  <headerFooter>
    <oddHeader xml:space="preserve">&amp;C&amp;"Times New Roman"&amp;10PLACEWARE NIGERIA LIMITED
Balance Sheet
December 31, 2026
&amp;L&amp;"Times New Roman"&amp;10
</oddHeader>
    <oddFooter>&amp;L&amp;10&amp;"Times New Roman"&amp;D at &amp;T&amp;C&amp;10&amp;"Times New Roman"Unaudited - 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Balance Sheet</vt:lpstr>
      <vt:lpstr>'Balance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2026-07-05T17:39:12Z</dcterms:created>
  <dcterms:modified xsi:type="dcterms:W3CDTF">2026-07-05T17:40:31Z</dcterms:modified>
</cp:coreProperties>
</file>