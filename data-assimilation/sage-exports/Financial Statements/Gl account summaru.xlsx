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7D492A12-D70F-46F0-A1D1-9442754DEB58}" xr6:coauthVersionLast="47" xr6:coauthVersionMax="47" xr10:uidLastSave="{00000000-0000-0000-0000-000000000000}"/>
  <bookViews>
    <workbookView xWindow="-110" yWindow="-110" windowWidth="19420" windowHeight="10300" xr2:uid="{660CA227-7851-4A68-834C-FD75A4282636}"/>
  </bookViews>
  <sheets>
    <sheet name="GL Account Summary" sheetId="1" r:id="rId1"/>
  </sheets>
  <definedNames>
    <definedName name="_xlnm.Print_Titles" localSheetId="0">'GL Account Summary'!$1:$1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2" i="1" l="1"/>
  <c r="G342" i="1"/>
  <c r="F342" i="1"/>
  <c r="E342" i="1"/>
  <c r="D342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<sst xmlns="http://schemas.openxmlformats.org/spreadsheetml/2006/main" count="685" uniqueCount="553">
  <si>
    <t>Account
Number</t>
  </si>
  <si>
    <t>Account
Description</t>
  </si>
  <si>
    <t>Beginnin
g
Balance</t>
  </si>
  <si>
    <t>Debit
Change</t>
  </si>
  <si>
    <t>Credit
Change</t>
  </si>
  <si>
    <t>Net
Change</t>
  </si>
  <si>
    <t>Ending
Balance</t>
  </si>
  <si>
    <t/>
  </si>
  <si>
    <t>10000</t>
  </si>
  <si>
    <t>Petty Cash</t>
  </si>
  <si>
    <t>10100</t>
  </si>
  <si>
    <t>Cash on Hand</t>
  </si>
  <si>
    <t>10150</t>
  </si>
  <si>
    <t>Cheq In Hand</t>
  </si>
  <si>
    <t>10170</t>
  </si>
  <si>
    <t>Diamond Bank</t>
  </si>
  <si>
    <t>10180</t>
  </si>
  <si>
    <t>Zenith Bank Plc Account I</t>
  </si>
  <si>
    <t>10200</t>
  </si>
  <si>
    <t>Zenith Bank-account 2</t>
  </si>
  <si>
    <t>10240</t>
  </si>
  <si>
    <t>Skye Bank</t>
  </si>
  <si>
    <t>10260</t>
  </si>
  <si>
    <t>Guaranty Trust Bank</t>
  </si>
  <si>
    <t>10270</t>
  </si>
  <si>
    <t>Gsk Bank Guarantee(Fixed)</t>
  </si>
  <si>
    <t>10280</t>
  </si>
  <si>
    <t>P h  Bank</t>
  </si>
  <si>
    <t>10290</t>
  </si>
  <si>
    <t>Fidelity Bank</t>
  </si>
  <si>
    <t>10310</t>
  </si>
  <si>
    <t>Fixed Deposit Account(Fidelity</t>
  </si>
  <si>
    <t>10320</t>
  </si>
  <si>
    <t>Fixed Deposit Account</t>
  </si>
  <si>
    <t>11000</t>
  </si>
  <si>
    <t>Accounts Receivable</t>
  </si>
  <si>
    <t>12000</t>
  </si>
  <si>
    <t>Hepatitis B Vaccines</t>
  </si>
  <si>
    <t>12100</t>
  </si>
  <si>
    <t>Hepatitis A Vaccine</t>
  </si>
  <si>
    <t>12150</t>
  </si>
  <si>
    <t>Cervarix Vaccines</t>
  </si>
  <si>
    <t>12160</t>
  </si>
  <si>
    <t>Gardasil 4</t>
  </si>
  <si>
    <t>12300</t>
  </si>
  <si>
    <t>Tyhoid Fever Vaccine</t>
  </si>
  <si>
    <t>12301</t>
  </si>
  <si>
    <t>Measles,Mumps &amp; Rubella Vac</t>
  </si>
  <si>
    <t>12302</t>
  </si>
  <si>
    <t>Chicken Pox Vaccine</t>
  </si>
  <si>
    <t>12305</t>
  </si>
  <si>
    <t>Meningitis Vaccine</t>
  </si>
  <si>
    <t>12307</t>
  </si>
  <si>
    <t>Antibiotics</t>
  </si>
  <si>
    <t>12308</t>
  </si>
  <si>
    <t>Rotavirus</t>
  </si>
  <si>
    <t>12309</t>
  </si>
  <si>
    <t>Synflorix</t>
  </si>
  <si>
    <t>12310</t>
  </si>
  <si>
    <t>Prevenar 13</t>
  </si>
  <si>
    <t>12311</t>
  </si>
  <si>
    <t>Pentaxim</t>
  </si>
  <si>
    <t>12312</t>
  </si>
  <si>
    <t>Verorab</t>
  </si>
  <si>
    <t>12315</t>
  </si>
  <si>
    <t>Insulatard 100  I.U</t>
  </si>
  <si>
    <t>12316</t>
  </si>
  <si>
    <t>Actrapid 100 i.u</t>
  </si>
  <si>
    <t>12320</t>
  </si>
  <si>
    <t>Mixtard 30 HM 100 i.u</t>
  </si>
  <si>
    <t>12321</t>
  </si>
  <si>
    <t>Stamaril 1 Vial</t>
  </si>
  <si>
    <t>12323</t>
  </si>
  <si>
    <t>Novomix 30 Flexpen 100u</t>
  </si>
  <si>
    <t>12326</t>
  </si>
  <si>
    <t>Polprotec Vaccines</t>
  </si>
  <si>
    <t>12327</t>
  </si>
  <si>
    <t>NovoTwist Needles</t>
  </si>
  <si>
    <t>12328</t>
  </si>
  <si>
    <t>Special Order</t>
  </si>
  <si>
    <t>12329</t>
  </si>
  <si>
    <t>Pentavalent</t>
  </si>
  <si>
    <t>12330</t>
  </si>
  <si>
    <t>Chicken Pox Vaccine(zolon)</t>
  </si>
  <si>
    <t>12331</t>
  </si>
  <si>
    <t>Tetanus Toxoid</t>
  </si>
  <si>
    <t>12332</t>
  </si>
  <si>
    <t>Tetraxim</t>
  </si>
  <si>
    <t>12333</t>
  </si>
  <si>
    <t>Anti Rabis</t>
  </si>
  <si>
    <t>12334</t>
  </si>
  <si>
    <t>Rhogam (Anti - D)</t>
  </si>
  <si>
    <t>12335</t>
  </si>
  <si>
    <t>Victoza</t>
  </si>
  <si>
    <t>12336</t>
  </si>
  <si>
    <t>Sanofi Insulin</t>
  </si>
  <si>
    <t>12337</t>
  </si>
  <si>
    <t>Cholera Vaccines</t>
  </si>
  <si>
    <t>12338</t>
  </si>
  <si>
    <t>Clexane</t>
  </si>
  <si>
    <t>12339</t>
  </si>
  <si>
    <t>Anti-biotics</t>
  </si>
  <si>
    <t>12340</t>
  </si>
  <si>
    <t>Yellow Fever</t>
  </si>
  <si>
    <t>12341</t>
  </si>
  <si>
    <t>Anti- Hypertensive</t>
  </si>
  <si>
    <t>12342</t>
  </si>
  <si>
    <t>Amaryl Tabs</t>
  </si>
  <si>
    <t>12343</t>
  </si>
  <si>
    <t>Apidra</t>
  </si>
  <si>
    <t>12344</t>
  </si>
  <si>
    <t>Flu Vaccines</t>
  </si>
  <si>
    <t>12345</t>
  </si>
  <si>
    <t>Tresiba</t>
  </si>
  <si>
    <t>12346</t>
  </si>
  <si>
    <t>Adacel Polio Tdap/Ipv</t>
  </si>
  <si>
    <t>12348</t>
  </si>
  <si>
    <t>Lilly(CHI) Insulin</t>
  </si>
  <si>
    <t>12349</t>
  </si>
  <si>
    <t>Actrapid Flexpen</t>
  </si>
  <si>
    <t>12350</t>
  </si>
  <si>
    <t>Taxotere</t>
  </si>
  <si>
    <t>12352</t>
  </si>
  <si>
    <t>Hexaxim</t>
  </si>
  <si>
    <t>12353</t>
  </si>
  <si>
    <t>Tavanic</t>
  </si>
  <si>
    <t>12354</t>
  </si>
  <si>
    <t>Tetglob inj 250iu</t>
  </si>
  <si>
    <t>12355</t>
  </si>
  <si>
    <t>Nucard 160mg</t>
  </si>
  <si>
    <t>12356</t>
  </si>
  <si>
    <t>Nucard 80mg</t>
  </si>
  <si>
    <t>12357</t>
  </si>
  <si>
    <t>Androgel 1.62% Pump</t>
  </si>
  <si>
    <t>12358</t>
  </si>
  <si>
    <t>AVSAR 160/10mg Tab</t>
  </si>
  <si>
    <t>12359</t>
  </si>
  <si>
    <t>RECORMON 400IU</t>
  </si>
  <si>
    <t>12360</t>
  </si>
  <si>
    <t>Thymoglobulin 25mg/5ml</t>
  </si>
  <si>
    <t>12361</t>
  </si>
  <si>
    <t>XPLENDED 10MG</t>
  </si>
  <si>
    <t>12362</t>
  </si>
  <si>
    <t>Utrogestan 100Mg Cap Oral</t>
  </si>
  <si>
    <t>12363</t>
  </si>
  <si>
    <t>VARIRID</t>
  </si>
  <si>
    <t>12364</t>
  </si>
  <si>
    <t>ACRETIN 0.025%</t>
  </si>
  <si>
    <t>12365</t>
  </si>
  <si>
    <t>ACRETIN 0.05%</t>
  </si>
  <si>
    <t>12366</t>
  </si>
  <si>
    <t>EVOFIX CAP 400MG</t>
  </si>
  <si>
    <t>12367</t>
  </si>
  <si>
    <t>EVOFIX SUSP 100MG</t>
  </si>
  <si>
    <t>12368</t>
  </si>
  <si>
    <t>UNI FRESH 30UD</t>
  </si>
  <si>
    <t>12369</t>
  </si>
  <si>
    <t>NOVOFINE NEEDLE 32G</t>
  </si>
  <si>
    <t>12370</t>
  </si>
  <si>
    <t>Tetanus dipthteria multiple</t>
  </si>
  <si>
    <t>12371</t>
  </si>
  <si>
    <t>FUSIBACT 15G</t>
  </si>
  <si>
    <t>12372</t>
  </si>
  <si>
    <t>ELICASAL OINTMENT</t>
  </si>
  <si>
    <t>12373</t>
  </si>
  <si>
    <t>LOXTRA</t>
  </si>
  <si>
    <t>12374</t>
  </si>
  <si>
    <t>OPTIFLOX OPTH</t>
  </si>
  <si>
    <t>12375</t>
  </si>
  <si>
    <t>FUSIBACT OINTMENT</t>
  </si>
  <si>
    <t>12376</t>
  </si>
  <si>
    <t>FUSIBACT CREAM 15G (A)</t>
  </si>
  <si>
    <t>12377</t>
  </si>
  <si>
    <t>Euvichol - S</t>
  </si>
  <si>
    <t>14400</t>
  </si>
  <si>
    <t>Loan Receivable (Staff)</t>
  </si>
  <si>
    <t>14500</t>
  </si>
  <si>
    <t>Loan receivable (Others)</t>
  </si>
  <si>
    <t>14800</t>
  </si>
  <si>
    <t>Sundary Debtors</t>
  </si>
  <si>
    <t>14850</t>
  </si>
  <si>
    <t>Amnisure C/A</t>
  </si>
  <si>
    <t>14860</t>
  </si>
  <si>
    <t>Octapharm C/A</t>
  </si>
  <si>
    <t>14870</t>
  </si>
  <si>
    <t>Vaccines Place Current accoun</t>
  </si>
  <si>
    <t>15000</t>
  </si>
  <si>
    <t>Furnitures and Fixtures</t>
  </si>
  <si>
    <t>15050</t>
  </si>
  <si>
    <t>Plant &amp; Machinery</t>
  </si>
  <si>
    <t>15100</t>
  </si>
  <si>
    <t>Office Equipment</t>
  </si>
  <si>
    <t>15150</t>
  </si>
  <si>
    <t>Motor Vehicle</t>
  </si>
  <si>
    <t>16900</t>
  </si>
  <si>
    <t>Land &amp; Building</t>
  </si>
  <si>
    <t>16950</t>
  </si>
  <si>
    <t>Investment</t>
  </si>
  <si>
    <t>17000</t>
  </si>
  <si>
    <t>Accum. Deprec - Furnitur &amp; Fix</t>
  </si>
  <si>
    <t>17100</t>
  </si>
  <si>
    <t>Accum. Deprec - Office Equipme</t>
  </si>
  <si>
    <t>17200</t>
  </si>
  <si>
    <t>Accum. Deprec - M/V</t>
  </si>
  <si>
    <t>17250</t>
  </si>
  <si>
    <t>Accum. Deprec - P &amp; M</t>
  </si>
  <si>
    <t>20000</t>
  </si>
  <si>
    <t>Accounts Payable</t>
  </si>
  <si>
    <t>23000</t>
  </si>
  <si>
    <t>Accrued Expenses</t>
  </si>
  <si>
    <t>23015</t>
  </si>
  <si>
    <t>Accrued Electricity &amp; Diesel</t>
  </si>
  <si>
    <t>23020</t>
  </si>
  <si>
    <t>Accrued Rent</t>
  </si>
  <si>
    <t>23025</t>
  </si>
  <si>
    <t>Accrued Pension</t>
  </si>
  <si>
    <t>23035</t>
  </si>
  <si>
    <t>Carepathway Account</t>
  </si>
  <si>
    <t>23050</t>
  </si>
  <si>
    <t>Mr Akinola Idowu current acct</t>
  </si>
  <si>
    <t>23060</t>
  </si>
  <si>
    <t>Actipharm Current Account</t>
  </si>
  <si>
    <t>23065</t>
  </si>
  <si>
    <t>Allen &amp; Hanburys Pharm ltd C/A</t>
  </si>
  <si>
    <t>23070</t>
  </si>
  <si>
    <t>Oka-Ceft Current Account</t>
  </si>
  <si>
    <t>23080</t>
  </si>
  <si>
    <t>Cooperative ( K )A/C</t>
  </si>
  <si>
    <t>23090</t>
  </si>
  <si>
    <t>Cooperative (B) A/C</t>
  </si>
  <si>
    <t>23600</t>
  </si>
  <si>
    <t>State Payroll Taxes Payable</t>
  </si>
  <si>
    <t>23700</t>
  </si>
  <si>
    <t>Withholding Tax Payable</t>
  </si>
  <si>
    <t>24230</t>
  </si>
  <si>
    <t>Short Term Loan</t>
  </si>
  <si>
    <t>24250</t>
  </si>
  <si>
    <t>Creditor</t>
  </si>
  <si>
    <t>24300</t>
  </si>
  <si>
    <t>Sundary Creditor</t>
  </si>
  <si>
    <t>24350</t>
  </si>
  <si>
    <t>Suspense Account</t>
  </si>
  <si>
    <t>24800</t>
  </si>
  <si>
    <t>Other Current Liabilities</t>
  </si>
  <si>
    <t>24850</t>
  </si>
  <si>
    <t>WTH Tax Payable</t>
  </si>
  <si>
    <t>39003</t>
  </si>
  <si>
    <t>Beginning Balance Equity</t>
  </si>
  <si>
    <t>39004</t>
  </si>
  <si>
    <t>39005</t>
  </si>
  <si>
    <t>Retained Earnings</t>
  </si>
  <si>
    <t>40000</t>
  </si>
  <si>
    <t>Hepatitis B Vaccine</t>
  </si>
  <si>
    <t>40200</t>
  </si>
  <si>
    <t>40300</t>
  </si>
  <si>
    <t>40350</t>
  </si>
  <si>
    <t>40450</t>
  </si>
  <si>
    <t>Priorix Tetra 1D</t>
  </si>
  <si>
    <t>40500</t>
  </si>
  <si>
    <t>Typhoid Fever Vaccine</t>
  </si>
  <si>
    <t>40501</t>
  </si>
  <si>
    <t>Measles,Mumps&amp;Rubella Vaccine</t>
  </si>
  <si>
    <t>40502</t>
  </si>
  <si>
    <t>40505</t>
  </si>
  <si>
    <t>40507</t>
  </si>
  <si>
    <t>40508</t>
  </si>
  <si>
    <t>40509</t>
  </si>
  <si>
    <t>40510</t>
  </si>
  <si>
    <t>40511</t>
  </si>
  <si>
    <t>40512</t>
  </si>
  <si>
    <t>40515</t>
  </si>
  <si>
    <t>40516</t>
  </si>
  <si>
    <t>40520</t>
  </si>
  <si>
    <t>40521</t>
  </si>
  <si>
    <t>Stamaril 1 vial</t>
  </si>
  <si>
    <t>40523</t>
  </si>
  <si>
    <t>Novomix 30 Flexpen</t>
  </si>
  <si>
    <t>40526</t>
  </si>
  <si>
    <t>40527</t>
  </si>
  <si>
    <t>40528</t>
  </si>
  <si>
    <t>40529</t>
  </si>
  <si>
    <t>40530</t>
  </si>
  <si>
    <t>Chicken Pox Vaccine(Zolon)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</si>
  <si>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</si>
  <si>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</si>
  <si>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</si>
  <si>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</si>
  <si>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</si>
  <si>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</si>
  <si>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</si>
  <si>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</si>
  <si>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</si>
  <si>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</si>
  <si>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</si>
  <si>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</si>
  <si>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</si>
  <si>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</si>
  <si>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</si>
  <si>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</si>
  <si>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40548</t>
  </si>
  <si>
    <t>40600</t>
  </si>
  <si>
    <t>Interest Income</t>
  </si>
  <si>
    <t>40800</t>
  </si>
  <si>
    <t>Other Income</t>
  </si>
  <si>
    <t>48000</t>
  </si>
  <si>
    <t>Sales Returns and Allowances</t>
  </si>
  <si>
    <t>49000</t>
  </si>
  <si>
    <t>Sales Discounts</t>
  </si>
  <si>
    <t>49100</t>
  </si>
  <si>
    <t>Discounts Received</t>
  </si>
  <si>
    <t>49200</t>
  </si>
  <si>
    <t>49300</t>
  </si>
  <si>
    <t>Actrapid Flexpen 100IU</t>
  </si>
  <si>
    <t>49400</t>
  </si>
  <si>
    <t>49600</t>
  </si>
  <si>
    <t>49700</t>
  </si>
  <si>
    <t>49800</t>
  </si>
  <si>
    <t>Nucard  160mg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</si>
  <si>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</si>
  <si>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</si>
  <si>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</si>
  <si>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</si>
  <si>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</si>
  <si>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</si>
  <si>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</si>
  <si>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</si>
  <si>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</si>
  <si>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</si>
  <si>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</si>
  <si>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</si>
  <si>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</si>
  <si>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</si>
  <si>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</si>
  <si>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tetanus dipthteria</t>
  </si>
  <si>
    <t>49915</t>
  </si>
  <si>
    <t>49916</t>
  </si>
  <si>
    <t>49917</t>
  </si>
  <si>
    <t>49918</t>
  </si>
  <si>
    <t>49919</t>
  </si>
  <si>
    <t>49920</t>
  </si>
  <si>
    <t>49921</t>
  </si>
  <si>
    <t>50000</t>
  </si>
  <si>
    <t>50500</t>
  </si>
  <si>
    <t>50550</t>
  </si>
  <si>
    <t>50560</t>
  </si>
  <si>
    <t>50650</t>
  </si>
  <si>
    <t>50700</t>
  </si>
  <si>
    <t>50701</t>
  </si>
  <si>
    <t>Measles.Mumps &amp; Rubella Vac</t>
  </si>
  <si>
    <t>50702</t>
  </si>
  <si>
    <t>50705</t>
  </si>
  <si>
    <t>50707</t>
  </si>
  <si>
    <t>50708</t>
  </si>
  <si>
    <t>50709</t>
  </si>
  <si>
    <t>50710</t>
  </si>
  <si>
    <t>50711</t>
  </si>
  <si>
    <t>50712</t>
  </si>
  <si>
    <t>50715</t>
  </si>
  <si>
    <t>50716</t>
  </si>
  <si>
    <t>50720</t>
  </si>
  <si>
    <t>50721</t>
  </si>
  <si>
    <t>50723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</si>
  <si>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</si>
  <si>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</si>
  <si>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</si>
  <si>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</si>
  <si>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</si>
  <si>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</si>
  <si>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</si>
  <si>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</si>
  <si>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</si>
  <si>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</si>
  <si>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</si>
  <si>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</si>
  <si>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</si>
  <si>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</si>
  <si>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</si>
  <si>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</si>
  <si>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</si>
  <si>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</si>
  <si>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</si>
  <si>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</si>
  <si>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</si>
  <si>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50748</t>
  </si>
  <si>
    <t>50749</t>
  </si>
  <si>
    <t>59600</t>
  </si>
  <si>
    <t>59700</t>
  </si>
  <si>
    <t>59800</t>
  </si>
  <si>
    <t>59901</t>
  </si>
  <si>
    <t>59902</t>
  </si>
  <si>
    <t>59903</t>
  </si>
  <si>
    <t>59904</t>
  </si>
  <si>
    <t>59905</t>
  </si>
  <si>
    <t>59906</t>
  </si>
  <si>
    <t>59907</t>
  </si>
  <si>
    <t>59908</t>
  </si>
  <si>
    <t>59909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</si>
  <si>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</si>
  <si>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</si>
  <si>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</si>
  <si>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</si>
  <si>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</si>
  <si>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</si>
  <si>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</si>
  <si>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</si>
  <si>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</si>
  <si>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</si>
  <si>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</si>
  <si>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</si>
  <si>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</si>
  <si>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</si>
  <si>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59924</t>
  </si>
  <si>
    <t>60100</t>
  </si>
  <si>
    <t>Advertising Expense</t>
  </si>
  <si>
    <t>60150</t>
  </si>
  <si>
    <t>Marketing expense-Local</t>
  </si>
  <si>
    <t>61000</t>
  </si>
  <si>
    <t>Motor Repairs/Maintainance</t>
  </si>
  <si>
    <t>61050</t>
  </si>
  <si>
    <t>Power Bike Repairs/Maintain</t>
  </si>
  <si>
    <t>61500</t>
  </si>
  <si>
    <t>Bad Debt Expense</t>
  </si>
  <si>
    <t>62000</t>
  </si>
  <si>
    <t>Bank Charges (ZIB)</t>
  </si>
  <si>
    <t>62100</t>
  </si>
  <si>
    <t>Bank Charges (Diamond)</t>
  </si>
  <si>
    <t>62200</t>
  </si>
  <si>
    <t>Bank Charges (Fidelity)</t>
  </si>
  <si>
    <t>62300</t>
  </si>
  <si>
    <t>Business Premises</t>
  </si>
  <si>
    <t>62500</t>
  </si>
  <si>
    <t>Cash Over and Short</t>
  </si>
  <si>
    <t>63500</t>
  </si>
  <si>
    <t>Commissions and Fees Exp</t>
  </si>
  <si>
    <t>64000</t>
  </si>
  <si>
    <t>Delivery Expense</t>
  </si>
  <si>
    <t>65000</t>
  </si>
  <si>
    <t>Dues and Subscriptions Exp</t>
  </si>
  <si>
    <t>65100</t>
  </si>
  <si>
    <t>Legal Fees Exp</t>
  </si>
  <si>
    <t>65300</t>
  </si>
  <si>
    <t>Discount Allowed</t>
  </si>
  <si>
    <t>65500</t>
  </si>
  <si>
    <t>Employee Benefit  Exp</t>
  </si>
  <si>
    <t>65550</t>
  </si>
  <si>
    <t>Employee Welfare &amp; Gift</t>
  </si>
  <si>
    <t>65600</t>
  </si>
  <si>
    <t>Traning and Development</t>
  </si>
  <si>
    <t>65650</t>
  </si>
  <si>
    <t>Staff Medical</t>
  </si>
  <si>
    <t>66500</t>
  </si>
  <si>
    <t>Public relations Expense</t>
  </si>
  <si>
    <t>67000</t>
  </si>
  <si>
    <t>Income Tax Expense</t>
  </si>
  <si>
    <t>67200</t>
  </si>
  <si>
    <t>Audit fee</t>
  </si>
  <si>
    <t>67500</t>
  </si>
  <si>
    <t>Insurance Expense</t>
  </si>
  <si>
    <t>68500</t>
  </si>
  <si>
    <t>Consultancy  Expense</t>
  </si>
  <si>
    <t>69000</t>
  </si>
  <si>
    <t>Accounting/auditing expense</t>
  </si>
  <si>
    <t>69500</t>
  </si>
  <si>
    <t>Registration &amp;Licenses Expense</t>
  </si>
  <si>
    <t>69700</t>
  </si>
  <si>
    <t>Lawma</t>
  </si>
  <si>
    <t>69800</t>
  </si>
  <si>
    <t>Land Use Charge</t>
  </si>
  <si>
    <t>70000</t>
  </si>
  <si>
    <t>Computer repairs/maintainance</t>
  </si>
  <si>
    <t>70200</t>
  </si>
  <si>
    <t>Internet Expenses</t>
  </si>
  <si>
    <t>70550</t>
  </si>
  <si>
    <t>Contract Expenses</t>
  </si>
  <si>
    <t>71000</t>
  </si>
  <si>
    <t>Meals and Entertainment Exp</t>
  </si>
  <si>
    <t>71500</t>
  </si>
  <si>
    <t>Office Expense</t>
  </si>
  <si>
    <t>71600</t>
  </si>
  <si>
    <t>Parking Ticket</t>
  </si>
  <si>
    <t>71800</t>
  </si>
  <si>
    <t>Gift &amp; Donation</t>
  </si>
  <si>
    <t>72000</t>
  </si>
  <si>
    <t>Payroll Tax Expense</t>
  </si>
  <si>
    <t>72500</t>
  </si>
  <si>
    <t>Penalties and Fines Exp</t>
  </si>
  <si>
    <t>73000</t>
  </si>
  <si>
    <t>Other Taxes</t>
  </si>
  <si>
    <t>74500</t>
  </si>
  <si>
    <t>Rent or Lease Expense</t>
  </si>
  <si>
    <t>74800</t>
  </si>
  <si>
    <t>Electricity &amp; Diesel</t>
  </si>
  <si>
    <t>75000</t>
  </si>
  <si>
    <t>Repairs &amp; Maintenance</t>
  </si>
  <si>
    <t>76000</t>
  </si>
  <si>
    <t>Printing  Expense</t>
  </si>
  <si>
    <t>76500</t>
  </si>
  <si>
    <t>Stationery Expense</t>
  </si>
  <si>
    <t>77000</t>
  </si>
  <si>
    <t>Salaries Expense</t>
  </si>
  <si>
    <t>77100</t>
  </si>
  <si>
    <t>Staff Pension</t>
  </si>
  <si>
    <t>77200</t>
  </si>
  <si>
    <t>End of year bonus &amp; Leave Allo</t>
  </si>
  <si>
    <t>77300</t>
  </si>
  <si>
    <t>Industrial Training Fund</t>
  </si>
  <si>
    <t>77400</t>
  </si>
  <si>
    <t>Nig Social Insurance Trust Fun</t>
  </si>
  <si>
    <t>77600</t>
  </si>
  <si>
    <t>Staff Welfare</t>
  </si>
  <si>
    <t>78000</t>
  </si>
  <si>
    <t>Office telephone  Expense</t>
  </si>
  <si>
    <t>78100</t>
  </si>
  <si>
    <t>Business telephone  Expense</t>
  </si>
  <si>
    <t>78200</t>
  </si>
  <si>
    <t>Wth tax</t>
  </si>
  <si>
    <t>78300</t>
  </si>
  <si>
    <t>Storage Expenses</t>
  </si>
  <si>
    <t>78400</t>
  </si>
  <si>
    <t>Packaging And Branding</t>
  </si>
  <si>
    <t>89000</t>
  </si>
  <si>
    <t>Transportation</t>
  </si>
  <si>
    <t>89110</t>
  </si>
  <si>
    <t>Marketing expenses-Ajayi Temil</t>
  </si>
  <si>
    <t>89120</t>
  </si>
  <si>
    <t>Marketiing Exp- Mr Oladimeji</t>
  </si>
  <si>
    <t>89130</t>
  </si>
  <si>
    <t>Marketing Exp-Mr Femi Ogunmoku</t>
  </si>
  <si>
    <t>89140</t>
  </si>
  <si>
    <t>Marketing Expenses- Mrs Jegede</t>
  </si>
  <si>
    <t>89160</t>
  </si>
  <si>
    <t>Marketing expense - Mr Ayodele</t>
  </si>
  <si>
    <t>89180</t>
  </si>
  <si>
    <t>Marketing Expenses - Mr Isaac</t>
  </si>
  <si>
    <t>89190</t>
  </si>
  <si>
    <t>Marketing Expenses- Mr Sulymon</t>
  </si>
  <si>
    <t>89200</t>
  </si>
  <si>
    <t>Travelling Expenses</t>
  </si>
  <si>
    <t>89210</t>
  </si>
  <si>
    <t>Marketing Exp - Mr demilade</t>
  </si>
  <si>
    <t>89400</t>
  </si>
  <si>
    <t>Marketing expenses -Mr Kabir</t>
  </si>
  <si>
    <t>90000</t>
  </si>
  <si>
    <t>Gain/Loss on Sale of Assets</t>
  </si>
  <si>
    <t>90100</t>
  </si>
  <si>
    <t>Deprec - Furnitur &amp; Fix</t>
  </si>
  <si>
    <t>90200</t>
  </si>
  <si>
    <t>Deprec - Office Equipment</t>
  </si>
  <si>
    <t>90300</t>
  </si>
  <si>
    <t>Deprec. Motor Vehicle</t>
  </si>
  <si>
    <t>90400</t>
  </si>
  <si>
    <t>Deprec. Plant &amp; Machinery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</si>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</sst>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&quot;$&quot;* #,##0.00;\(&quot;$&quot;* #,##0.00\)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164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3225-A1EF-420F-9D34-5B6C55D274D0}">
  <dimension ref="A1:G343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13.6328125" style="1" customWidth="1"/>
    <col min="2" max="2" width="20.6328125" style="1" customWidth="1"/>
    <col min="3" max="6" width="11.6328125" style="1" customWidth="1"/>
    <col min="7" max="7" width="12.6328125" style="1" customWidth="1"/>
    <col min="8" max="16384" width="8.7265625" style="1"/>
  </cols>
  <sheetData>
    <row r="1" spans="1:7" s="3" customFormat="1" ht="39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5" t="s">
        <v>7</v>
      </c>
    </row>
    <row r="3" spans="1:7" x14ac:dyDescent="0.3">
      <c r="A3" s="6" t="s">
        <v>8</v>
      </c>
      <c r="B3" s="6" t="s">
        <v>9</v>
      </c>
      <c r="C3" s="7">
        <f>G3-F3</f>
        <v>0</v>
      </c>
      <c r="D3" s="8">
        <v>20359675</v>
      </c>
      <c r="E3" s="8">
        <v>-20262660</v>
      </c>
      <c r="F3" s="8">
        <v>97015</v>
      </c>
      <c r="G3" s="8">
        <v>97015</v>
      </c>
    </row>
    <row r="4" spans="1:7" x14ac:dyDescent="0.3">
      <c r="A4" s="6" t="s">
        <v>10</v>
      </c>
      <c r="B4" s="6" t="s">
        <v>11</v>
      </c>
      <c r="C4" s="7">
        <f>G4-F4</f>
        <v>0</v>
      </c>
      <c r="D4" s="7">
        <v>241717586</v>
      </c>
      <c r="E4" s="7">
        <v>-240194054</v>
      </c>
      <c r="F4" s="7">
        <v>1523532</v>
      </c>
      <c r="G4" s="7">
        <v>1523532</v>
      </c>
    </row>
    <row r="5" spans="1:7" x14ac:dyDescent="0.3">
      <c r="A5" s="6" t="s">
        <v>12</v>
      </c>
      <c r="B5" s="6" t="s">
        <v>13</v>
      </c>
      <c r="C5" s="7">
        <f>G5-F5</f>
        <v>0</v>
      </c>
      <c r="D5" s="7">
        <v>474267216.64999998</v>
      </c>
      <c r="E5" s="7">
        <v>-474267216.64999998</v>
      </c>
      <c r="F5" s="7">
        <v>0</v>
      </c>
      <c r="G5" s="7">
        <v>0</v>
      </c>
    </row>
    <row r="6" spans="1:7" x14ac:dyDescent="0.3">
      <c r="A6" s="6" t="s">
        <v>14</v>
      </c>
      <c r="B6" s="6" t="s">
        <v>15</v>
      </c>
      <c r="C6" s="7">
        <f>G6-F6</f>
        <v>0</v>
      </c>
      <c r="D6" s="7">
        <v>8915798.0199999996</v>
      </c>
      <c r="E6" s="7">
        <v>-8915798.0199999996</v>
      </c>
      <c r="F6" s="7">
        <v>0</v>
      </c>
      <c r="G6" s="7">
        <v>0</v>
      </c>
    </row>
    <row r="7" spans="1:7" x14ac:dyDescent="0.3">
      <c r="A7" s="6" t="s">
        <v>16</v>
      </c>
      <c r="B7" s="6" t="s">
        <v>17</v>
      </c>
      <c r="C7" s="7">
        <f>G7-F7</f>
        <v>0</v>
      </c>
      <c r="D7" s="7">
        <v>1000000</v>
      </c>
      <c r="E7" s="7">
        <v>-1000000</v>
      </c>
      <c r="F7" s="7">
        <v>0</v>
      </c>
      <c r="G7" s="7">
        <v>0</v>
      </c>
    </row>
    <row r="8" spans="1:7" x14ac:dyDescent="0.3">
      <c r="A8" s="6" t="s">
        <v>18</v>
      </c>
      <c r="B8" s="6" t="s">
        <v>19</v>
      </c>
      <c r="C8" s="7">
        <f>G8-F8</f>
        <v>0</v>
      </c>
      <c r="D8" s="7">
        <v>766803068.42999995</v>
      </c>
      <c r="E8" s="7">
        <v>-739556264.22000003</v>
      </c>
      <c r="F8" s="7">
        <v>27246804.210000001</v>
      </c>
      <c r="G8" s="7">
        <v>27246804.210000001</v>
      </c>
    </row>
    <row r="9" spans="1:7" x14ac:dyDescent="0.3">
      <c r="A9" s="6" t="s">
        <v>20</v>
      </c>
      <c r="B9" s="6" t="s">
        <v>21</v>
      </c>
      <c r="C9" s="7">
        <f>G9-F9</f>
        <v>0</v>
      </c>
      <c r="D9" s="7">
        <v>201696.56</v>
      </c>
      <c r="E9" s="7">
        <v>-201696.56</v>
      </c>
      <c r="F9" s="7">
        <v>0</v>
      </c>
      <c r="G9" s="7">
        <v>0</v>
      </c>
    </row>
    <row r="10" spans="1:7" x14ac:dyDescent="0.3">
      <c r="A10" s="6" t="s">
        <v>22</v>
      </c>
      <c r="B10" s="6" t="s">
        <v>23</v>
      </c>
      <c r="C10" s="7">
        <f>G10-F10</f>
        <v>0</v>
      </c>
      <c r="D10" s="7">
        <v>1236065</v>
      </c>
      <c r="E10" s="7">
        <v>-1236065</v>
      </c>
      <c r="F10" s="7">
        <v>0</v>
      </c>
      <c r="G10" s="7">
        <v>0</v>
      </c>
    </row>
    <row r="11" spans="1:7" x14ac:dyDescent="0.3">
      <c r="A11" s="6" t="s">
        <v>24</v>
      </c>
      <c r="B11" s="6" t="s">
        <v>25</v>
      </c>
      <c r="C11" s="7">
        <f>G11-F11</f>
        <v>0</v>
      </c>
      <c r="D11" s="7">
        <v>25000000</v>
      </c>
      <c r="E11" s="7">
        <v>-25000000</v>
      </c>
      <c r="F11" s="7">
        <v>0</v>
      </c>
      <c r="G11" s="7">
        <v>0</v>
      </c>
    </row>
    <row r="12" spans="1:7" x14ac:dyDescent="0.3">
      <c r="A12" s="6" t="s">
        <v>26</v>
      </c>
      <c r="B12" s="6" t="s">
        <v>27</v>
      </c>
      <c r="C12" s="7">
        <f>G12-F12</f>
        <v>0</v>
      </c>
      <c r="D12" s="7">
        <v>36355</v>
      </c>
      <c r="E12" s="7">
        <v>-36355</v>
      </c>
      <c r="F12" s="7">
        <v>0</v>
      </c>
      <c r="G12" s="7">
        <v>0</v>
      </c>
    </row>
    <row r="13" spans="1:7" x14ac:dyDescent="0.3">
      <c r="A13" s="6" t="s">
        <v>28</v>
      </c>
      <c r="B13" s="6" t="s">
        <v>29</v>
      </c>
      <c r="C13" s="7">
        <f>G13-F13</f>
        <v>0</v>
      </c>
      <c r="D13" s="7">
        <v>7730987785.8699999</v>
      </c>
      <c r="E13" s="7">
        <v>-7442753738.8100004</v>
      </c>
      <c r="F13" s="7">
        <v>288234047.06</v>
      </c>
      <c r="G13" s="7">
        <v>288234047.06</v>
      </c>
    </row>
    <row r="14" spans="1:7" x14ac:dyDescent="0.3">
      <c r="A14" s="6" t="s">
        <v>30</v>
      </c>
      <c r="B14" s="6" t="s">
        <v>31</v>
      </c>
      <c r="C14" s="7">
        <f>G14-F14</f>
        <v>0</v>
      </c>
      <c r="D14" s="7">
        <v>24500000</v>
      </c>
      <c r="E14" s="7">
        <v>-10000000</v>
      </c>
      <c r="F14" s="7">
        <v>14500000</v>
      </c>
      <c r="G14" s="7">
        <v>14500000</v>
      </c>
    </row>
    <row r="15" spans="1:7" x14ac:dyDescent="0.3">
      <c r="A15" s="6" t="s">
        <v>32</v>
      </c>
      <c r="B15" s="6" t="s">
        <v>33</v>
      </c>
      <c r="C15" s="7">
        <f>G15-F15</f>
        <v>0</v>
      </c>
      <c r="D15" s="7">
        <v>5000000</v>
      </c>
      <c r="E15" s="7">
        <v>0</v>
      </c>
      <c r="F15" s="7">
        <v>5000000</v>
      </c>
      <c r="G15" s="7">
        <v>5000000</v>
      </c>
    </row>
    <row r="16" spans="1:7" x14ac:dyDescent="0.3">
      <c r="A16" s="6" t="s">
        <v>34</v>
      </c>
      <c r="B16" s="6" t="s">
        <v>35</v>
      </c>
      <c r="C16" s="7">
        <f>G16-F16</f>
        <v>0</v>
      </c>
      <c r="D16" s="7">
        <v>8434316677.6700001</v>
      </c>
      <c r="E16" s="7">
        <v>-7874348929.3599997</v>
      </c>
      <c r="F16" s="7">
        <v>559967748.30999994</v>
      </c>
      <c r="G16" s="7">
        <v>559967748.30999994</v>
      </c>
    </row>
    <row r="17" spans="1:7" x14ac:dyDescent="0.3">
      <c r="A17" s="6" t="s">
        <v>36</v>
      </c>
      <c r="B17" s="6" t="s">
        <v>37</v>
      </c>
      <c r="C17" s="7">
        <f>G17-F17</f>
        <v>0</v>
      </c>
      <c r="D17" s="7">
        <v>301197700.27999997</v>
      </c>
      <c r="E17" s="7">
        <v>-290246802.97000003</v>
      </c>
      <c r="F17" s="7">
        <v>10950897.310000001</v>
      </c>
      <c r="G17" s="7">
        <v>10950897.310000001</v>
      </c>
    </row>
    <row r="18" spans="1:7" x14ac:dyDescent="0.3">
      <c r="A18" s="6" t="s">
        <v>38</v>
      </c>
      <c r="B18" s="6" t="s">
        <v>39</v>
      </c>
      <c r="C18" s="7">
        <f>G18-F18</f>
        <v>0</v>
      </c>
      <c r="D18" s="7">
        <v>481275164.06</v>
      </c>
      <c r="E18" s="7">
        <v>-459173105.14999998</v>
      </c>
      <c r="F18" s="7">
        <v>22102058.91</v>
      </c>
      <c r="G18" s="7">
        <v>22102058.91</v>
      </c>
    </row>
    <row r="19" spans="1:7" x14ac:dyDescent="0.3">
      <c r="A19" s="6" t="s">
        <v>40</v>
      </c>
      <c r="B19" s="6" t="s">
        <v>41</v>
      </c>
      <c r="C19" s="7">
        <f>G19-F19</f>
        <v>0</v>
      </c>
      <c r="D19" s="7">
        <v>374244660</v>
      </c>
      <c r="E19" s="7">
        <v>-372458347.95999998</v>
      </c>
      <c r="F19" s="7">
        <v>1786312.04</v>
      </c>
      <c r="G19" s="7">
        <v>1786312.04</v>
      </c>
    </row>
    <row r="20" spans="1:7" x14ac:dyDescent="0.3">
      <c r="A20" s="6" t="s">
        <v>42</v>
      </c>
      <c r="B20" s="6" t="s">
        <v>43</v>
      </c>
      <c r="C20" s="7">
        <f>G20-F20</f>
        <v>0</v>
      </c>
      <c r="D20" s="7">
        <v>600000</v>
      </c>
      <c r="E20" s="7">
        <v>-1600000</v>
      </c>
      <c r="F20" s="7">
        <v>-1000000</v>
      </c>
      <c r="G20" s="7">
        <v>-1000000</v>
      </c>
    </row>
    <row r="21" spans="1:7" x14ac:dyDescent="0.3">
      <c r="A21" s="6" t="s">
        <v>44</v>
      </c>
      <c r="B21" s="6" t="s">
        <v>45</v>
      </c>
      <c r="C21" s="7">
        <f>G21-F21</f>
        <v>0</v>
      </c>
      <c r="D21" s="7">
        <v>214340939.34999999</v>
      </c>
      <c r="E21" s="7">
        <v>-183037953.34999999</v>
      </c>
      <c r="F21" s="7">
        <v>31302986</v>
      </c>
      <c r="G21" s="7">
        <v>31302986</v>
      </c>
    </row>
    <row r="22" spans="1:7" x14ac:dyDescent="0.3">
      <c r="A22" s="6" t="s">
        <v>46</v>
      </c>
      <c r="B22" s="6" t="s">
        <v>47</v>
      </c>
      <c r="C22" s="7">
        <f>G22-F22</f>
        <v>0</v>
      </c>
      <c r="D22" s="7">
        <v>477926314.30000001</v>
      </c>
      <c r="E22" s="7">
        <v>-498093508.30000001</v>
      </c>
      <c r="F22" s="7">
        <v>-20167194</v>
      </c>
      <c r="G22" s="7">
        <v>-20167194</v>
      </c>
    </row>
    <row r="23" spans="1:7" x14ac:dyDescent="0.3">
      <c r="A23" s="6" t="s">
        <v>48</v>
      </c>
      <c r="B23" s="6" t="s">
        <v>49</v>
      </c>
      <c r="C23" s="7">
        <f>G23-F23</f>
        <v>0</v>
      </c>
      <c r="D23" s="7">
        <v>156900608.47999999</v>
      </c>
      <c r="E23" s="7">
        <v>-156900608.47999999</v>
      </c>
      <c r="F23" s="7">
        <v>0</v>
      </c>
      <c r="G23" s="7">
        <v>0</v>
      </c>
    </row>
    <row r="24" spans="1:7" x14ac:dyDescent="0.3">
      <c r="A24" s="6" t="s">
        <v>50</v>
      </c>
      <c r="B24" s="6" t="s">
        <v>51</v>
      </c>
      <c r="C24" s="7">
        <f>G24-F24</f>
        <v>0</v>
      </c>
      <c r="D24" s="7">
        <v>993723810.71000004</v>
      </c>
      <c r="E24" s="7">
        <v>-972916310.71000004</v>
      </c>
      <c r="F24" s="7">
        <v>20807500</v>
      </c>
      <c r="G24" s="7">
        <v>20807500</v>
      </c>
    </row>
    <row r="25" spans="1:7" x14ac:dyDescent="0.3">
      <c r="A25" s="6" t="s">
        <v>52</v>
      </c>
      <c r="B25" s="6" t="s">
        <v>53</v>
      </c>
      <c r="C25" s="7">
        <f>G25-F25</f>
        <v>0</v>
      </c>
      <c r="D25" s="7">
        <v>3017411.5</v>
      </c>
      <c r="E25" s="7">
        <v>-3017411.5</v>
      </c>
      <c r="F25" s="7">
        <v>0</v>
      </c>
      <c r="G25" s="7">
        <v>0</v>
      </c>
    </row>
    <row r="26" spans="1:7" x14ac:dyDescent="0.3">
      <c r="A26" s="6" t="s">
        <v>54</v>
      </c>
      <c r="B26" s="6" t="s">
        <v>55</v>
      </c>
      <c r="C26" s="7">
        <f>G26-F26</f>
        <v>0</v>
      </c>
      <c r="D26" s="7">
        <v>509048517</v>
      </c>
      <c r="E26" s="7">
        <v>-507687339</v>
      </c>
      <c r="F26" s="7">
        <v>1361178</v>
      </c>
      <c r="G26" s="7">
        <v>1361178</v>
      </c>
    </row>
    <row r="27" spans="1:7" x14ac:dyDescent="0.3">
      <c r="A27" s="6" t="s">
        <v>56</v>
      </c>
      <c r="B27" s="6" t="s">
        <v>57</v>
      </c>
      <c r="C27" s="7">
        <f>G27-F27</f>
        <v>0</v>
      </c>
      <c r="D27" s="7">
        <v>1544075</v>
      </c>
      <c r="E27" s="7">
        <v>-1551075</v>
      </c>
      <c r="F27" s="7">
        <v>-7000</v>
      </c>
      <c r="G27" s="7">
        <v>-7000</v>
      </c>
    </row>
    <row r="28" spans="1:7" x14ac:dyDescent="0.3">
      <c r="A28" s="6" t="s">
        <v>58</v>
      </c>
      <c r="B28" s="6" t="s">
        <v>59</v>
      </c>
      <c r="C28" s="7">
        <f>G28-F28</f>
        <v>0</v>
      </c>
      <c r="D28" s="7">
        <v>180679707.69</v>
      </c>
      <c r="E28" s="7">
        <v>-175743837.25</v>
      </c>
      <c r="F28" s="7">
        <v>4935870.4400000004</v>
      </c>
      <c r="G28" s="7">
        <v>4935870.4400000004</v>
      </c>
    </row>
    <row r="29" spans="1:7" x14ac:dyDescent="0.3">
      <c r="A29" s="6" t="s">
        <v>60</v>
      </c>
      <c r="B29" s="6" t="s">
        <v>61</v>
      </c>
      <c r="C29" s="7">
        <f>G29-F29</f>
        <v>0</v>
      </c>
      <c r="D29" s="7">
        <v>17584956.719999999</v>
      </c>
      <c r="E29" s="7">
        <v>-15233457.800000001</v>
      </c>
      <c r="F29" s="7">
        <v>2351498.92</v>
      </c>
      <c r="G29" s="7">
        <v>2351498.92</v>
      </c>
    </row>
    <row r="30" spans="1:7" x14ac:dyDescent="0.3">
      <c r="A30" s="6" t="s">
        <v>62</v>
      </c>
      <c r="B30" s="6" t="s">
        <v>63</v>
      </c>
      <c r="C30" s="7">
        <f>G30-F30</f>
        <v>0</v>
      </c>
      <c r="D30" s="7">
        <v>13618482.449999999</v>
      </c>
      <c r="E30" s="7">
        <v>-13618482.449999999</v>
      </c>
      <c r="F30" s="7">
        <v>0</v>
      </c>
      <c r="G30" s="7">
        <v>0</v>
      </c>
    </row>
    <row r="31" spans="1:7" x14ac:dyDescent="0.3">
      <c r="A31" s="6" t="s">
        <v>64</v>
      </c>
      <c r="B31" s="6" t="s">
        <v>65</v>
      </c>
      <c r="C31" s="7">
        <f>G31-F31</f>
        <v>0</v>
      </c>
      <c r="D31" s="7">
        <v>251980</v>
      </c>
      <c r="E31" s="7">
        <v>-251980</v>
      </c>
      <c r="F31" s="7">
        <v>0</v>
      </c>
      <c r="G31" s="7">
        <v>0</v>
      </c>
    </row>
    <row r="32" spans="1:7" x14ac:dyDescent="0.3">
      <c r="A32" s="6" t="s">
        <v>66</v>
      </c>
      <c r="B32" s="6" t="s">
        <v>67</v>
      </c>
      <c r="C32" s="7">
        <f>G32-F32</f>
        <v>0</v>
      </c>
      <c r="D32" s="7">
        <v>30845242.18</v>
      </c>
      <c r="E32" s="7">
        <v>-28269748.18</v>
      </c>
      <c r="F32" s="7">
        <v>2575494</v>
      </c>
      <c r="G32" s="7">
        <v>2575494</v>
      </c>
    </row>
    <row r="33" spans="1:7" x14ac:dyDescent="0.3">
      <c r="A33" s="6" t="s">
        <v>68</v>
      </c>
      <c r="B33" s="6" t="s">
        <v>69</v>
      </c>
      <c r="C33" s="7">
        <f>G33-F33</f>
        <v>0</v>
      </c>
      <c r="D33" s="7">
        <v>41935640.090000004</v>
      </c>
      <c r="E33" s="7">
        <v>-38991374</v>
      </c>
      <c r="F33" s="7">
        <v>2944266.09</v>
      </c>
      <c r="G33" s="7">
        <v>2944266.09</v>
      </c>
    </row>
    <row r="34" spans="1:7" x14ac:dyDescent="0.3">
      <c r="A34" s="6" t="s">
        <v>70</v>
      </c>
      <c r="B34" s="6" t="s">
        <v>71</v>
      </c>
      <c r="C34" s="7">
        <f>G34-F34</f>
        <v>0</v>
      </c>
      <c r="D34" s="7">
        <v>4147206.06</v>
      </c>
      <c r="E34" s="7">
        <v>-3504793.06</v>
      </c>
      <c r="F34" s="7">
        <v>642413</v>
      </c>
      <c r="G34" s="7">
        <v>642413</v>
      </c>
    </row>
    <row r="35" spans="1:7" x14ac:dyDescent="0.3">
      <c r="A35" s="6" t="s">
        <v>72</v>
      </c>
      <c r="B35" s="6" t="s">
        <v>73</v>
      </c>
      <c r="C35" s="7">
        <f>G35-F35</f>
        <v>0</v>
      </c>
      <c r="D35" s="7">
        <v>104199218.03</v>
      </c>
      <c r="E35" s="7">
        <v>-103006783.09</v>
      </c>
      <c r="F35" s="7">
        <v>1192434.94</v>
      </c>
      <c r="G35" s="7">
        <v>1192434.94</v>
      </c>
    </row>
    <row r="36" spans="1:7" x14ac:dyDescent="0.3">
      <c r="A36" s="6" t="s">
        <v>74</v>
      </c>
      <c r="B36" s="6" t="s">
        <v>75</v>
      </c>
      <c r="C36" s="7">
        <f>G36-F36</f>
        <v>0</v>
      </c>
      <c r="D36" s="7">
        <v>8956000</v>
      </c>
      <c r="E36" s="7">
        <v>-8953500</v>
      </c>
      <c r="F36" s="7">
        <v>2500</v>
      </c>
      <c r="G36" s="7">
        <v>2500</v>
      </c>
    </row>
    <row r="37" spans="1:7" x14ac:dyDescent="0.3">
      <c r="A37" s="6" t="s">
        <v>76</v>
      </c>
      <c r="B37" s="6" t="s">
        <v>77</v>
      </c>
      <c r="C37" s="7">
        <f>G37-F37</f>
        <v>0</v>
      </c>
      <c r="D37" s="7">
        <v>2376390</v>
      </c>
      <c r="E37" s="7">
        <v>-2376390</v>
      </c>
      <c r="F37" s="7">
        <v>0</v>
      </c>
      <c r="G37" s="7">
        <v>0</v>
      </c>
    </row>
    <row r="38" spans="1:7" x14ac:dyDescent="0.3">
      <c r="A38" s="6" t="s">
        <v>78</v>
      </c>
      <c r="B38" s="6" t="s">
        <v>79</v>
      </c>
      <c r="C38" s="7">
        <f>G38-F38</f>
        <v>0</v>
      </c>
      <c r="D38" s="7">
        <v>10119484</v>
      </c>
      <c r="E38" s="7">
        <v>-10119484</v>
      </c>
      <c r="F38" s="7">
        <v>0</v>
      </c>
      <c r="G38" s="7">
        <v>0</v>
      </c>
    </row>
    <row r="39" spans="1:7" x14ac:dyDescent="0.3">
      <c r="A39" s="6" t="s">
        <v>80</v>
      </c>
      <c r="B39" s="6" t="s">
        <v>81</v>
      </c>
      <c r="C39" s="7">
        <f>G39-F39</f>
        <v>0</v>
      </c>
      <c r="D39" s="7">
        <v>1192000</v>
      </c>
      <c r="E39" s="7">
        <v>-1192000</v>
      </c>
      <c r="F39" s="7">
        <v>0</v>
      </c>
      <c r="G39" s="7">
        <v>0</v>
      </c>
    </row>
    <row r="40" spans="1:7" x14ac:dyDescent="0.3">
      <c r="A40" s="6" t="s">
        <v>82</v>
      </c>
      <c r="B40" s="6" t="s">
        <v>83</v>
      </c>
      <c r="C40" s="7">
        <f>G40-F40</f>
        <v>0</v>
      </c>
      <c r="D40" s="7">
        <v>199309160</v>
      </c>
      <c r="E40" s="7">
        <v>-192889250</v>
      </c>
      <c r="F40" s="7">
        <v>6419910</v>
      </c>
      <c r="G40" s="7">
        <v>6419910</v>
      </c>
    </row>
    <row r="41" spans="1:7" x14ac:dyDescent="0.3">
      <c r="A41" s="6" t="s">
        <v>84</v>
      </c>
      <c r="B41" s="6" t="s">
        <v>85</v>
      </c>
      <c r="C41" s="7">
        <f>G41-F41</f>
        <v>0</v>
      </c>
      <c r="D41" s="7">
        <v>6284086</v>
      </c>
      <c r="E41" s="7">
        <v>-6008086</v>
      </c>
      <c r="F41" s="7">
        <v>276000</v>
      </c>
      <c r="G41" s="7">
        <v>276000</v>
      </c>
    </row>
    <row r="42" spans="1:7" x14ac:dyDescent="0.3">
      <c r="A42" s="6" t="s">
        <v>86</v>
      </c>
      <c r="B42" s="6" t="s">
        <v>87</v>
      </c>
      <c r="C42" s="7">
        <f>G42-F42</f>
        <v>0</v>
      </c>
      <c r="D42" s="7">
        <v>970796</v>
      </c>
      <c r="E42" s="7">
        <v>-970796</v>
      </c>
      <c r="F42" s="7">
        <v>0</v>
      </c>
      <c r="G42" s="7">
        <v>0</v>
      </c>
    </row>
    <row r="43" spans="1:7" x14ac:dyDescent="0.3">
      <c r="A43" s="6" t="s">
        <v>88</v>
      </c>
      <c r="B43" s="6" t="s">
        <v>89</v>
      </c>
      <c r="C43" s="7">
        <f>G43-F43</f>
        <v>0</v>
      </c>
      <c r="D43" s="7">
        <v>9374500</v>
      </c>
      <c r="E43" s="7">
        <v>-8989250</v>
      </c>
      <c r="F43" s="7">
        <v>385250</v>
      </c>
      <c r="G43" s="7">
        <v>385250</v>
      </c>
    </row>
    <row r="44" spans="1:7" x14ac:dyDescent="0.3">
      <c r="A44" s="6" t="s">
        <v>90</v>
      </c>
      <c r="B44" s="6" t="s">
        <v>91</v>
      </c>
      <c r="C44" s="7">
        <f>G44-F44</f>
        <v>0</v>
      </c>
      <c r="D44" s="7">
        <v>15500</v>
      </c>
      <c r="E44" s="7">
        <v>-15500</v>
      </c>
      <c r="F44" s="7">
        <v>0</v>
      </c>
      <c r="G44" s="7">
        <v>0</v>
      </c>
    </row>
    <row r="45" spans="1:7" x14ac:dyDescent="0.3">
      <c r="A45" s="6" t="s">
        <v>92</v>
      </c>
      <c r="B45" s="6" t="s">
        <v>93</v>
      </c>
      <c r="C45" s="7">
        <f>G45-F45</f>
        <v>0</v>
      </c>
      <c r="D45" s="7">
        <v>38552740</v>
      </c>
      <c r="E45" s="7">
        <v>-38552740</v>
      </c>
      <c r="F45" s="7">
        <v>0</v>
      </c>
      <c r="G45" s="7">
        <v>0</v>
      </c>
    </row>
    <row r="46" spans="1:7" x14ac:dyDescent="0.3">
      <c r="A46" s="6" t="s">
        <v>94</v>
      </c>
      <c r="B46" s="6" t="s">
        <v>95</v>
      </c>
      <c r="C46" s="7">
        <f>G46-F46</f>
        <v>0</v>
      </c>
      <c r="D46" s="7">
        <v>107794835.54000001</v>
      </c>
      <c r="E46" s="7">
        <v>-100738835.54000001</v>
      </c>
      <c r="F46" s="7">
        <v>7056000</v>
      </c>
      <c r="G46" s="7">
        <v>7056000</v>
      </c>
    </row>
    <row r="47" spans="1:7" x14ac:dyDescent="0.3">
      <c r="A47" s="6" t="s">
        <v>96</v>
      </c>
      <c r="B47" s="6" t="s">
        <v>97</v>
      </c>
      <c r="C47" s="7">
        <f>G47-F47</f>
        <v>0</v>
      </c>
      <c r="D47" s="7">
        <v>274137583.80000001</v>
      </c>
      <c r="E47" s="7">
        <v>-274137583.80000001</v>
      </c>
      <c r="F47" s="7">
        <v>0</v>
      </c>
      <c r="G47" s="7">
        <v>0</v>
      </c>
    </row>
    <row r="48" spans="1:7" x14ac:dyDescent="0.3">
      <c r="A48" s="6" t="s">
        <v>98</v>
      </c>
      <c r="B48" s="6" t="s">
        <v>99</v>
      </c>
      <c r="C48" s="7">
        <f>G48-F48</f>
        <v>0</v>
      </c>
      <c r="D48" s="7">
        <v>423797535.27999997</v>
      </c>
      <c r="E48" s="7">
        <v>-417751495.27999997</v>
      </c>
      <c r="F48" s="7">
        <v>6046040</v>
      </c>
      <c r="G48" s="7">
        <v>6046040</v>
      </c>
    </row>
    <row r="49" spans="1:7" x14ac:dyDescent="0.3">
      <c r="A49" s="6" t="s">
        <v>100</v>
      </c>
      <c r="B49" s="6" t="s">
        <v>101</v>
      </c>
      <c r="C49" s="7">
        <f>G49-F49</f>
        <v>0</v>
      </c>
      <c r="D49" s="7">
        <v>37534458.380000003</v>
      </c>
      <c r="E49" s="7">
        <v>-37534458.380000003</v>
      </c>
      <c r="F49" s="7">
        <v>0</v>
      </c>
      <c r="G49" s="7">
        <v>0</v>
      </c>
    </row>
    <row r="50" spans="1:7" x14ac:dyDescent="0.3">
      <c r="A50" s="6" t="s">
        <v>102</v>
      </c>
      <c r="B50" s="6" t="s">
        <v>103</v>
      </c>
      <c r="C50" s="7">
        <f>G50-F50</f>
        <v>0</v>
      </c>
      <c r="D50" s="7">
        <v>812400</v>
      </c>
      <c r="E50" s="7">
        <v>-812400</v>
      </c>
      <c r="F50" s="7">
        <v>0</v>
      </c>
      <c r="G50" s="7">
        <v>0</v>
      </c>
    </row>
    <row r="51" spans="1:7" x14ac:dyDescent="0.3">
      <c r="A51" s="6" t="s">
        <v>104</v>
      </c>
      <c r="B51" s="6" t="s">
        <v>105</v>
      </c>
      <c r="C51" s="7">
        <f>G51-F51</f>
        <v>0</v>
      </c>
      <c r="D51" s="7">
        <v>5097737</v>
      </c>
      <c r="E51" s="7">
        <v>-5097737</v>
      </c>
      <c r="F51" s="7">
        <v>0</v>
      </c>
      <c r="G51" s="7">
        <v>0</v>
      </c>
    </row>
    <row r="52" spans="1:7" x14ac:dyDescent="0.3">
      <c r="A52" s="6" t="s">
        <v>106</v>
      </c>
      <c r="B52" s="6" t="s">
        <v>107</v>
      </c>
      <c r="C52" s="7">
        <f>G52-F52</f>
        <v>0</v>
      </c>
      <c r="D52" s="7">
        <v>11653584</v>
      </c>
      <c r="E52" s="7">
        <v>-11653584</v>
      </c>
      <c r="F52" s="7">
        <v>0</v>
      </c>
      <c r="G52" s="7">
        <v>0</v>
      </c>
    </row>
    <row r="53" spans="1:7" x14ac:dyDescent="0.3">
      <c r="A53" s="6" t="s">
        <v>108</v>
      </c>
      <c r="B53" s="6" t="s">
        <v>109</v>
      </c>
      <c r="C53" s="7">
        <f>G53-F53</f>
        <v>0</v>
      </c>
      <c r="D53" s="7">
        <v>1471393</v>
      </c>
      <c r="E53" s="7">
        <v>-1471393</v>
      </c>
      <c r="F53" s="7">
        <v>0</v>
      </c>
      <c r="G53" s="7">
        <v>0</v>
      </c>
    </row>
    <row r="54" spans="1:7" x14ac:dyDescent="0.3">
      <c r="A54" s="6" t="s">
        <v>110</v>
      </c>
      <c r="B54" s="6" t="s">
        <v>111</v>
      </c>
      <c r="C54" s="7">
        <f>G54-F54</f>
        <v>0</v>
      </c>
      <c r="D54" s="7">
        <v>626721202.57000005</v>
      </c>
      <c r="E54" s="7">
        <v>-619647259.57000005</v>
      </c>
      <c r="F54" s="7">
        <v>7073943</v>
      </c>
      <c r="G54" s="7">
        <v>7073943</v>
      </c>
    </row>
    <row r="55" spans="1:7" x14ac:dyDescent="0.3">
      <c r="A55" s="6" t="s">
        <v>112</v>
      </c>
      <c r="B55" s="6" t="s">
        <v>113</v>
      </c>
      <c r="C55" s="7">
        <f>G55-F55</f>
        <v>0</v>
      </c>
      <c r="D55" s="7">
        <v>24751918.91</v>
      </c>
      <c r="E55" s="7">
        <v>-23938178.91</v>
      </c>
      <c r="F55" s="7">
        <v>813740</v>
      </c>
      <c r="G55" s="7">
        <v>813740</v>
      </c>
    </row>
    <row r="56" spans="1:7" x14ac:dyDescent="0.3">
      <c r="A56" s="6" t="s">
        <v>114</v>
      </c>
      <c r="B56" s="6" t="s">
        <v>115</v>
      </c>
      <c r="C56" s="7">
        <f>G56-F56</f>
        <v>0</v>
      </c>
      <c r="D56" s="7">
        <v>61163493.479999997</v>
      </c>
      <c r="E56" s="7">
        <v>-57444423.479999997</v>
      </c>
      <c r="F56" s="7">
        <v>3719070</v>
      </c>
      <c r="G56" s="7">
        <v>3719070</v>
      </c>
    </row>
    <row r="57" spans="1:7" x14ac:dyDescent="0.3">
      <c r="A57" s="6" t="s">
        <v>116</v>
      </c>
      <c r="B57" s="6" t="s">
        <v>117</v>
      </c>
      <c r="C57" s="7">
        <f>G57-F57</f>
        <v>0</v>
      </c>
      <c r="D57" s="7">
        <v>1129500</v>
      </c>
      <c r="E57" s="7">
        <v>-1129500</v>
      </c>
      <c r="F57" s="7">
        <v>0</v>
      </c>
      <c r="G57" s="7">
        <v>0</v>
      </c>
    </row>
    <row r="58" spans="1:7" x14ac:dyDescent="0.3">
      <c r="A58" s="6" t="s">
        <v>118</v>
      </c>
      <c r="B58" s="6" t="s">
        <v>119</v>
      </c>
      <c r="C58" s="7">
        <f>G58-F58</f>
        <v>0</v>
      </c>
      <c r="D58" s="7">
        <v>16000</v>
      </c>
      <c r="E58" s="7">
        <v>-16000</v>
      </c>
      <c r="F58" s="7">
        <v>0</v>
      </c>
      <c r="G58" s="7">
        <v>0</v>
      </c>
    </row>
    <row r="59" spans="1:7" x14ac:dyDescent="0.3">
      <c r="A59" s="6" t="s">
        <v>120</v>
      </c>
      <c r="B59" s="6" t="s">
        <v>121</v>
      </c>
      <c r="C59" s="7">
        <f>G59-F59</f>
        <v>0</v>
      </c>
      <c r="D59" s="7">
        <v>2250000</v>
      </c>
      <c r="E59" s="7">
        <v>-2250000</v>
      </c>
      <c r="F59" s="7">
        <v>0</v>
      </c>
      <c r="G59" s="7">
        <v>0</v>
      </c>
    </row>
    <row r="60" spans="1:7" x14ac:dyDescent="0.3">
      <c r="A60" s="6" t="s">
        <v>122</v>
      </c>
      <c r="B60" s="6" t="s">
        <v>123</v>
      </c>
      <c r="C60" s="7">
        <f>G60-F60</f>
        <v>0</v>
      </c>
      <c r="D60" s="7">
        <v>604461016.38</v>
      </c>
      <c r="E60" s="7">
        <v>-635707423.29999995</v>
      </c>
      <c r="F60" s="7">
        <v>-31246406.920000002</v>
      </c>
      <c r="G60" s="7">
        <v>-31246406.920000002</v>
      </c>
    </row>
    <row r="61" spans="1:7" x14ac:dyDescent="0.3">
      <c r="A61" s="6" t="s">
        <v>124</v>
      </c>
      <c r="B61" s="6" t="s">
        <v>125</v>
      </c>
      <c r="C61" s="7">
        <f>G61-F61</f>
        <v>0</v>
      </c>
      <c r="D61" s="7">
        <v>40705826</v>
      </c>
      <c r="E61" s="7">
        <v>-36598796</v>
      </c>
      <c r="F61" s="7">
        <v>4107030</v>
      </c>
      <c r="G61" s="7">
        <v>4107030</v>
      </c>
    </row>
    <row r="62" spans="1:7" x14ac:dyDescent="0.3">
      <c r="A62" s="6" t="s">
        <v>126</v>
      </c>
      <c r="B62" s="6" t="s">
        <v>127</v>
      </c>
      <c r="C62" s="7">
        <f>G62-F62</f>
        <v>0</v>
      </c>
      <c r="D62" s="7">
        <v>400000.04</v>
      </c>
      <c r="E62" s="7">
        <v>-400000.04</v>
      </c>
      <c r="F62" s="7">
        <v>0</v>
      </c>
      <c r="G62" s="7">
        <v>0</v>
      </c>
    </row>
    <row r="63" spans="1:7" x14ac:dyDescent="0.3">
      <c r="A63" s="6" t="s">
        <v>128</v>
      </c>
      <c r="B63" s="6" t="s">
        <v>129</v>
      </c>
      <c r="C63" s="7">
        <f>G63-F63</f>
        <v>0</v>
      </c>
      <c r="D63" s="7">
        <v>10419360</v>
      </c>
      <c r="E63" s="7">
        <v>-10208000</v>
      </c>
      <c r="F63" s="7">
        <v>211360</v>
      </c>
      <c r="G63" s="7">
        <v>211360</v>
      </c>
    </row>
    <row r="64" spans="1:7" x14ac:dyDescent="0.3">
      <c r="A64" s="6" t="s">
        <v>130</v>
      </c>
      <c r="B64" s="6" t="s">
        <v>131</v>
      </c>
      <c r="C64" s="7">
        <f>G64-F64</f>
        <v>0</v>
      </c>
      <c r="D64" s="7">
        <v>6186801.7999999998</v>
      </c>
      <c r="E64" s="7">
        <v>-5395816.2199999997</v>
      </c>
      <c r="F64" s="7">
        <v>790985.58</v>
      </c>
      <c r="G64" s="7">
        <v>790985.58</v>
      </c>
    </row>
    <row r="65" spans="1:7" x14ac:dyDescent="0.3">
      <c r="A65" s="6" t="s">
        <v>132</v>
      </c>
      <c r="B65" s="6" t="s">
        <v>133</v>
      </c>
      <c r="C65" s="7">
        <f>G65-F65</f>
        <v>0</v>
      </c>
      <c r="D65" s="7">
        <v>7236100</v>
      </c>
      <c r="E65" s="7">
        <v>-7236100</v>
      </c>
      <c r="F65" s="7">
        <v>0</v>
      </c>
      <c r="G65" s="7">
        <v>0</v>
      </c>
    </row>
    <row r="66" spans="1:7" x14ac:dyDescent="0.3">
      <c r="A66" s="6" t="s">
        <v>134</v>
      </c>
      <c r="B66" s="6" t="s">
        <v>135</v>
      </c>
      <c r="C66" s="7">
        <f>G66-F66</f>
        <v>0</v>
      </c>
      <c r="D66" s="7">
        <v>1472400</v>
      </c>
      <c r="E66" s="7">
        <v>-1472400</v>
      </c>
      <c r="F66" s="7">
        <v>0</v>
      </c>
      <c r="G66" s="7">
        <v>0</v>
      </c>
    </row>
    <row r="67" spans="1:7" x14ac:dyDescent="0.3">
      <c r="A67" s="6" t="s">
        <v>136</v>
      </c>
      <c r="B67" s="6" t="s">
        <v>137</v>
      </c>
      <c r="C67" s="7">
        <f>G67-F67</f>
        <v>0</v>
      </c>
      <c r="D67" s="7">
        <v>561950</v>
      </c>
      <c r="E67" s="7">
        <v>-561950</v>
      </c>
      <c r="F67" s="7">
        <v>0</v>
      </c>
      <c r="G67" s="7">
        <v>0</v>
      </c>
    </row>
    <row r="68" spans="1:7" x14ac:dyDescent="0.3">
      <c r="A68" s="6" t="s">
        <v>138</v>
      </c>
      <c r="B68" s="6" t="s">
        <v>139</v>
      </c>
      <c r="C68" s="7">
        <f>G68-F68</f>
        <v>0</v>
      </c>
      <c r="D68" s="7">
        <v>1900000</v>
      </c>
      <c r="E68" s="7">
        <v>-1900000</v>
      </c>
      <c r="F68" s="7">
        <v>0</v>
      </c>
      <c r="G68" s="7">
        <v>0</v>
      </c>
    </row>
    <row r="69" spans="1:7" x14ac:dyDescent="0.3">
      <c r="A69" s="6" t="s">
        <v>140</v>
      </c>
      <c r="B69" s="6" t="s">
        <v>141</v>
      </c>
      <c r="C69" s="7">
        <f>G69-F69</f>
        <v>0</v>
      </c>
      <c r="D69" s="7">
        <v>629120</v>
      </c>
      <c r="E69" s="7">
        <v>-629120</v>
      </c>
      <c r="F69" s="7">
        <v>0</v>
      </c>
      <c r="G69" s="7">
        <v>0</v>
      </c>
    </row>
    <row r="70" spans="1:7" x14ac:dyDescent="0.3">
      <c r="A70" s="6" t="s">
        <v>142</v>
      </c>
      <c r="B70" s="6" t="s">
        <v>143</v>
      </c>
      <c r="C70" s="7">
        <f>G70-F70</f>
        <v>0</v>
      </c>
      <c r="D70" s="7">
        <v>147400</v>
      </c>
      <c r="E70" s="7">
        <v>-147400</v>
      </c>
      <c r="F70" s="7">
        <v>0</v>
      </c>
      <c r="G70" s="7">
        <v>0</v>
      </c>
    </row>
    <row r="71" spans="1:7" x14ac:dyDescent="0.3">
      <c r="A71" s="6" t="s">
        <v>144</v>
      </c>
      <c r="B71" s="6" t="s">
        <v>145</v>
      </c>
      <c r="C71" s="7">
        <f>G71-F71</f>
        <v>0</v>
      </c>
      <c r="D71" s="7">
        <v>664447747.14999998</v>
      </c>
      <c r="E71" s="7">
        <v>-658192946.76999998</v>
      </c>
      <c r="F71" s="7">
        <v>6254800.3799999999</v>
      </c>
      <c r="G71" s="7">
        <v>6254800.3799999999</v>
      </c>
    </row>
    <row r="72" spans="1:7" x14ac:dyDescent="0.3">
      <c r="A72" s="6" t="s">
        <v>146</v>
      </c>
      <c r="B72" s="6" t="s">
        <v>147</v>
      </c>
      <c r="C72" s="7">
        <f>G72-F72</f>
        <v>0</v>
      </c>
      <c r="D72" s="7">
        <v>2472000</v>
      </c>
      <c r="E72" s="7">
        <v>-2472000</v>
      </c>
      <c r="F72" s="7">
        <v>0</v>
      </c>
      <c r="G72" s="7">
        <v>0</v>
      </c>
    </row>
    <row r="73" spans="1:7" x14ac:dyDescent="0.3">
      <c r="A73" s="6" t="s">
        <v>148</v>
      </c>
      <c r="B73" s="6" t="s">
        <v>149</v>
      </c>
      <c r="C73" s="7">
        <f>G73-F73</f>
        <v>0</v>
      </c>
      <c r="D73" s="7">
        <v>2633500</v>
      </c>
      <c r="E73" s="7">
        <v>-2633500</v>
      </c>
      <c r="F73" s="7">
        <v>0</v>
      </c>
      <c r="G73" s="7">
        <v>0</v>
      </c>
    </row>
    <row r="74" spans="1:7" x14ac:dyDescent="0.3">
      <c r="A74" s="6" t="s">
        <v>150</v>
      </c>
      <c r="B74" s="6" t="s">
        <v>151</v>
      </c>
      <c r="C74" s="7">
        <f>G74-F74</f>
        <v>0</v>
      </c>
      <c r="D74" s="7">
        <v>310500</v>
      </c>
      <c r="E74" s="7">
        <v>-310500</v>
      </c>
      <c r="F74" s="7">
        <v>0</v>
      </c>
      <c r="G74" s="7">
        <v>0</v>
      </c>
    </row>
    <row r="75" spans="1:7" x14ac:dyDescent="0.3">
      <c r="A75" s="6" t="s">
        <v>152</v>
      </c>
      <c r="B75" s="6" t="s">
        <v>153</v>
      </c>
      <c r="C75" s="7">
        <f>G75-F75</f>
        <v>0</v>
      </c>
      <c r="D75" s="7">
        <v>355000</v>
      </c>
      <c r="E75" s="7">
        <v>-355000</v>
      </c>
      <c r="F75" s="7">
        <v>0</v>
      </c>
      <c r="G75" s="7">
        <v>0</v>
      </c>
    </row>
    <row r="76" spans="1:7" x14ac:dyDescent="0.3">
      <c r="A76" s="6" t="s">
        <v>154</v>
      </c>
      <c r="B76" s="6" t="s">
        <v>155</v>
      </c>
      <c r="C76" s="7">
        <f>G76-F76</f>
        <v>0</v>
      </c>
      <c r="D76" s="7">
        <v>301600</v>
      </c>
      <c r="E76" s="7">
        <v>-301600</v>
      </c>
      <c r="F76" s="7">
        <v>0</v>
      </c>
      <c r="G76" s="7">
        <v>0</v>
      </c>
    </row>
    <row r="77" spans="1:7" x14ac:dyDescent="0.3">
      <c r="A77" s="6" t="s">
        <v>156</v>
      </c>
      <c r="B77" s="6" t="s">
        <v>157</v>
      </c>
      <c r="C77" s="7">
        <f>G77-F77</f>
        <v>0</v>
      </c>
      <c r="D77" s="7">
        <v>3245779.84</v>
      </c>
      <c r="E77" s="7">
        <v>-1916179.92</v>
      </c>
      <c r="F77" s="7">
        <v>1329599.92</v>
      </c>
      <c r="G77" s="7">
        <v>1329599.92</v>
      </c>
    </row>
    <row r="78" spans="1:7" x14ac:dyDescent="0.3">
      <c r="A78" s="6" t="s">
        <v>158</v>
      </c>
      <c r="B78" s="6" t="s">
        <v>159</v>
      </c>
      <c r="C78" s="7">
        <f>G78-F78</f>
        <v>0</v>
      </c>
      <c r="D78" s="7">
        <v>3222500</v>
      </c>
      <c r="E78" s="7">
        <v>-3645000</v>
      </c>
      <c r="F78" s="7">
        <v>-422500</v>
      </c>
      <c r="G78" s="7">
        <v>-422500</v>
      </c>
    </row>
    <row r="79" spans="1:7" x14ac:dyDescent="0.3">
      <c r="A79" s="6" t="s">
        <v>160</v>
      </c>
      <c r="B79" s="6" t="s">
        <v>161</v>
      </c>
      <c r="C79" s="7">
        <f>G79-F79</f>
        <v>0</v>
      </c>
      <c r="D79" s="7">
        <v>3661500</v>
      </c>
      <c r="E79" s="7">
        <v>-3661500</v>
      </c>
      <c r="F79" s="7">
        <v>0</v>
      </c>
      <c r="G79" s="7">
        <v>0</v>
      </c>
    </row>
    <row r="80" spans="1:7" x14ac:dyDescent="0.3">
      <c r="A80" s="6" t="s">
        <v>162</v>
      </c>
      <c r="B80" s="6" t="s">
        <v>163</v>
      </c>
      <c r="C80" s="7">
        <f>G80-F80</f>
        <v>0</v>
      </c>
      <c r="D80" s="7">
        <v>800000</v>
      </c>
      <c r="E80" s="7">
        <v>-800000</v>
      </c>
      <c r="F80" s="7">
        <v>0</v>
      </c>
      <c r="G80" s="7">
        <v>0</v>
      </c>
    </row>
    <row r="81" spans="1:7" x14ac:dyDescent="0.3">
      <c r="A81" s="6" t="s">
        <v>164</v>
      </c>
      <c r="B81" s="6" t="s">
        <v>165</v>
      </c>
      <c r="C81" s="7">
        <f>G81-F81</f>
        <v>0</v>
      </c>
      <c r="D81" s="7">
        <v>464000</v>
      </c>
      <c r="E81" s="7">
        <v>-464000</v>
      </c>
      <c r="F81" s="7">
        <v>0</v>
      </c>
      <c r="G81" s="7">
        <v>0</v>
      </c>
    </row>
    <row r="82" spans="1:7" x14ac:dyDescent="0.3">
      <c r="A82" s="6" t="s">
        <v>166</v>
      </c>
      <c r="B82" s="6" t="s">
        <v>167</v>
      </c>
      <c r="C82" s="7">
        <f>G82-F82</f>
        <v>0</v>
      </c>
      <c r="D82" s="7">
        <v>280000</v>
      </c>
      <c r="E82" s="7">
        <v>-280000</v>
      </c>
      <c r="F82" s="7">
        <v>0</v>
      </c>
      <c r="G82" s="7">
        <v>0</v>
      </c>
    </row>
    <row r="83" spans="1:7" x14ac:dyDescent="0.3">
      <c r="A83" s="6" t="s">
        <v>168</v>
      </c>
      <c r="B83" s="6" t="s">
        <v>169</v>
      </c>
      <c r="C83" s="7">
        <f>G83-F83</f>
        <v>0</v>
      </c>
      <c r="D83" s="7">
        <v>1100000</v>
      </c>
      <c r="E83" s="7">
        <v>-566500</v>
      </c>
      <c r="F83" s="7">
        <v>533500</v>
      </c>
      <c r="G83" s="7">
        <v>533500</v>
      </c>
    </row>
    <row r="84" spans="1:7" x14ac:dyDescent="0.3">
      <c r="A84" s="6" t="s">
        <v>170</v>
      </c>
      <c r="B84" s="6" t="s">
        <v>171</v>
      </c>
      <c r="C84" s="7">
        <f>G84-F84</f>
        <v>0</v>
      </c>
      <c r="D84" s="7">
        <v>737000</v>
      </c>
      <c r="E84" s="7">
        <v>-737000</v>
      </c>
      <c r="F84" s="7">
        <v>0</v>
      </c>
      <c r="G84" s="7">
        <v>0</v>
      </c>
    </row>
    <row r="85" spans="1:7" x14ac:dyDescent="0.3">
      <c r="A85" s="6" t="s">
        <v>172</v>
      </c>
      <c r="B85" s="6" t="s">
        <v>173</v>
      </c>
      <c r="C85" s="7">
        <f>G85-F85</f>
        <v>0</v>
      </c>
      <c r="D85" s="7">
        <v>28183740</v>
      </c>
      <c r="E85" s="7">
        <v>-22443651.620000001</v>
      </c>
      <c r="F85" s="7">
        <v>5740088.3799999999</v>
      </c>
      <c r="G85" s="7">
        <v>5740088.3799999999</v>
      </c>
    </row>
    <row r="86" spans="1:7" x14ac:dyDescent="0.3">
      <c r="A86" s="6" t="s">
        <v>174</v>
      </c>
      <c r="B86" s="6" t="s">
        <v>175</v>
      </c>
      <c r="C86" s="7">
        <f>G86-F86</f>
        <v>0</v>
      </c>
      <c r="D86" s="7">
        <v>14150633.33</v>
      </c>
      <c r="E86" s="7">
        <v>-8255000</v>
      </c>
      <c r="F86" s="7">
        <v>5895633.3300000001</v>
      </c>
      <c r="G86" s="7">
        <v>5895633.3300000001</v>
      </c>
    </row>
    <row r="87" spans="1:7" x14ac:dyDescent="0.3">
      <c r="A87" s="6" t="s">
        <v>176</v>
      </c>
      <c r="B87" s="6" t="s">
        <v>177</v>
      </c>
      <c r="C87" s="7">
        <f>G87-F87</f>
        <v>0</v>
      </c>
      <c r="D87" s="7">
        <v>36317600.880000003</v>
      </c>
      <c r="E87" s="7">
        <v>-5404654</v>
      </c>
      <c r="F87" s="7">
        <v>30912946.879999999</v>
      </c>
      <c r="G87" s="7">
        <v>30912946.879999999</v>
      </c>
    </row>
    <row r="88" spans="1:7" x14ac:dyDescent="0.3">
      <c r="A88" s="6" t="s">
        <v>178</v>
      </c>
      <c r="B88" s="6" t="s">
        <v>179</v>
      </c>
      <c r="C88" s="7">
        <f>G88-F88</f>
        <v>0</v>
      </c>
      <c r="D88" s="7">
        <v>130811659.54000001</v>
      </c>
      <c r="E88" s="7">
        <v>-87947613.370000005</v>
      </c>
      <c r="F88" s="7">
        <v>42864046.170000002</v>
      </c>
      <c r="G88" s="7">
        <v>42864046.170000002</v>
      </c>
    </row>
    <row r="89" spans="1:7" x14ac:dyDescent="0.3">
      <c r="A89" s="6" t="s">
        <v>180</v>
      </c>
      <c r="B89" s="6" t="s">
        <v>181</v>
      </c>
      <c r="C89" s="7">
        <f>G89-F89</f>
        <v>0</v>
      </c>
      <c r="D89" s="7">
        <v>582749</v>
      </c>
      <c r="E89" s="7">
        <v>-582749</v>
      </c>
      <c r="F89" s="7">
        <v>0</v>
      </c>
      <c r="G89" s="7">
        <v>0</v>
      </c>
    </row>
    <row r="90" spans="1:7" x14ac:dyDescent="0.3">
      <c r="A90" s="6" t="s">
        <v>182</v>
      </c>
      <c r="B90" s="6" t="s">
        <v>183</v>
      </c>
      <c r="C90" s="7">
        <f>G90-F90</f>
        <v>0</v>
      </c>
      <c r="D90" s="7">
        <v>201091226.25999999</v>
      </c>
      <c r="E90" s="7">
        <v>-95427200</v>
      </c>
      <c r="F90" s="7">
        <v>105664026.26000001</v>
      </c>
      <c r="G90" s="7">
        <v>105664026.26000001</v>
      </c>
    </row>
    <row r="91" spans="1:7" x14ac:dyDescent="0.3">
      <c r="A91" s="6" t="s">
        <v>184</v>
      </c>
      <c r="B91" s="6" t="s">
        <v>185</v>
      </c>
      <c r="C91" s="7">
        <f>G91-F91</f>
        <v>0</v>
      </c>
      <c r="D91" s="7">
        <v>122531858.25</v>
      </c>
      <c r="E91" s="7">
        <v>-87490198.890000001</v>
      </c>
      <c r="F91" s="7">
        <v>35041659.359999999</v>
      </c>
      <c r="G91" s="7">
        <v>35041659.359999999</v>
      </c>
    </row>
    <row r="92" spans="1:7" x14ac:dyDescent="0.3">
      <c r="A92" s="6" t="s">
        <v>186</v>
      </c>
      <c r="B92" s="6" t="s">
        <v>187</v>
      </c>
      <c r="C92" s="7">
        <f>G92-F92</f>
        <v>0</v>
      </c>
      <c r="D92" s="7">
        <v>2500050</v>
      </c>
      <c r="E92" s="7">
        <v>0</v>
      </c>
      <c r="F92" s="7">
        <v>2500050</v>
      </c>
      <c r="G92" s="7">
        <v>2500050</v>
      </c>
    </row>
    <row r="93" spans="1:7" x14ac:dyDescent="0.3">
      <c r="A93" s="6" t="s">
        <v>188</v>
      </c>
      <c r="B93" s="6" t="s">
        <v>189</v>
      </c>
      <c r="C93" s="7">
        <f>G93-F93</f>
        <v>0</v>
      </c>
      <c r="D93" s="7">
        <v>1660000</v>
      </c>
      <c r="E93" s="7">
        <v>0</v>
      </c>
      <c r="F93" s="7">
        <v>1660000</v>
      </c>
      <c r="G93" s="7">
        <v>1660000</v>
      </c>
    </row>
    <row r="94" spans="1:7" x14ac:dyDescent="0.3">
      <c r="A94" s="6" t="s">
        <v>190</v>
      </c>
      <c r="B94" s="6" t="s">
        <v>191</v>
      </c>
      <c r="C94" s="7">
        <f>G94-F94</f>
        <v>0</v>
      </c>
      <c r="D94" s="7">
        <v>66443275.899999999</v>
      </c>
      <c r="E94" s="7">
        <v>-1000000</v>
      </c>
      <c r="F94" s="7">
        <v>65443275.899999999</v>
      </c>
      <c r="G94" s="7">
        <v>65443275.899999999</v>
      </c>
    </row>
    <row r="95" spans="1:7" x14ac:dyDescent="0.3">
      <c r="A95" s="6" t="s">
        <v>192</v>
      </c>
      <c r="B95" s="6" t="s">
        <v>193</v>
      </c>
      <c r="C95" s="7">
        <f>G95-F95</f>
        <v>0</v>
      </c>
      <c r="D95" s="7">
        <v>102714271</v>
      </c>
      <c r="E95" s="7">
        <v>-650000</v>
      </c>
      <c r="F95" s="7">
        <v>102064271</v>
      </c>
      <c r="G95" s="7">
        <v>102064271</v>
      </c>
    </row>
    <row r="96" spans="1:7" x14ac:dyDescent="0.3">
      <c r="A96" s="6" t="s">
        <v>194</v>
      </c>
      <c r="B96" s="6" t="s">
        <v>195</v>
      </c>
      <c r="C96" s="7">
        <f>G96-F96</f>
        <v>0</v>
      </c>
      <c r="D96" s="7">
        <v>140022487.5</v>
      </c>
      <c r="E96" s="7">
        <v>0</v>
      </c>
      <c r="F96" s="7">
        <v>140022487.5</v>
      </c>
      <c r="G96" s="7">
        <v>140022487.5</v>
      </c>
    </row>
    <row r="97" spans="1:7" x14ac:dyDescent="0.3">
      <c r="A97" s="6" t="s">
        <v>196</v>
      </c>
      <c r="B97" s="6" t="s">
        <v>197</v>
      </c>
      <c r="C97" s="7">
        <f>G97-F97</f>
        <v>0</v>
      </c>
      <c r="D97" s="7">
        <v>746752962</v>
      </c>
      <c r="E97" s="7">
        <v>-530746013.75</v>
      </c>
      <c r="F97" s="7">
        <v>216006948.25</v>
      </c>
      <c r="G97" s="7">
        <v>216006948.25</v>
      </c>
    </row>
    <row r="98" spans="1:7" x14ac:dyDescent="0.3">
      <c r="A98" s="6" t="s">
        <v>198</v>
      </c>
      <c r="B98" s="6" t="s">
        <v>199</v>
      </c>
      <c r="C98" s="7">
        <f>G98-F98</f>
        <v>0</v>
      </c>
      <c r="D98" s="7">
        <v>0</v>
      </c>
      <c r="E98" s="7">
        <v>-1993865.8</v>
      </c>
      <c r="F98" s="7">
        <v>-1993865.8</v>
      </c>
      <c r="G98" s="7">
        <v>-1993865.8</v>
      </c>
    </row>
    <row r="99" spans="1:7" x14ac:dyDescent="0.3">
      <c r="A99" s="6" t="s">
        <v>200</v>
      </c>
      <c r="B99" s="6" t="s">
        <v>201</v>
      </c>
      <c r="C99" s="7">
        <f>G99-F99</f>
        <v>0</v>
      </c>
      <c r="D99" s="7">
        <v>0</v>
      </c>
      <c r="E99" s="7">
        <v>-29296611.949999999</v>
      </c>
      <c r="F99" s="7">
        <v>-29296611.949999999</v>
      </c>
      <c r="G99" s="7">
        <v>-29296611.949999999</v>
      </c>
    </row>
    <row r="100" spans="1:7" x14ac:dyDescent="0.3">
      <c r="A100" s="6" t="s">
        <v>202</v>
      </c>
      <c r="B100" s="6" t="s">
        <v>203</v>
      </c>
      <c r="C100" s="7">
        <f>G100-F100</f>
        <v>0</v>
      </c>
      <c r="D100" s="7">
        <v>0</v>
      </c>
      <c r="E100" s="7">
        <v>-52346423.630000003</v>
      </c>
      <c r="F100" s="7">
        <v>-52346423.630000003</v>
      </c>
      <c r="G100" s="7">
        <v>-52346423.630000003</v>
      </c>
    </row>
    <row r="101" spans="1:7" x14ac:dyDescent="0.3">
      <c r="A101" s="6" t="s">
        <v>204</v>
      </c>
      <c r="B101" s="6" t="s">
        <v>205</v>
      </c>
      <c r="C101" s="7">
        <f>G101-F101</f>
        <v>0</v>
      </c>
      <c r="D101" s="7">
        <v>0</v>
      </c>
      <c r="E101" s="7">
        <v>-1659990</v>
      </c>
      <c r="F101" s="7">
        <v>-1659990</v>
      </c>
      <c r="G101" s="7">
        <v>-1659990</v>
      </c>
    </row>
    <row r="102" spans="1:7" x14ac:dyDescent="0.3">
      <c r="A102" s="6" t="s">
        <v>206</v>
      </c>
      <c r="B102" s="6" t="s">
        <v>207</v>
      </c>
      <c r="C102" s="7">
        <f>G102-F102</f>
        <v>0</v>
      </c>
      <c r="D102" s="7">
        <v>6418933317.04</v>
      </c>
      <c r="E102" s="7">
        <v>-7008786735.5299997</v>
      </c>
      <c r="F102" s="7">
        <v>-589853418.49000001</v>
      </c>
      <c r="G102" s="7">
        <v>-589853418.49000001</v>
      </c>
    </row>
    <row r="103" spans="1:7" x14ac:dyDescent="0.3">
      <c r="A103" s="6" t="s">
        <v>208</v>
      </c>
      <c r="B103" s="6" t="s">
        <v>209</v>
      </c>
      <c r="C103" s="7">
        <f>G103-F103</f>
        <v>0</v>
      </c>
      <c r="D103" s="7">
        <v>0</v>
      </c>
      <c r="E103" s="7">
        <v>-445000</v>
      </c>
      <c r="F103" s="7">
        <v>-445000</v>
      </c>
      <c r="G103" s="7">
        <v>-445000</v>
      </c>
    </row>
    <row r="104" spans="1:7" x14ac:dyDescent="0.3">
      <c r="A104" s="6" t="s">
        <v>210</v>
      </c>
      <c r="B104" s="6" t="s">
        <v>211</v>
      </c>
      <c r="C104" s="7">
        <f>G104-F104</f>
        <v>0</v>
      </c>
      <c r="D104" s="7">
        <v>703675.34</v>
      </c>
      <c r="E104" s="7">
        <v>-703675.34</v>
      </c>
      <c r="F104" s="7">
        <v>0</v>
      </c>
      <c r="G104" s="7">
        <v>0</v>
      </c>
    </row>
    <row r="105" spans="1:7" x14ac:dyDescent="0.3">
      <c r="A105" s="6" t="s">
        <v>212</v>
      </c>
      <c r="B105" s="6" t="s">
        <v>213</v>
      </c>
      <c r="C105" s="7">
        <f>G105-F105</f>
        <v>0</v>
      </c>
      <c r="D105" s="7">
        <v>2007500</v>
      </c>
      <c r="E105" s="7">
        <v>-2007500</v>
      </c>
      <c r="F105" s="7">
        <v>0</v>
      </c>
      <c r="G105" s="7">
        <v>0</v>
      </c>
    </row>
    <row r="106" spans="1:7" x14ac:dyDescent="0.3">
      <c r="A106" s="6" t="s">
        <v>214</v>
      </c>
      <c r="B106" s="6" t="s">
        <v>215</v>
      </c>
      <c r="C106" s="7">
        <f>G106-F106</f>
        <v>0</v>
      </c>
      <c r="D106" s="7">
        <v>2476530</v>
      </c>
      <c r="E106" s="7">
        <v>-2476530</v>
      </c>
      <c r="F106" s="7">
        <v>0</v>
      </c>
      <c r="G106" s="7">
        <v>0</v>
      </c>
    </row>
    <row r="107" spans="1:7" x14ac:dyDescent="0.3">
      <c r="A107" s="6" t="s">
        <v>216</v>
      </c>
      <c r="B107" s="6" t="s">
        <v>217</v>
      </c>
      <c r="C107" s="7">
        <f>G107-F107</f>
        <v>0</v>
      </c>
      <c r="D107" s="7">
        <v>201000</v>
      </c>
      <c r="E107" s="7">
        <v>-201000</v>
      </c>
      <c r="F107" s="7">
        <v>0</v>
      </c>
      <c r="G107" s="7">
        <v>0</v>
      </c>
    </row>
    <row r="108" spans="1:7" x14ac:dyDescent="0.3">
      <c r="A108" s="6" t="s">
        <v>218</v>
      </c>
      <c r="B108" s="6" t="s">
        <v>219</v>
      </c>
      <c r="C108" s="7">
        <f>G108-F108</f>
        <v>0</v>
      </c>
      <c r="D108" s="7">
        <v>107614430.42</v>
      </c>
      <c r="E108" s="7">
        <v>-39169872.25</v>
      </c>
      <c r="F108" s="7">
        <v>68444558.170000002</v>
      </c>
      <c r="G108" s="7">
        <v>68444558.170000002</v>
      </c>
    </row>
    <row r="109" spans="1:7" x14ac:dyDescent="0.3">
      <c r="A109" s="6" t="s">
        <v>220</v>
      </c>
      <c r="B109" s="6" t="s">
        <v>221</v>
      </c>
      <c r="C109" s="7">
        <f>G109-F109</f>
        <v>0</v>
      </c>
      <c r="D109" s="7">
        <v>3436500</v>
      </c>
      <c r="E109" s="7">
        <v>-3436500</v>
      </c>
      <c r="F109" s="7">
        <v>0</v>
      </c>
      <c r="G109" s="7">
        <v>0</v>
      </c>
    </row>
    <row r="110" spans="1:7" x14ac:dyDescent="0.3">
      <c r="A110" s="6" t="s">
        <v>222</v>
      </c>
      <c r="B110" s="6" t="s">
        <v>223</v>
      </c>
      <c r="C110" s="7">
        <f>G110-F110</f>
        <v>0</v>
      </c>
      <c r="D110" s="7">
        <v>65077.75</v>
      </c>
      <c r="E110" s="7">
        <v>-65077.75</v>
      </c>
      <c r="F110" s="7">
        <v>0</v>
      </c>
      <c r="G110" s="7">
        <v>0</v>
      </c>
    </row>
    <row r="111" spans="1:7" x14ac:dyDescent="0.3">
      <c r="A111" s="6" t="s">
        <v>224</v>
      </c>
      <c r="B111" s="6" t="s">
        <v>225</v>
      </c>
      <c r="C111" s="7">
        <f>G111-F111</f>
        <v>0</v>
      </c>
      <c r="D111" s="7">
        <v>2634519.7400000002</v>
      </c>
      <c r="E111" s="7">
        <v>-2634519.7400000002</v>
      </c>
      <c r="F111" s="7">
        <v>0</v>
      </c>
      <c r="G111" s="7">
        <v>0</v>
      </c>
    </row>
    <row r="112" spans="1:7" x14ac:dyDescent="0.3">
      <c r="A112" s="6" t="s">
        <v>226</v>
      </c>
      <c r="B112" s="6" t="s">
        <v>227</v>
      </c>
      <c r="C112" s="7">
        <f>G112-F112</f>
        <v>0</v>
      </c>
      <c r="D112" s="7">
        <v>12309354</v>
      </c>
      <c r="E112" s="7">
        <v>-12309354</v>
      </c>
      <c r="F112" s="7">
        <v>0</v>
      </c>
      <c r="G112" s="7">
        <v>0</v>
      </c>
    </row>
    <row r="113" spans="1:7" x14ac:dyDescent="0.3">
      <c r="A113" s="6" t="s">
        <v>228</v>
      </c>
      <c r="B113" s="6" t="s">
        <v>229</v>
      </c>
      <c r="C113" s="7">
        <f>G113-F113</f>
        <v>0</v>
      </c>
      <c r="D113" s="7">
        <v>8039568.5999999996</v>
      </c>
      <c r="E113" s="7">
        <v>-8039568.5999999996</v>
      </c>
      <c r="F113" s="7">
        <v>0</v>
      </c>
      <c r="G113" s="7">
        <v>0</v>
      </c>
    </row>
    <row r="114" spans="1:7" x14ac:dyDescent="0.3">
      <c r="A114" s="6" t="s">
        <v>230</v>
      </c>
      <c r="B114" s="6" t="s">
        <v>231</v>
      </c>
      <c r="C114" s="7">
        <f>G114-F114</f>
        <v>0</v>
      </c>
      <c r="D114" s="7">
        <v>46168</v>
      </c>
      <c r="E114" s="7">
        <v>-46168</v>
      </c>
      <c r="F114" s="7">
        <v>0</v>
      </c>
      <c r="G114" s="7">
        <v>0</v>
      </c>
    </row>
    <row r="115" spans="1:7" x14ac:dyDescent="0.3">
      <c r="A115" s="6" t="s">
        <v>232</v>
      </c>
      <c r="B115" s="6" t="s">
        <v>233</v>
      </c>
      <c r="C115" s="7">
        <f>G115-F115</f>
        <v>0</v>
      </c>
      <c r="D115" s="7">
        <v>8700</v>
      </c>
      <c r="E115" s="7">
        <v>-1346002.84</v>
      </c>
      <c r="F115" s="7">
        <v>-1337302.8400000001</v>
      </c>
      <c r="G115" s="7">
        <v>-1337302.8400000001</v>
      </c>
    </row>
    <row r="116" spans="1:7" x14ac:dyDescent="0.3">
      <c r="A116" s="6" t="s">
        <v>234</v>
      </c>
      <c r="B116" s="6" t="s">
        <v>235</v>
      </c>
      <c r="C116" s="7">
        <f>G116-F116</f>
        <v>0</v>
      </c>
      <c r="D116" s="7">
        <v>889364903.80999994</v>
      </c>
      <c r="E116" s="7">
        <v>-929065113.5</v>
      </c>
      <c r="F116" s="7">
        <v>-39700209.689999998</v>
      </c>
      <c r="G116" s="7">
        <v>-39700209.689999998</v>
      </c>
    </row>
    <row r="117" spans="1:7" x14ac:dyDescent="0.3">
      <c r="A117" s="6" t="s">
        <v>236</v>
      </c>
      <c r="B117" s="6" t="s">
        <v>237</v>
      </c>
      <c r="C117" s="7">
        <f>G117-F117</f>
        <v>0</v>
      </c>
      <c r="D117" s="7">
        <v>0</v>
      </c>
      <c r="E117" s="7">
        <v>-7001350</v>
      </c>
      <c r="F117" s="7">
        <v>-7001350</v>
      </c>
      <c r="G117" s="7">
        <v>-7001350</v>
      </c>
    </row>
    <row r="118" spans="1:7" x14ac:dyDescent="0.3">
      <c r="A118" s="6" t="s">
        <v>238</v>
      </c>
      <c r="B118" s="6" t="s">
        <v>239</v>
      </c>
      <c r="C118" s="7">
        <f>G118-F118</f>
        <v>0</v>
      </c>
      <c r="D118" s="7">
        <v>125664533.42</v>
      </c>
      <c r="E118" s="7">
        <v>-162095231.78</v>
      </c>
      <c r="F118" s="7">
        <v>-36430698.359999999</v>
      </c>
      <c r="G118" s="7">
        <v>-36430698.359999999</v>
      </c>
    </row>
    <row r="119" spans="1:7" x14ac:dyDescent="0.3">
      <c r="A119" s="6" t="s">
        <v>240</v>
      </c>
      <c r="B119" s="6" t="s">
        <v>241</v>
      </c>
      <c r="C119" s="7">
        <f>G119-F119</f>
        <v>0</v>
      </c>
      <c r="D119" s="7">
        <v>1526550</v>
      </c>
      <c r="E119" s="7">
        <v>-2081984.73</v>
      </c>
      <c r="F119" s="7">
        <v>-555434.73</v>
      </c>
      <c r="G119" s="7">
        <v>-555434.73</v>
      </c>
    </row>
    <row r="120" spans="1:7" x14ac:dyDescent="0.3">
      <c r="A120" s="6" t="s">
        <v>242</v>
      </c>
      <c r="B120" s="6" t="s">
        <v>243</v>
      </c>
      <c r="C120" s="7">
        <f>G120-F120</f>
        <v>0</v>
      </c>
      <c r="D120" s="7">
        <v>127588.97</v>
      </c>
      <c r="E120" s="7">
        <v>-127588.97</v>
      </c>
      <c r="F120" s="7">
        <v>0</v>
      </c>
      <c r="G120" s="7">
        <v>0</v>
      </c>
    </row>
    <row r="121" spans="1:7" x14ac:dyDescent="0.3">
      <c r="A121" s="6" t="s">
        <v>244</v>
      </c>
      <c r="B121" s="6" t="s">
        <v>245</v>
      </c>
      <c r="C121" s="7">
        <f>G121-F121</f>
        <v>0</v>
      </c>
      <c r="D121" s="7">
        <v>230510.2</v>
      </c>
      <c r="E121" s="7">
        <v>-230510.2</v>
      </c>
      <c r="F121" s="7">
        <v>0</v>
      </c>
      <c r="G121" s="7">
        <v>0</v>
      </c>
    </row>
    <row r="122" spans="1:7" x14ac:dyDescent="0.3">
      <c r="A122" s="6" t="s">
        <v>246</v>
      </c>
      <c r="B122" s="6" t="s">
        <v>247</v>
      </c>
      <c r="C122" s="7">
        <f>G122-F122</f>
        <v>0</v>
      </c>
      <c r="D122" s="7">
        <v>2000000</v>
      </c>
      <c r="E122" s="7">
        <v>-2000000</v>
      </c>
      <c r="F122" s="7">
        <v>0</v>
      </c>
      <c r="G122" s="7">
        <v>0</v>
      </c>
    </row>
    <row r="123" spans="1:7" x14ac:dyDescent="0.3">
      <c r="A123" s="6" t="s">
        <v>248</v>
      </c>
      <c r="B123" s="6" t="s">
        <v>247</v>
      </c>
      <c r="C123" s="7">
        <f>G123-F123</f>
        <v>0</v>
      </c>
      <c r="D123" s="7">
        <v>30549041.199999999</v>
      </c>
      <c r="E123" s="7">
        <v>-6371223.25</v>
      </c>
      <c r="F123" s="7">
        <v>24177817.949999999</v>
      </c>
      <c r="G123" s="7">
        <v>24177817.949999999</v>
      </c>
    </row>
    <row r="124" spans="1:7" x14ac:dyDescent="0.3">
      <c r="A124" s="6" t="s">
        <v>249</v>
      </c>
      <c r="B124" s="6" t="s">
        <v>250</v>
      </c>
      <c r="C124" s="7">
        <f>G124-F124</f>
        <v>-770482198.87</v>
      </c>
      <c r="D124" s="7">
        <v>333568074.88999999</v>
      </c>
      <c r="E124" s="7">
        <v>-546563242.13999999</v>
      </c>
      <c r="F124" s="7">
        <v>-212995167.25</v>
      </c>
      <c r="G124" s="7">
        <v>-983477366.12</v>
      </c>
    </row>
    <row r="125" spans="1:7" x14ac:dyDescent="0.3">
      <c r="A125" s="6" t="s">
        <v>251</v>
      </c>
      <c r="B125" s="6" t="s">
        <v>252</v>
      </c>
      <c r="C125" s="7">
        <f>G125-F125</f>
        <v>287641369.48000002</v>
      </c>
      <c r="D125" s="7">
        <v>1681573.5</v>
      </c>
      <c r="E125" s="7">
        <v>-296985919.98000002</v>
      </c>
      <c r="F125" s="7">
        <v>-295304346.48000002</v>
      </c>
      <c r="G125" s="7">
        <v>-7662977</v>
      </c>
    </row>
    <row r="126" spans="1:7" x14ac:dyDescent="0.3">
      <c r="A126" s="6" t="s">
        <v>253</v>
      </c>
      <c r="B126" s="6" t="s">
        <v>39</v>
      </c>
      <c r="C126" s="7">
        <f>G126-F126</f>
        <v>489826995.66999996</v>
      </c>
      <c r="D126" s="7">
        <v>1681173</v>
      </c>
      <c r="E126" s="7">
        <v>-551216269.25999999</v>
      </c>
      <c r="F126" s="7">
        <v>-549535096.25999999</v>
      </c>
      <c r="G126" s="7">
        <v>-59708100.590000004</v>
      </c>
    </row>
    <row r="127" spans="1:7" x14ac:dyDescent="0.3">
      <c r="A127" s="6" t="s">
        <v>254</v>
      </c>
      <c r="B127" s="6" t="s">
        <v>41</v>
      </c>
      <c r="C127" s="7">
        <f>G127-F127</f>
        <v>524415218</v>
      </c>
      <c r="D127" s="7">
        <v>1106339</v>
      </c>
      <c r="E127" s="7">
        <v>-552504595</v>
      </c>
      <c r="F127" s="7">
        <v>-551398256</v>
      </c>
      <c r="G127" s="7">
        <v>-26983038</v>
      </c>
    </row>
    <row r="128" spans="1:7" x14ac:dyDescent="0.3">
      <c r="A128" s="6" t="s">
        <v>255</v>
      </c>
      <c r="B128" s="6" t="s">
        <v>43</v>
      </c>
      <c r="C128" s="7">
        <f>G128-F128</f>
        <v>675000</v>
      </c>
      <c r="D128" s="7">
        <v>0</v>
      </c>
      <c r="E128" s="7">
        <v>-2000000</v>
      </c>
      <c r="F128" s="7">
        <v>-2000000</v>
      </c>
      <c r="G128" s="7">
        <v>-1325000</v>
      </c>
    </row>
    <row r="129" spans="1:7" x14ac:dyDescent="0.3">
      <c r="A129" s="6" t="s">
        <v>256</v>
      </c>
      <c r="B129" s="6" t="s">
        <v>257</v>
      </c>
      <c r="C129" s="7">
        <f>G129-F129</f>
        <v>354600</v>
      </c>
      <c r="D129" s="7">
        <v>0</v>
      </c>
      <c r="E129" s="7">
        <v>-354600</v>
      </c>
      <c r="F129" s="7">
        <v>-354600</v>
      </c>
      <c r="G129" s="7">
        <v>0</v>
      </c>
    </row>
    <row r="130" spans="1:7" x14ac:dyDescent="0.3">
      <c r="A130" s="6" t="s">
        <v>258</v>
      </c>
      <c r="B130" s="6" t="s">
        <v>259</v>
      </c>
      <c r="C130" s="7">
        <f>G130-F130</f>
        <v>219893950</v>
      </c>
      <c r="D130" s="7">
        <v>1109557.2</v>
      </c>
      <c r="E130" s="7">
        <v>-244646229.46000001</v>
      </c>
      <c r="F130" s="7">
        <v>-243536672.25999999</v>
      </c>
      <c r="G130" s="7">
        <v>-23642722.260000002</v>
      </c>
    </row>
    <row r="131" spans="1:7" x14ac:dyDescent="0.3">
      <c r="A131" s="6" t="s">
        <v>260</v>
      </c>
      <c r="B131" s="6" t="s">
        <v>261</v>
      </c>
      <c r="C131" s="7">
        <f>G131-F131</f>
        <v>566787393.85000002</v>
      </c>
      <c r="D131" s="7">
        <v>2558248</v>
      </c>
      <c r="E131" s="7">
        <v>-662938758.85000002</v>
      </c>
      <c r="F131" s="7">
        <v>-660380510.85000002</v>
      </c>
      <c r="G131" s="7">
        <v>-93593117</v>
      </c>
    </row>
    <row r="132" spans="1:7" x14ac:dyDescent="0.3">
      <c r="A132" s="6" t="s">
        <v>262</v>
      </c>
      <c r="B132" s="6" t="s">
        <v>49</v>
      </c>
      <c r="C132" s="7">
        <f>G132-F132</f>
        <v>216837160.53999999</v>
      </c>
      <c r="D132" s="7">
        <v>1747085</v>
      </c>
      <c r="E132" s="7">
        <v>-218584245.53999999</v>
      </c>
      <c r="F132" s="7">
        <v>-216837160.53999999</v>
      </c>
      <c r="G132" s="7">
        <v>0</v>
      </c>
    </row>
    <row r="133" spans="1:7" x14ac:dyDescent="0.3">
      <c r="A133" s="6" t="s">
        <v>263</v>
      </c>
      <c r="B133" s="6" t="s">
        <v>51</v>
      </c>
      <c r="C133" s="7">
        <f>G133-F133</f>
        <v>909086863.39999998</v>
      </c>
      <c r="D133" s="7">
        <v>14633696</v>
      </c>
      <c r="E133" s="7">
        <v>-1004834072.4</v>
      </c>
      <c r="F133" s="7">
        <v>-990200376.39999998</v>
      </c>
      <c r="G133" s="7">
        <v>-81113513</v>
      </c>
    </row>
    <row r="134" spans="1:7" x14ac:dyDescent="0.3">
      <c r="A134" s="6" t="s">
        <v>264</v>
      </c>
      <c r="B134" s="6" t="s">
        <v>53</v>
      </c>
      <c r="C134" s="7">
        <f>G134-F134</f>
        <v>7053842</v>
      </c>
      <c r="D134" s="7">
        <v>0</v>
      </c>
      <c r="E134" s="7">
        <v>-7053842</v>
      </c>
      <c r="F134" s="7">
        <v>-7053842</v>
      </c>
      <c r="G134" s="7">
        <v>0</v>
      </c>
    </row>
    <row r="135" spans="1:7" x14ac:dyDescent="0.3">
      <c r="A135" s="6" t="s">
        <v>265</v>
      </c>
      <c r="B135" s="6" t="s">
        <v>55</v>
      </c>
      <c r="C135" s="7">
        <f>G135-F135</f>
        <v>659428839.55999994</v>
      </c>
      <c r="D135" s="7">
        <v>1695208.5</v>
      </c>
      <c r="E135" s="7">
        <v>-694976775.05999994</v>
      </c>
      <c r="F135" s="7">
        <v>-693281566.55999994</v>
      </c>
      <c r="G135" s="7">
        <v>-33852727</v>
      </c>
    </row>
    <row r="136" spans="1:7" x14ac:dyDescent="0.3">
      <c r="A136" s="6" t="s">
        <v>266</v>
      </c>
      <c r="B136" s="6" t="s">
        <v>57</v>
      </c>
      <c r="C136" s="7">
        <f>G136-F136</f>
        <v>4567037.5</v>
      </c>
      <c r="D136" s="7">
        <v>39325</v>
      </c>
      <c r="E136" s="7">
        <v>-4621362.5</v>
      </c>
      <c r="F136" s="7">
        <v>-4582037.5</v>
      </c>
      <c r="G136" s="7">
        <v>-15000</v>
      </c>
    </row>
    <row r="137" spans="1:7" x14ac:dyDescent="0.3">
      <c r="A137" s="6" t="s">
        <v>267</v>
      </c>
      <c r="B137" s="6" t="s">
        <v>59</v>
      </c>
      <c r="C137" s="7">
        <f>G137-F137</f>
        <v>173397320.40000001</v>
      </c>
      <c r="D137" s="7">
        <v>1091742</v>
      </c>
      <c r="E137" s="7">
        <v>-201477465.40000001</v>
      </c>
      <c r="F137" s="7">
        <v>-200385723.40000001</v>
      </c>
      <c r="G137" s="7">
        <v>-26988403</v>
      </c>
    </row>
    <row r="138" spans="1:7" x14ac:dyDescent="0.3">
      <c r="A138" s="6" t="s">
        <v>268</v>
      </c>
      <c r="B138" s="6" t="s">
        <v>61</v>
      </c>
      <c r="C138" s="7">
        <f>G138-F138</f>
        <v>27821224.5</v>
      </c>
      <c r="D138" s="7">
        <v>405815</v>
      </c>
      <c r="E138" s="7">
        <v>-28227039.5</v>
      </c>
      <c r="F138" s="7">
        <v>-27821224.5</v>
      </c>
      <c r="G138" s="7">
        <v>0</v>
      </c>
    </row>
    <row r="139" spans="1:7" x14ac:dyDescent="0.3">
      <c r="A139" s="6" t="s">
        <v>269</v>
      </c>
      <c r="B139" s="6" t="s">
        <v>63</v>
      </c>
      <c r="C139" s="7">
        <f>G139-F139</f>
        <v>17300799.359999999</v>
      </c>
      <c r="D139" s="7">
        <v>139232.35999999999</v>
      </c>
      <c r="E139" s="7">
        <v>-17440031.719999999</v>
      </c>
      <c r="F139" s="7">
        <v>-17300799.359999999</v>
      </c>
      <c r="G139" s="7">
        <v>0</v>
      </c>
    </row>
    <row r="140" spans="1:7" x14ac:dyDescent="0.3">
      <c r="A140" s="6" t="s">
        <v>270</v>
      </c>
      <c r="B140" s="6" t="s">
        <v>65</v>
      </c>
      <c r="C140" s="7">
        <f>G140-F140</f>
        <v>654062</v>
      </c>
      <c r="D140" s="7">
        <v>12920</v>
      </c>
      <c r="E140" s="7">
        <v>-666982</v>
      </c>
      <c r="F140" s="7">
        <v>-654062</v>
      </c>
      <c r="G140" s="7">
        <v>0</v>
      </c>
    </row>
    <row r="141" spans="1:7" x14ac:dyDescent="0.3">
      <c r="A141" s="6" t="s">
        <v>271</v>
      </c>
      <c r="B141" s="6" t="s">
        <v>67</v>
      </c>
      <c r="C141" s="7">
        <f>G141-F141</f>
        <v>27494719.5</v>
      </c>
      <c r="D141" s="7">
        <v>179850.5</v>
      </c>
      <c r="E141" s="7">
        <v>-34673768</v>
      </c>
      <c r="F141" s="7">
        <v>-34493917.5</v>
      </c>
      <c r="G141" s="7">
        <v>-6999198</v>
      </c>
    </row>
    <row r="142" spans="1:7" x14ac:dyDescent="0.3">
      <c r="A142" s="6" t="s">
        <v>272</v>
      </c>
      <c r="B142" s="6" t="s">
        <v>69</v>
      </c>
      <c r="C142" s="7">
        <f>G142-F142</f>
        <v>43395027.700000003</v>
      </c>
      <c r="D142" s="7">
        <v>212450</v>
      </c>
      <c r="E142" s="7">
        <v>-47276716.700000003</v>
      </c>
      <c r="F142" s="7">
        <v>-47064266.700000003</v>
      </c>
      <c r="G142" s="7">
        <v>-3669239</v>
      </c>
    </row>
    <row r="143" spans="1:7" x14ac:dyDescent="0.3">
      <c r="A143" s="6" t="s">
        <v>273</v>
      </c>
      <c r="B143" s="6" t="s">
        <v>274</v>
      </c>
      <c r="C143" s="7">
        <f>G143-F143</f>
        <v>2998349.4000000004</v>
      </c>
      <c r="D143" s="7">
        <v>21020</v>
      </c>
      <c r="E143" s="7">
        <v>-4527232.9800000004</v>
      </c>
      <c r="F143" s="7">
        <v>-4506212.9800000004</v>
      </c>
      <c r="G143" s="7">
        <v>-1507863.58</v>
      </c>
    </row>
    <row r="144" spans="1:7" x14ac:dyDescent="0.3">
      <c r="A144" s="6" t="s">
        <v>275</v>
      </c>
      <c r="B144" s="6" t="s">
        <v>276</v>
      </c>
      <c r="C144" s="7">
        <f>G144-F144</f>
        <v>115816376</v>
      </c>
      <c r="D144" s="7">
        <v>397882</v>
      </c>
      <c r="E144" s="7">
        <v>-124981339.12</v>
      </c>
      <c r="F144" s="7">
        <v>-124583457.12</v>
      </c>
      <c r="G144" s="7">
        <v>-8767081.1199999992</v>
      </c>
    </row>
    <row r="145" spans="1:7" x14ac:dyDescent="0.3">
      <c r="A145" s="6" t="s">
        <v>277</v>
      </c>
      <c r="B145" s="6" t="s">
        <v>75</v>
      </c>
      <c r="C145" s="7">
        <f>G145-F145</f>
        <v>12973750</v>
      </c>
      <c r="D145" s="7">
        <v>0</v>
      </c>
      <c r="E145" s="7">
        <v>-12973750</v>
      </c>
      <c r="F145" s="7">
        <v>-12973750</v>
      </c>
      <c r="G145" s="7">
        <v>0</v>
      </c>
    </row>
    <row r="146" spans="1:7" x14ac:dyDescent="0.3">
      <c r="A146" s="6" t="s">
        <v>278</v>
      </c>
      <c r="B146" s="6" t="s">
        <v>77</v>
      </c>
      <c r="C146" s="7">
        <f>G146-F146</f>
        <v>3311137</v>
      </c>
      <c r="D146" s="7">
        <v>0</v>
      </c>
      <c r="E146" s="7">
        <v>-3311137</v>
      </c>
      <c r="F146" s="7">
        <v>-3311137</v>
      </c>
      <c r="G146" s="7">
        <v>0</v>
      </c>
    </row>
    <row r="147" spans="1:7" x14ac:dyDescent="0.3">
      <c r="A147" s="6" t="s">
        <v>279</v>
      </c>
      <c r="B147" s="6" t="s">
        <v>79</v>
      </c>
      <c r="C147" s="7">
        <f>G147-F147</f>
        <v>13441586.890000001</v>
      </c>
      <c r="D147" s="7">
        <v>27000</v>
      </c>
      <c r="E147" s="7">
        <v>-13468586.890000001</v>
      </c>
      <c r="F147" s="7">
        <v>-13441586.890000001</v>
      </c>
      <c r="G147" s="7">
        <v>0</v>
      </c>
    </row>
    <row r="148" spans="1:7" x14ac:dyDescent="0.3">
      <c r="A148" s="6" t="s">
        <v>280</v>
      </c>
      <c r="B148" s="6" t="s">
        <v>81</v>
      </c>
      <c r="C148" s="7">
        <f>G148-F148</f>
        <v>2401000</v>
      </c>
      <c r="D148" s="7">
        <v>0</v>
      </c>
      <c r="E148" s="7">
        <v>-2401000</v>
      </c>
      <c r="F148" s="7">
        <v>-2401000</v>
      </c>
      <c r="G148" s="7">
        <v>0</v>
      </c>
    </row>
    <row r="149" spans="1:7" x14ac:dyDescent="0.3">
      <c r="A149" s="6" t="s">
        <v>281</v>
      </c>
      <c r="B149" s="6" t="s">
        <v>282</v>
      </c>
      <c r="C149" s="7">
        <f>G149-F149</f>
        <v>236273704.5</v>
      </c>
      <c r="D149" s="7">
        <v>13560</v>
      </c>
      <c r="E149" s="7">
        <v>-240570484.5</v>
      </c>
      <c r="F149" s="7">
        <v>-240556924.5</v>
      </c>
      <c r="G149" s="7">
        <v>-4283220</v>
      </c>
    </row>
    <row r="150" spans="1:7" x14ac:dyDescent="0.3">
      <c r="A150" s="6" t="s">
        <v>283</v>
      </c>
      <c r="B150" s="6" t="s">
        <v>85</v>
      </c>
      <c r="C150" s="7">
        <f>G150-F150</f>
        <v>7527025</v>
      </c>
      <c r="D150" s="7">
        <v>14830</v>
      </c>
      <c r="E150" s="7">
        <v>-8708635</v>
      </c>
      <c r="F150" s="7">
        <v>-8693805</v>
      </c>
      <c r="G150" s="7">
        <v>-1166780</v>
      </c>
    </row>
    <row r="151" spans="1:7" x14ac:dyDescent="0.3">
      <c r="A151" s="6" t="s">
        <v>284</v>
      </c>
      <c r="B151" s="6" t="s">
        <v>87</v>
      </c>
      <c r="C151" s="7">
        <f>G151-F151</f>
        <v>1042992</v>
      </c>
      <c r="D151" s="7">
        <v>50824</v>
      </c>
      <c r="E151" s="7">
        <v>-1093816</v>
      </c>
      <c r="F151" s="7">
        <v>-1042992</v>
      </c>
      <c r="G151" s="7">
        <v>0</v>
      </c>
    </row>
    <row r="152" spans="1:7" x14ac:dyDescent="0.3">
      <c r="A152" s="6" t="s">
        <v>285</v>
      </c>
      <c r="B152" s="6" t="s">
        <v>89</v>
      </c>
      <c r="C152" s="7">
        <f>G152-F152</f>
        <v>8103968</v>
      </c>
      <c r="D152" s="7">
        <v>1423800</v>
      </c>
      <c r="E152" s="7">
        <v>-11378323</v>
      </c>
      <c r="F152" s="7">
        <v>-9954523</v>
      </c>
      <c r="G152" s="7">
        <v>-1850555</v>
      </c>
    </row>
    <row r="153" spans="1:7" x14ac:dyDescent="0.3">
      <c r="A153" s="6" t="s">
        <v>286</v>
      </c>
      <c r="B153" s="6" t="s">
        <v>91</v>
      </c>
      <c r="C153" s="7">
        <f>G153-F153</f>
        <v>57000</v>
      </c>
      <c r="D153" s="7">
        <v>0</v>
      </c>
      <c r="E153" s="7">
        <v>-57000</v>
      </c>
      <c r="F153" s="7">
        <v>-57000</v>
      </c>
      <c r="G153" s="7">
        <v>0</v>
      </c>
    </row>
    <row r="154" spans="1:7" x14ac:dyDescent="0.3">
      <c r="A154" s="6" t="s">
        <v>287</v>
      </c>
      <c r="B154" s="6" t="s">
        <v>93</v>
      </c>
      <c r="C154" s="7">
        <f>G154-F154</f>
        <v>53992698</v>
      </c>
      <c r="D154" s="7">
        <v>252650</v>
      </c>
      <c r="E154" s="7">
        <v>-54245348</v>
      </c>
      <c r="F154" s="7">
        <v>-53992698</v>
      </c>
      <c r="G154" s="7">
        <v>0</v>
      </c>
    </row>
    <row r="155" spans="1:7" x14ac:dyDescent="0.3">
      <c r="A155" s="6" t="s">
        <v>288</v>
      </c>
      <c r="B155" s="6" t="s">
        <v>95</v>
      </c>
      <c r="C155" s="7">
        <f>G155-F155</f>
        <v>130518960.91</v>
      </c>
      <c r="D155" s="7">
        <v>664163</v>
      </c>
      <c r="E155" s="7">
        <v>-144840191.91</v>
      </c>
      <c r="F155" s="7">
        <v>-144176028.91</v>
      </c>
      <c r="G155" s="7">
        <v>-13657068</v>
      </c>
    </row>
    <row r="156" spans="1:7" x14ac:dyDescent="0.3">
      <c r="A156" s="6" t="s">
        <v>289</v>
      </c>
      <c r="B156" s="6" t="s">
        <v>97</v>
      </c>
      <c r="C156" s="7">
        <f>G156-F156</f>
        <v>334592663.94</v>
      </c>
      <c r="D156" s="7">
        <v>1417100.56</v>
      </c>
      <c r="E156" s="7">
        <v>-336009764.5</v>
      </c>
      <c r="F156" s="7">
        <v>-334592663.94</v>
      </c>
      <c r="G156" s="7">
        <v>0</v>
      </c>
    </row>
    <row r="157" spans="1:7" x14ac:dyDescent="0.3">
      <c r="A157" s="6" t="s">
        <v>290</v>
      </c>
      <c r="B157" s="6" t="s">
        <v>99</v>
      </c>
      <c r="C157" s="7">
        <f>G157-F157</f>
        <v>463516608.62</v>
      </c>
      <c r="D157" s="7">
        <v>1918522</v>
      </c>
      <c r="E157" s="7">
        <v>-476793185.62</v>
      </c>
      <c r="F157" s="7">
        <v>-474874663.62</v>
      </c>
      <c r="G157" s="7">
        <v>-11358055</v>
      </c>
    </row>
    <row r="158" spans="1:7" x14ac:dyDescent="0.3">
      <c r="A158" s="6" t="s">
        <v>291</v>
      </c>
      <c r="B158" s="6" t="s">
        <v>101</v>
      </c>
      <c r="C158" s="7">
        <f>G158-F158</f>
        <v>49675814.009999998</v>
      </c>
      <c r="D158" s="7">
        <v>1092000</v>
      </c>
      <c r="E158" s="7">
        <v>-50767814.009999998</v>
      </c>
      <c r="F158" s="7">
        <v>-49675814.009999998</v>
      </c>
      <c r="G158" s="7">
        <v>0</v>
      </c>
    </row>
    <row r="159" spans="1:7" x14ac:dyDescent="0.3">
      <c r="A159" s="6" t="s">
        <v>292</v>
      </c>
      <c r="B159" s="6" t="s">
        <v>103</v>
      </c>
      <c r="C159" s="7">
        <f>G159-F159</f>
        <v>3278834</v>
      </c>
      <c r="D159" s="7">
        <v>0</v>
      </c>
      <c r="E159" s="7">
        <v>-3278834</v>
      </c>
      <c r="F159" s="7">
        <v>-3278834</v>
      </c>
      <c r="G159" s="7">
        <v>0</v>
      </c>
    </row>
    <row r="160" spans="1:7" x14ac:dyDescent="0.3">
      <c r="A160" s="6" t="s">
        <v>293</v>
      </c>
      <c r="B160" s="6" t="s">
        <v>105</v>
      </c>
      <c r="C160" s="7">
        <f>G160-F160</f>
        <v>10132968.529999999</v>
      </c>
      <c r="D160" s="7">
        <v>42700</v>
      </c>
      <c r="E160" s="7">
        <v>-10175668.529999999</v>
      </c>
      <c r="F160" s="7">
        <v>-10132968.529999999</v>
      </c>
      <c r="G160" s="7">
        <v>0</v>
      </c>
    </row>
    <row r="161" spans="1:7" x14ac:dyDescent="0.3">
      <c r="A161" s="6" t="s">
        <v>294</v>
      </c>
      <c r="B161" s="6" t="s">
        <v>107</v>
      </c>
      <c r="C161" s="7">
        <f>G161-F161</f>
        <v>11317681</v>
      </c>
      <c r="D161" s="7">
        <v>0</v>
      </c>
      <c r="E161" s="7">
        <v>-11317681</v>
      </c>
      <c r="F161" s="7">
        <v>-11317681</v>
      </c>
      <c r="G161" s="7">
        <v>0</v>
      </c>
    </row>
    <row r="162" spans="1:7" x14ac:dyDescent="0.3">
      <c r="A162" s="6" t="s">
        <v>295</v>
      </c>
      <c r="B162" s="6" t="s">
        <v>109</v>
      </c>
      <c r="C162" s="7">
        <f>G162-F162</f>
        <v>2543774.7999999998</v>
      </c>
      <c r="D162" s="7">
        <v>0</v>
      </c>
      <c r="E162" s="7">
        <v>-2543774.7999999998</v>
      </c>
      <c r="F162" s="7">
        <v>-2543774.7999999998</v>
      </c>
      <c r="G162" s="7">
        <v>0</v>
      </c>
    </row>
    <row r="163" spans="1:7" x14ac:dyDescent="0.3">
      <c r="A163" s="6" t="s">
        <v>296</v>
      </c>
      <c r="B163" s="6" t="s">
        <v>111</v>
      </c>
      <c r="C163" s="7">
        <f>G163-F163</f>
        <v>581725718.99000001</v>
      </c>
      <c r="D163" s="7">
        <v>6021758.5999999996</v>
      </c>
      <c r="E163" s="7">
        <v>-693492546.38999999</v>
      </c>
      <c r="F163" s="7">
        <v>-687470787.78999996</v>
      </c>
      <c r="G163" s="7">
        <v>-105745068.8</v>
      </c>
    </row>
    <row r="164" spans="1:7" x14ac:dyDescent="0.3">
      <c r="A164" s="6" t="s">
        <v>297</v>
      </c>
      <c r="B164" s="6" t="s">
        <v>113</v>
      </c>
      <c r="C164" s="7">
        <f>G164-F164</f>
        <v>23713692</v>
      </c>
      <c r="D164" s="7">
        <v>111459</v>
      </c>
      <c r="E164" s="7">
        <v>-28973379</v>
      </c>
      <c r="F164" s="7">
        <v>-28861920</v>
      </c>
      <c r="G164" s="7">
        <v>-5148228</v>
      </c>
    </row>
    <row r="165" spans="1:7" x14ac:dyDescent="0.3">
      <c r="A165" s="6" t="s">
        <v>298</v>
      </c>
      <c r="B165" s="6" t="s">
        <v>115</v>
      </c>
      <c r="C165" s="7">
        <f>G165-F165</f>
        <v>62938494.68</v>
      </c>
      <c r="D165" s="7">
        <v>153251</v>
      </c>
      <c r="E165" s="7">
        <v>-69251414.859999999</v>
      </c>
      <c r="F165" s="7">
        <v>-69098163.859999999</v>
      </c>
      <c r="G165" s="7">
        <v>-6159669.1799999997</v>
      </c>
    </row>
    <row r="166" spans="1:7" x14ac:dyDescent="0.3">
      <c r="A166" s="6" t="s">
        <v>299</v>
      </c>
      <c r="B166" s="6" t="s">
        <v>123</v>
      </c>
      <c r="C166" s="7">
        <f>G166-F166</f>
        <v>591905275.50999999</v>
      </c>
      <c r="D166" s="7">
        <v>1932163.4</v>
      </c>
      <c r="E166" s="7">
        <v>-716541544.90999997</v>
      </c>
      <c r="F166" s="7">
        <v>-714609381.50999999</v>
      </c>
      <c r="G166" s="7">
        <v>-122704106</v>
      </c>
    </row>
    <row r="167" spans="1:7" x14ac:dyDescent="0.3">
      <c r="A167" s="6" t="s">
        <v>300</v>
      </c>
      <c r="B167" s="6" t="s">
        <v>301</v>
      </c>
      <c r="C167" s="7">
        <f>G167-F167</f>
        <v>983497.2</v>
      </c>
      <c r="D167" s="7">
        <v>0</v>
      </c>
      <c r="E167" s="7">
        <v>-983497.2</v>
      </c>
      <c r="F167" s="7">
        <v>-983497.2</v>
      </c>
      <c r="G167" s="7">
        <v>0</v>
      </c>
    </row>
    <row r="168" spans="1:7" x14ac:dyDescent="0.3">
      <c r="A168" s="6" t="s">
        <v>302</v>
      </c>
      <c r="B168" s="6" t="s">
        <v>303</v>
      </c>
      <c r="C168" s="7">
        <f>G168-F168</f>
        <v>8939661.5</v>
      </c>
      <c r="D168" s="7">
        <v>0</v>
      </c>
      <c r="E168" s="7">
        <v>-9895161.5</v>
      </c>
      <c r="F168" s="7">
        <v>-9895161.5</v>
      </c>
      <c r="G168" s="7">
        <v>-955500</v>
      </c>
    </row>
    <row r="169" spans="1:7" x14ac:dyDescent="0.3">
      <c r="A169" s="6" t="s">
        <v>304</v>
      </c>
      <c r="B169" s="6" t="s">
        <v>305</v>
      </c>
      <c r="C169" s="7">
        <f>G169-F169</f>
        <v>8000</v>
      </c>
      <c r="D169" s="7">
        <v>0</v>
      </c>
      <c r="E169" s="7">
        <v>-8000</v>
      </c>
      <c r="F169" s="7">
        <v>-8000</v>
      </c>
      <c r="G169" s="7">
        <v>0</v>
      </c>
    </row>
    <row r="170" spans="1:7" x14ac:dyDescent="0.3">
      <c r="A170" s="6" t="s">
        <v>306</v>
      </c>
      <c r="B170" s="6" t="s">
        <v>307</v>
      </c>
      <c r="C170" s="7">
        <f>G170-F170</f>
        <v>-14873854.66</v>
      </c>
      <c r="D170" s="7">
        <v>17206669.100000001</v>
      </c>
      <c r="E170" s="7">
        <v>-1127196.44</v>
      </c>
      <c r="F170" s="7">
        <v>16079472.66</v>
      </c>
      <c r="G170" s="7">
        <v>1205618</v>
      </c>
    </row>
    <row r="171" spans="1:7" x14ac:dyDescent="0.3">
      <c r="A171" s="6" t="s">
        <v>308</v>
      </c>
      <c r="B171" s="6" t="s">
        <v>309</v>
      </c>
      <c r="C171" s="7">
        <f>G171-F171</f>
        <v>76760317.150000006</v>
      </c>
      <c r="D171" s="7">
        <v>0</v>
      </c>
      <c r="E171" s="7">
        <v>-76760317.150000006</v>
      </c>
      <c r="F171" s="7">
        <v>-76760317.150000006</v>
      </c>
      <c r="G171" s="7">
        <v>0</v>
      </c>
    </row>
    <row r="172" spans="1:7" x14ac:dyDescent="0.3">
      <c r="A172" s="6" t="s">
        <v>310</v>
      </c>
      <c r="B172" s="6" t="s">
        <v>117</v>
      </c>
      <c r="C172" s="7">
        <f>G172-F172</f>
        <v>741955</v>
      </c>
      <c r="D172" s="7">
        <v>80170</v>
      </c>
      <c r="E172" s="7">
        <v>-822125</v>
      </c>
      <c r="F172" s="7">
        <v>-741955</v>
      </c>
      <c r="G172" s="7">
        <v>0</v>
      </c>
    </row>
    <row r="173" spans="1:7" x14ac:dyDescent="0.3">
      <c r="A173" s="6" t="s">
        <v>311</v>
      </c>
      <c r="B173" s="6" t="s">
        <v>312</v>
      </c>
      <c r="C173" s="7">
        <f>G173-F173</f>
        <v>8000</v>
      </c>
      <c r="D173" s="7">
        <v>0</v>
      </c>
      <c r="E173" s="7">
        <v>-8000</v>
      </c>
      <c r="F173" s="7">
        <v>-8000</v>
      </c>
      <c r="G173" s="7">
        <v>0</v>
      </c>
    </row>
    <row r="174" spans="1:7" x14ac:dyDescent="0.3">
      <c r="A174" s="6" t="s">
        <v>313</v>
      </c>
      <c r="B174" s="6" t="s">
        <v>121</v>
      </c>
      <c r="C174" s="7">
        <f>G174-F174</f>
        <v>2800000</v>
      </c>
      <c r="D174" s="7">
        <v>0</v>
      </c>
      <c r="E174" s="7">
        <v>-2800000</v>
      </c>
      <c r="F174" s="7">
        <v>-2800000</v>
      </c>
      <c r="G174" s="7">
        <v>0</v>
      </c>
    </row>
    <row r="175" spans="1:7" x14ac:dyDescent="0.3">
      <c r="A175" s="6" t="s">
        <v>314</v>
      </c>
      <c r="B175" s="6" t="s">
        <v>125</v>
      </c>
      <c r="C175" s="7">
        <f>G175-F175</f>
        <v>39819615.5</v>
      </c>
      <c r="D175" s="7">
        <v>0</v>
      </c>
      <c r="E175" s="7">
        <v>-48954105.5</v>
      </c>
      <c r="F175" s="7">
        <v>-48954105.5</v>
      </c>
      <c r="G175" s="7">
        <v>-9134490</v>
      </c>
    </row>
    <row r="176" spans="1:7" x14ac:dyDescent="0.3">
      <c r="A176" s="6" t="s">
        <v>315</v>
      </c>
      <c r="B176" s="6" t="s">
        <v>127</v>
      </c>
      <c r="C176" s="7">
        <f>G176-F176</f>
        <v>500000</v>
      </c>
      <c r="D176" s="7">
        <v>0</v>
      </c>
      <c r="E176" s="7">
        <v>-500000</v>
      </c>
      <c r="F176" s="7">
        <v>-500000</v>
      </c>
      <c r="G176" s="7">
        <v>0</v>
      </c>
    </row>
    <row r="177" spans="1:7" x14ac:dyDescent="0.3">
      <c r="A177" s="6" t="s">
        <v>316</v>
      </c>
      <c r="B177" s="6" t="s">
        <v>317</v>
      </c>
      <c r="C177" s="7">
        <f>G177-F177</f>
        <v>10491280</v>
      </c>
      <c r="D177" s="7">
        <v>0</v>
      </c>
      <c r="E177" s="7">
        <v>-12929420</v>
      </c>
      <c r="F177" s="7">
        <v>-12929420</v>
      </c>
      <c r="G177" s="7">
        <v>-2438140</v>
      </c>
    </row>
    <row r="178" spans="1:7" x14ac:dyDescent="0.3">
      <c r="A178" s="6" t="s">
        <v>318</v>
      </c>
      <c r="B178" s="6" t="s">
        <v>131</v>
      </c>
      <c r="C178" s="7">
        <f>G178-F178</f>
        <v>5244877</v>
      </c>
      <c r="D178" s="7">
        <v>0</v>
      </c>
      <c r="E178" s="7">
        <v>-7032877</v>
      </c>
      <c r="F178" s="7">
        <v>-7032877</v>
      </c>
      <c r="G178" s="7">
        <v>-1788000</v>
      </c>
    </row>
    <row r="179" spans="1:7" x14ac:dyDescent="0.3">
      <c r="A179" s="6" t="s">
        <v>319</v>
      </c>
      <c r="B179" s="6" t="s">
        <v>133</v>
      </c>
      <c r="C179" s="7">
        <f>G179-F179</f>
        <v>6329584</v>
      </c>
      <c r="D179" s="7">
        <v>0</v>
      </c>
      <c r="E179" s="7">
        <v>-8514584</v>
      </c>
      <c r="F179" s="7">
        <v>-8514584</v>
      </c>
      <c r="G179" s="7">
        <v>-2185000</v>
      </c>
    </row>
    <row r="180" spans="1:7" x14ac:dyDescent="0.3">
      <c r="A180" s="6" t="s">
        <v>320</v>
      </c>
      <c r="B180" s="6" t="s">
        <v>135</v>
      </c>
      <c r="C180" s="7">
        <f>G180-F180</f>
        <v>1875402</v>
      </c>
      <c r="D180" s="7">
        <v>0</v>
      </c>
      <c r="E180" s="7">
        <v>-1875402</v>
      </c>
      <c r="F180" s="7">
        <v>-1875402</v>
      </c>
      <c r="G180" s="7">
        <v>0</v>
      </c>
    </row>
    <row r="181" spans="1:7" x14ac:dyDescent="0.3">
      <c r="A181" s="6" t="s">
        <v>321</v>
      </c>
      <c r="B181" s="6" t="s">
        <v>137</v>
      </c>
      <c r="C181" s="7">
        <f>G181-F181</f>
        <v>561950</v>
      </c>
      <c r="D181" s="7">
        <v>0</v>
      </c>
      <c r="E181" s="7">
        <v>-561950</v>
      </c>
      <c r="F181" s="7">
        <v>-561950</v>
      </c>
      <c r="G181" s="7">
        <v>0</v>
      </c>
    </row>
    <row r="182" spans="1:7" x14ac:dyDescent="0.3">
      <c r="A182" s="6" t="s">
        <v>322</v>
      </c>
      <c r="B182" s="6" t="s">
        <v>139</v>
      </c>
      <c r="C182" s="7">
        <f>G182-F182</f>
        <v>2000000</v>
      </c>
      <c r="D182" s="7">
        <v>0</v>
      </c>
      <c r="E182" s="7">
        <v>-2000000</v>
      </c>
      <c r="F182" s="7">
        <v>-2000000</v>
      </c>
      <c r="G182" s="7">
        <v>0</v>
      </c>
    </row>
    <row r="183" spans="1:7" x14ac:dyDescent="0.3">
      <c r="A183" s="6" t="s">
        <v>323</v>
      </c>
      <c r="B183" s="6" t="s">
        <v>141</v>
      </c>
      <c r="C183" s="7">
        <f>G183-F183</f>
        <v>560572</v>
      </c>
      <c r="D183" s="7">
        <v>0</v>
      </c>
      <c r="E183" s="7">
        <v>-560572</v>
      </c>
      <c r="F183" s="7">
        <v>-560572</v>
      </c>
      <c r="G183" s="7">
        <v>0</v>
      </c>
    </row>
    <row r="184" spans="1:7" x14ac:dyDescent="0.3">
      <c r="A184" s="6" t="s">
        <v>324</v>
      </c>
      <c r="B184" s="6" t="s">
        <v>143</v>
      </c>
      <c r="C184" s="7">
        <f>G184-F184</f>
        <v>234558</v>
      </c>
      <c r="D184" s="7">
        <v>0</v>
      </c>
      <c r="E184" s="7">
        <v>-234558</v>
      </c>
      <c r="F184" s="7">
        <v>-234558</v>
      </c>
      <c r="G184" s="7">
        <v>0</v>
      </c>
    </row>
    <row r="185" spans="1:7" x14ac:dyDescent="0.3">
      <c r="A185" s="6" t="s">
        <v>325</v>
      </c>
      <c r="B185" s="6" t="s">
        <v>145</v>
      </c>
      <c r="C185" s="7">
        <f>G185-F185</f>
        <v>714016355</v>
      </c>
      <c r="D185" s="7">
        <v>778638</v>
      </c>
      <c r="E185" s="7">
        <v>-863749034.75</v>
      </c>
      <c r="F185" s="7">
        <v>-862970396.75</v>
      </c>
      <c r="G185" s="7">
        <v>-148954041.75</v>
      </c>
    </row>
    <row r="186" spans="1:7" x14ac:dyDescent="0.3">
      <c r="A186" s="6" t="s">
        <v>326</v>
      </c>
      <c r="B186" s="6" t="s">
        <v>147</v>
      </c>
      <c r="C186" s="7">
        <f>G186-F186</f>
        <v>1595175</v>
      </c>
      <c r="D186" s="7">
        <v>29700</v>
      </c>
      <c r="E186" s="7">
        <v>-1624875</v>
      </c>
      <c r="F186" s="7">
        <v>-1595175</v>
      </c>
      <c r="G186" s="7">
        <v>0</v>
      </c>
    </row>
    <row r="187" spans="1:7" x14ac:dyDescent="0.3">
      <c r="A187" s="6" t="s">
        <v>327</v>
      </c>
      <c r="B187" s="6" t="s">
        <v>149</v>
      </c>
      <c r="C187" s="7">
        <f>G187-F187</f>
        <v>2836050</v>
      </c>
      <c r="D187" s="7">
        <v>64350</v>
      </c>
      <c r="E187" s="7">
        <v>-2900400</v>
      </c>
      <c r="F187" s="7">
        <v>-2836050</v>
      </c>
      <c r="G187" s="7">
        <v>0</v>
      </c>
    </row>
    <row r="188" spans="1:7" x14ac:dyDescent="0.3">
      <c r="A188" s="6" t="s">
        <v>328</v>
      </c>
      <c r="B188" s="6" t="s">
        <v>151</v>
      </c>
      <c r="C188" s="7">
        <f>G188-F188</f>
        <v>373000</v>
      </c>
      <c r="D188" s="7">
        <v>0</v>
      </c>
      <c r="E188" s="7">
        <v>-373000</v>
      </c>
      <c r="F188" s="7">
        <v>-373000</v>
      </c>
      <c r="G188" s="7">
        <v>0</v>
      </c>
    </row>
    <row r="189" spans="1:7" x14ac:dyDescent="0.3">
      <c r="A189" s="6" t="s">
        <v>329</v>
      </c>
      <c r="B189" s="6" t="s">
        <v>153</v>
      </c>
      <c r="C189" s="7">
        <f>G189-F189</f>
        <v>426000</v>
      </c>
      <c r="D189" s="7">
        <v>0</v>
      </c>
      <c r="E189" s="7">
        <v>-426000</v>
      </c>
      <c r="F189" s="7">
        <v>-426000</v>
      </c>
      <c r="G189" s="7">
        <v>0</v>
      </c>
    </row>
    <row r="190" spans="1:7" x14ac:dyDescent="0.3">
      <c r="A190" s="6" t="s">
        <v>330</v>
      </c>
      <c r="B190" s="6" t="s">
        <v>155</v>
      </c>
      <c r="C190" s="7">
        <f>G190-F190</f>
        <v>377000</v>
      </c>
      <c r="D190" s="7">
        <v>0</v>
      </c>
      <c r="E190" s="7">
        <v>-377000</v>
      </c>
      <c r="F190" s="7">
        <v>-377000</v>
      </c>
      <c r="G190" s="7">
        <v>0</v>
      </c>
    </row>
    <row r="191" spans="1:7" x14ac:dyDescent="0.3">
      <c r="A191" s="6" t="s">
        <v>331</v>
      </c>
      <c r="B191" s="6" t="s">
        <v>157</v>
      </c>
      <c r="C191" s="7">
        <f>G191-F191</f>
        <v>1892726</v>
      </c>
      <c r="D191" s="7">
        <v>0</v>
      </c>
      <c r="E191" s="7">
        <v>-2331496</v>
      </c>
      <c r="F191" s="7">
        <v>-2331496</v>
      </c>
      <c r="G191" s="7">
        <v>-438770</v>
      </c>
    </row>
    <row r="192" spans="1:7" x14ac:dyDescent="0.3">
      <c r="A192" s="6" t="s">
        <v>332</v>
      </c>
      <c r="B192" s="6" t="s">
        <v>333</v>
      </c>
      <c r="C192" s="7">
        <f>G192-F192</f>
        <v>4052875</v>
      </c>
      <c r="D192" s="7">
        <v>0</v>
      </c>
      <c r="E192" s="7">
        <v>-4930125</v>
      </c>
      <c r="F192" s="7">
        <v>-4930125</v>
      </c>
      <c r="G192" s="7">
        <v>-877250</v>
      </c>
    </row>
    <row r="193" spans="1:7" x14ac:dyDescent="0.3">
      <c r="A193" s="6" t="s">
        <v>334</v>
      </c>
      <c r="B193" s="6" t="s">
        <v>161</v>
      </c>
      <c r="C193" s="7">
        <f>G193-F193</f>
        <v>1123300</v>
      </c>
      <c r="D193" s="7">
        <v>0</v>
      </c>
      <c r="E193" s="7">
        <v>-1123300</v>
      </c>
      <c r="F193" s="7">
        <v>-1123300</v>
      </c>
      <c r="G193" s="7">
        <v>0</v>
      </c>
    </row>
    <row r="194" spans="1:7" x14ac:dyDescent="0.3">
      <c r="A194" s="6" t="s">
        <v>335</v>
      </c>
      <c r="B194" s="6" t="s">
        <v>163</v>
      </c>
      <c r="C194" s="7">
        <f>G194-F194</f>
        <v>856464</v>
      </c>
      <c r="D194" s="7">
        <v>0</v>
      </c>
      <c r="E194" s="7">
        <v>-856464</v>
      </c>
      <c r="F194" s="7">
        <v>-856464</v>
      </c>
      <c r="G194" s="7">
        <v>0</v>
      </c>
    </row>
    <row r="195" spans="1:7" x14ac:dyDescent="0.3">
      <c r="A195" s="6" t="s">
        <v>336</v>
      </c>
      <c r="B195" s="6" t="s">
        <v>165</v>
      </c>
      <c r="C195" s="7">
        <f>G195-F195</f>
        <v>308763</v>
      </c>
      <c r="D195" s="7">
        <v>182700</v>
      </c>
      <c r="E195" s="7">
        <v>-308763</v>
      </c>
      <c r="F195" s="7">
        <v>-126063</v>
      </c>
      <c r="G195" s="7">
        <v>182700</v>
      </c>
    </row>
    <row r="196" spans="1:7" x14ac:dyDescent="0.3">
      <c r="A196" s="6" t="s">
        <v>337</v>
      </c>
      <c r="B196" s="6" t="s">
        <v>167</v>
      </c>
      <c r="C196" s="7">
        <f>G196-F196</f>
        <v>119660</v>
      </c>
      <c r="D196" s="7">
        <v>0</v>
      </c>
      <c r="E196" s="7">
        <v>-119660</v>
      </c>
      <c r="F196" s="7">
        <v>-119660</v>
      </c>
      <c r="G196" s="7">
        <v>0</v>
      </c>
    </row>
    <row r="197" spans="1:7" x14ac:dyDescent="0.3">
      <c r="A197" s="6" t="s">
        <v>338</v>
      </c>
      <c r="B197" s="6" t="s">
        <v>169</v>
      </c>
      <c r="C197" s="7">
        <f>G197-F197</f>
        <v>539970</v>
      </c>
      <c r="D197" s="7">
        <v>0</v>
      </c>
      <c r="E197" s="7">
        <v>-539970</v>
      </c>
      <c r="F197" s="7">
        <v>-539970</v>
      </c>
      <c r="G197" s="7">
        <v>0</v>
      </c>
    </row>
    <row r="198" spans="1:7" x14ac:dyDescent="0.3">
      <c r="A198" s="6" t="s">
        <v>339</v>
      </c>
      <c r="B198" s="6" t="s">
        <v>171</v>
      </c>
      <c r="C198" s="7">
        <f>G198-F198</f>
        <v>271660</v>
      </c>
      <c r="D198" s="7">
        <v>127160</v>
      </c>
      <c r="E198" s="7">
        <v>-271660</v>
      </c>
      <c r="F198" s="7">
        <v>-144500</v>
      </c>
      <c r="G198" s="7">
        <v>127160</v>
      </c>
    </row>
    <row r="199" spans="1:7" x14ac:dyDescent="0.3">
      <c r="A199" s="6" t="s">
        <v>340</v>
      </c>
      <c r="B199" s="6" t="s">
        <v>173</v>
      </c>
      <c r="C199" s="7">
        <f>G199-F199</f>
        <v>0</v>
      </c>
      <c r="D199" s="7">
        <v>0</v>
      </c>
      <c r="E199" s="7">
        <v>-27975001</v>
      </c>
      <c r="F199" s="7">
        <v>-27975001</v>
      </c>
      <c r="G199" s="7">
        <v>-27975001</v>
      </c>
    </row>
    <row r="200" spans="1:7" x14ac:dyDescent="0.3">
      <c r="A200" s="6" t="s">
        <v>341</v>
      </c>
      <c r="B200" s="6" t="s">
        <v>252</v>
      </c>
      <c r="C200" s="7">
        <f>G200-F200</f>
        <v>-229771523.24000001</v>
      </c>
      <c r="D200" s="7">
        <v>301672775.83999997</v>
      </c>
      <c r="E200" s="7">
        <v>-75929676.599999994</v>
      </c>
      <c r="F200" s="7">
        <v>225743099.24000001</v>
      </c>
      <c r="G200" s="7">
        <v>-4028424</v>
      </c>
    </row>
    <row r="201" spans="1:7" x14ac:dyDescent="0.3">
      <c r="A201" s="6" t="s">
        <v>342</v>
      </c>
      <c r="B201" s="6" t="s">
        <v>39</v>
      </c>
      <c r="C201" s="7">
        <f>G201-F201</f>
        <v>-405542897.5</v>
      </c>
      <c r="D201" s="7">
        <v>498081869.14999998</v>
      </c>
      <c r="E201" s="7">
        <v>-44820224.560000002</v>
      </c>
      <c r="F201" s="7">
        <v>453261644.58999997</v>
      </c>
      <c r="G201" s="7">
        <v>47718747.090000004</v>
      </c>
    </row>
    <row r="202" spans="1:7" x14ac:dyDescent="0.3">
      <c r="A202" s="6" t="s">
        <v>343</v>
      </c>
      <c r="B202" s="6" t="s">
        <v>41</v>
      </c>
      <c r="C202" s="7">
        <f>G202-F202</f>
        <v>-394558109.95999998</v>
      </c>
      <c r="D202" s="7">
        <v>423457259.95999998</v>
      </c>
      <c r="E202" s="7">
        <v>-4863160</v>
      </c>
      <c r="F202" s="7">
        <v>418594099.95999998</v>
      </c>
      <c r="G202" s="7">
        <v>24035990</v>
      </c>
    </row>
    <row r="203" spans="1:7" x14ac:dyDescent="0.3">
      <c r="A203" s="6" t="s">
        <v>344</v>
      </c>
      <c r="B203" s="6" t="s">
        <v>43</v>
      </c>
      <c r="C203" s="7">
        <f>G203-F203</f>
        <v>-540000</v>
      </c>
      <c r="D203" s="7">
        <v>1600000</v>
      </c>
      <c r="E203" s="7">
        <v>0</v>
      </c>
      <c r="F203" s="7">
        <v>1600000</v>
      </c>
      <c r="G203" s="7">
        <v>1060000</v>
      </c>
    </row>
    <row r="204" spans="1:7" x14ac:dyDescent="0.3">
      <c r="A204" s="6" t="s">
        <v>345</v>
      </c>
      <c r="B204" s="6" t="s">
        <v>257</v>
      </c>
      <c r="C204" s="7">
        <f>G204-F204</f>
        <v>-121963.6</v>
      </c>
      <c r="D204" s="7">
        <v>121963.6</v>
      </c>
      <c r="E204" s="7">
        <v>0</v>
      </c>
      <c r="F204" s="7">
        <v>121963.6</v>
      </c>
      <c r="G204" s="7">
        <v>0</v>
      </c>
    </row>
    <row r="205" spans="1:7" x14ac:dyDescent="0.3">
      <c r="A205" s="6" t="s">
        <v>346</v>
      </c>
      <c r="B205" s="6" t="s">
        <v>259</v>
      </c>
      <c r="C205" s="7">
        <f>G205-F205</f>
        <v>-175031624.09999999</v>
      </c>
      <c r="D205" s="7">
        <v>195861212.75</v>
      </c>
      <c r="E205" s="7">
        <v>-2585078.65</v>
      </c>
      <c r="F205" s="7">
        <v>193276134.09999999</v>
      </c>
      <c r="G205" s="7">
        <v>18244510</v>
      </c>
    </row>
    <row r="206" spans="1:7" x14ac:dyDescent="0.3">
      <c r="A206" s="6" t="s">
        <v>347</v>
      </c>
      <c r="B206" s="6" t="s">
        <v>348</v>
      </c>
      <c r="C206" s="7">
        <f>G206-F206</f>
        <v>-463334074.29999995</v>
      </c>
      <c r="D206" s="7">
        <v>533213361.69999999</v>
      </c>
      <c r="E206" s="7">
        <v>-3554213.8</v>
      </c>
      <c r="F206" s="7">
        <v>529659147.89999998</v>
      </c>
      <c r="G206" s="7">
        <v>66325073.600000001</v>
      </c>
    </row>
    <row r="207" spans="1:7" x14ac:dyDescent="0.3">
      <c r="A207" s="6" t="s">
        <v>349</v>
      </c>
      <c r="B207" s="6" t="s">
        <v>49</v>
      </c>
      <c r="C207" s="7">
        <f>G207-F207</f>
        <v>-186315655.59999999</v>
      </c>
      <c r="D207" s="7">
        <v>188404499.28</v>
      </c>
      <c r="E207" s="7">
        <v>-2088843.68</v>
      </c>
      <c r="F207" s="7">
        <v>186315655.59999999</v>
      </c>
      <c r="G207" s="7">
        <v>0</v>
      </c>
    </row>
    <row r="208" spans="1:7" x14ac:dyDescent="0.3">
      <c r="A208" s="6" t="s">
        <v>350</v>
      </c>
      <c r="B208" s="6" t="s">
        <v>51</v>
      </c>
      <c r="C208" s="7">
        <f>G208-F208</f>
        <v>-816315575.36000001</v>
      </c>
      <c r="D208" s="7">
        <v>1018626210.71</v>
      </c>
      <c r="E208" s="7">
        <v>-93006335.349999994</v>
      </c>
      <c r="F208" s="7">
        <v>925619875.36000001</v>
      </c>
      <c r="G208" s="7">
        <v>109304300</v>
      </c>
    </row>
    <row r="209" spans="1:7" x14ac:dyDescent="0.3">
      <c r="A209" s="6" t="s">
        <v>351</v>
      </c>
      <c r="B209" s="6" t="s">
        <v>53</v>
      </c>
      <c r="C209" s="7">
        <f>G209-F209</f>
        <v>-4831841.5</v>
      </c>
      <c r="D209" s="7">
        <v>4831841.5</v>
      </c>
      <c r="E209" s="7">
        <v>0</v>
      </c>
      <c r="F209" s="7">
        <v>4831841.5</v>
      </c>
      <c r="G209" s="7">
        <v>0</v>
      </c>
    </row>
    <row r="210" spans="1:7" x14ac:dyDescent="0.3">
      <c r="A210" s="6" t="s">
        <v>352</v>
      </c>
      <c r="B210" s="6" t="s">
        <v>55</v>
      </c>
      <c r="C210" s="7">
        <f>G210-F210</f>
        <v>-571706438</v>
      </c>
      <c r="D210" s="7">
        <v>605227509</v>
      </c>
      <c r="E210" s="7">
        <v>-4533021</v>
      </c>
      <c r="F210" s="7">
        <v>600694488</v>
      </c>
      <c r="G210" s="7">
        <v>28988050</v>
      </c>
    </row>
    <row r="211" spans="1:7" x14ac:dyDescent="0.3">
      <c r="A211" s="6" t="s">
        <v>353</v>
      </c>
      <c r="B211" s="6" t="s">
        <v>57</v>
      </c>
      <c r="C211" s="7">
        <f>G211-F211</f>
        <v>-3722250</v>
      </c>
      <c r="D211" s="7">
        <v>3897575</v>
      </c>
      <c r="E211" s="7">
        <v>-168325</v>
      </c>
      <c r="F211" s="7">
        <v>3729250</v>
      </c>
      <c r="G211" s="7">
        <v>7000</v>
      </c>
    </row>
    <row r="212" spans="1:7" x14ac:dyDescent="0.3">
      <c r="A212" s="6" t="s">
        <v>354</v>
      </c>
      <c r="B212" s="6" t="s">
        <v>59</v>
      </c>
      <c r="C212" s="7">
        <f>G212-F212</f>
        <v>-153489519.65000001</v>
      </c>
      <c r="D212" s="7">
        <v>182742223.65000001</v>
      </c>
      <c r="E212" s="7">
        <v>-4669752</v>
      </c>
      <c r="F212" s="7">
        <v>178072471.65000001</v>
      </c>
      <c r="G212" s="7">
        <v>24582952</v>
      </c>
    </row>
    <row r="213" spans="1:7" x14ac:dyDescent="0.3">
      <c r="A213" s="6" t="s">
        <v>355</v>
      </c>
      <c r="B213" s="6" t="s">
        <v>61</v>
      </c>
      <c r="C213" s="7">
        <f>G213-F213</f>
        <v>-24208811.52</v>
      </c>
      <c r="D213" s="7">
        <v>24998593.02</v>
      </c>
      <c r="E213" s="7">
        <v>-789781.5</v>
      </c>
      <c r="F213" s="7">
        <v>24208811.52</v>
      </c>
      <c r="G213" s="7">
        <v>0</v>
      </c>
    </row>
    <row r="214" spans="1:7" x14ac:dyDescent="0.3">
      <c r="A214" s="6" t="s">
        <v>356</v>
      </c>
      <c r="B214" s="6" t="s">
        <v>63</v>
      </c>
      <c r="C214" s="7">
        <f>G214-F214</f>
        <v>-14010069.5</v>
      </c>
      <c r="D214" s="7">
        <v>14174968.449999999</v>
      </c>
      <c r="E214" s="7">
        <v>-164898.95000000001</v>
      </c>
      <c r="F214" s="7">
        <v>14010069.5</v>
      </c>
      <c r="G214" s="7">
        <v>0</v>
      </c>
    </row>
    <row r="215" spans="1:7" x14ac:dyDescent="0.3">
      <c r="A215" s="6" t="s">
        <v>357</v>
      </c>
      <c r="B215" s="6" t="s">
        <v>65</v>
      </c>
      <c r="C215" s="7">
        <f>G215-F215</f>
        <v>-691480</v>
      </c>
      <c r="D215" s="7">
        <v>703200</v>
      </c>
      <c r="E215" s="7">
        <v>-11720</v>
      </c>
      <c r="F215" s="7">
        <v>691480</v>
      </c>
      <c r="G215" s="7">
        <v>0</v>
      </c>
    </row>
    <row r="216" spans="1:7" x14ac:dyDescent="0.3">
      <c r="A216" s="6" t="s">
        <v>358</v>
      </c>
      <c r="B216" s="6" t="s">
        <v>67</v>
      </c>
      <c r="C216" s="7">
        <f>G216-F216</f>
        <v>-23077955.300000001</v>
      </c>
      <c r="D216" s="7">
        <v>29336268.18</v>
      </c>
      <c r="E216" s="7">
        <v>-174330</v>
      </c>
      <c r="F216" s="7">
        <v>29161938.18</v>
      </c>
      <c r="G216" s="7">
        <v>6083982.8799999999</v>
      </c>
    </row>
    <row r="217" spans="1:7" x14ac:dyDescent="0.3">
      <c r="A217" s="6" t="s">
        <v>359</v>
      </c>
      <c r="B217" s="6" t="s">
        <v>69</v>
      </c>
      <c r="C217" s="7">
        <f>G217-F217</f>
        <v>-37287535</v>
      </c>
      <c r="D217" s="7">
        <v>40866384</v>
      </c>
      <c r="E217" s="7">
        <v>-286075</v>
      </c>
      <c r="F217" s="7">
        <v>40580309</v>
      </c>
      <c r="G217" s="7">
        <v>3292774</v>
      </c>
    </row>
    <row r="218" spans="1:7" x14ac:dyDescent="0.3">
      <c r="A218" s="6" t="s">
        <v>360</v>
      </c>
      <c r="B218" s="6" t="s">
        <v>71</v>
      </c>
      <c r="C218" s="7">
        <f>G218-F218</f>
        <v>-2278346.6</v>
      </c>
      <c r="D218" s="7">
        <v>3639301.66</v>
      </c>
      <c r="E218" s="7">
        <v>-13960.06</v>
      </c>
      <c r="F218" s="7">
        <v>3625341.6</v>
      </c>
      <c r="G218" s="7">
        <v>1346995</v>
      </c>
    </row>
    <row r="219" spans="1:7" x14ac:dyDescent="0.3">
      <c r="A219" s="6" t="s">
        <v>361</v>
      </c>
      <c r="B219" s="6" t="s">
        <v>73</v>
      </c>
      <c r="C219" s="7">
        <f>G219-F219</f>
        <v>-99298146.849999994</v>
      </c>
      <c r="D219" s="7">
        <v>107221041.01000001</v>
      </c>
      <c r="E219" s="7">
        <v>-559980.38</v>
      </c>
      <c r="F219" s="7">
        <v>106661060.63</v>
      </c>
      <c r="G219" s="7">
        <v>7362913.7800000003</v>
      </c>
    </row>
    <row r="220" spans="1:7" x14ac:dyDescent="0.3">
      <c r="A220" s="6" t="s">
        <v>362</v>
      </c>
      <c r="B220" s="6" t="s">
        <v>75</v>
      </c>
      <c r="C220" s="7">
        <f>G220-F220</f>
        <v>-9437000</v>
      </c>
      <c r="D220" s="7">
        <v>9447000</v>
      </c>
      <c r="E220" s="7">
        <v>-10000</v>
      </c>
      <c r="F220" s="7">
        <v>9437000</v>
      </c>
      <c r="G220" s="7">
        <v>0</v>
      </c>
    </row>
    <row r="221" spans="1:7" x14ac:dyDescent="0.3">
      <c r="A221" s="6" t="s">
        <v>363</v>
      </c>
      <c r="B221" s="6" t="s">
        <v>77</v>
      </c>
      <c r="C221" s="7">
        <f>G221-F221</f>
        <v>-2958200</v>
      </c>
      <c r="D221" s="7">
        <v>2958200</v>
      </c>
      <c r="E221" s="7">
        <v>0</v>
      </c>
      <c r="F221" s="7">
        <v>2958200</v>
      </c>
      <c r="G221" s="7">
        <v>0</v>
      </c>
    </row>
    <row r="222" spans="1:7" x14ac:dyDescent="0.3">
      <c r="A222" s="6" t="s">
        <v>364</v>
      </c>
      <c r="B222" s="6" t="s">
        <v>79</v>
      </c>
      <c r="C222" s="7">
        <f>G222-F222</f>
        <v>-11748677</v>
      </c>
      <c r="D222" s="7">
        <v>11768177</v>
      </c>
      <c r="E222" s="7">
        <v>-19500</v>
      </c>
      <c r="F222" s="7">
        <v>11748677</v>
      </c>
      <c r="G222" s="7">
        <v>0</v>
      </c>
    </row>
    <row r="223" spans="1:7" x14ac:dyDescent="0.3">
      <c r="A223" s="6" t="s">
        <v>365</v>
      </c>
      <c r="B223" s="6" t="s">
        <v>81</v>
      </c>
      <c r="C223" s="7">
        <f>G223-F223</f>
        <v>-1486500</v>
      </c>
      <c r="D223" s="7">
        <v>1488000</v>
      </c>
      <c r="E223" s="7">
        <v>-1500</v>
      </c>
      <c r="F223" s="7">
        <v>1486500</v>
      </c>
      <c r="G223" s="7">
        <v>0</v>
      </c>
    </row>
    <row r="224" spans="1:7" x14ac:dyDescent="0.3">
      <c r="A224" s="6" t="s">
        <v>366</v>
      </c>
      <c r="B224" s="6" t="s">
        <v>83</v>
      </c>
      <c r="C224" s="7">
        <f>G224-F224</f>
        <v>-199426120</v>
      </c>
      <c r="D224" s="7">
        <v>202784450</v>
      </c>
      <c r="E224" s="7">
        <v>-15190</v>
      </c>
      <c r="F224" s="7">
        <v>202769260</v>
      </c>
      <c r="G224" s="7">
        <v>3343140</v>
      </c>
    </row>
    <row r="225" spans="1:7" x14ac:dyDescent="0.3">
      <c r="A225" s="6" t="s">
        <v>367</v>
      </c>
      <c r="B225" s="6" t="s">
        <v>85</v>
      </c>
      <c r="C225" s="7">
        <f>G225-F225</f>
        <v>-5226611</v>
      </c>
      <c r="D225" s="7">
        <v>6189886</v>
      </c>
      <c r="E225" s="7">
        <v>-39275</v>
      </c>
      <c r="F225" s="7">
        <v>6150611</v>
      </c>
      <c r="G225" s="7">
        <v>924000</v>
      </c>
    </row>
    <row r="226" spans="1:7" x14ac:dyDescent="0.3">
      <c r="A226" s="6" t="s">
        <v>368</v>
      </c>
      <c r="B226" s="6" t="s">
        <v>87</v>
      </c>
      <c r="C226" s="7">
        <f>G226-F226</f>
        <v>-981596</v>
      </c>
      <c r="D226" s="7">
        <v>1024796</v>
      </c>
      <c r="E226" s="7">
        <v>-43200</v>
      </c>
      <c r="F226" s="7">
        <v>981596</v>
      </c>
      <c r="G226" s="7">
        <v>0</v>
      </c>
    </row>
    <row r="227" spans="1:7" x14ac:dyDescent="0.3">
      <c r="A227" s="6" t="s">
        <v>369</v>
      </c>
      <c r="B227" s="6" t="s">
        <v>89</v>
      </c>
      <c r="C227" s="7">
        <f>G227-F227</f>
        <v>-6907375</v>
      </c>
      <c r="D227" s="7">
        <v>9506750</v>
      </c>
      <c r="E227" s="7">
        <v>-1248500</v>
      </c>
      <c r="F227" s="7">
        <v>8258250</v>
      </c>
      <c r="G227" s="7">
        <v>1350875</v>
      </c>
    </row>
    <row r="228" spans="1:7" x14ac:dyDescent="0.3">
      <c r="A228" s="6" t="s">
        <v>370</v>
      </c>
      <c r="B228" s="6" t="s">
        <v>91</v>
      </c>
      <c r="C228" s="7">
        <f>G228-F228</f>
        <v>0</v>
      </c>
      <c r="D228" s="7">
        <v>15500</v>
      </c>
      <c r="E228" s="7">
        <v>-15500</v>
      </c>
      <c r="F228" s="7">
        <v>0</v>
      </c>
      <c r="G228" s="7">
        <v>0</v>
      </c>
    </row>
    <row r="229" spans="1:7" x14ac:dyDescent="0.3">
      <c r="A229" s="6" t="s">
        <v>371</v>
      </c>
      <c r="B229" s="6" t="s">
        <v>93</v>
      </c>
      <c r="C229" s="7">
        <f>G229-F229</f>
        <v>-45028380</v>
      </c>
      <c r="D229" s="7">
        <v>45473750</v>
      </c>
      <c r="E229" s="7">
        <v>-445370</v>
      </c>
      <c r="F229" s="7">
        <v>45028380</v>
      </c>
      <c r="G229" s="7">
        <v>0</v>
      </c>
    </row>
    <row r="230" spans="1:7" x14ac:dyDescent="0.3">
      <c r="A230" s="6" t="s">
        <v>372</v>
      </c>
      <c r="B230" s="6" t="s">
        <v>95</v>
      </c>
      <c r="C230" s="7">
        <f>G230-F230</f>
        <v>-102679565.09999999</v>
      </c>
      <c r="D230" s="7">
        <v>115785791.84</v>
      </c>
      <c r="E230" s="7">
        <v>-817026.74</v>
      </c>
      <c r="F230" s="7">
        <v>114968765.09999999</v>
      </c>
      <c r="G230" s="7">
        <v>12289200</v>
      </c>
    </row>
    <row r="231" spans="1:7" x14ac:dyDescent="0.3">
      <c r="A231" s="6" t="s">
        <v>373</v>
      </c>
      <c r="B231" s="6" t="s">
        <v>97</v>
      </c>
      <c r="C231" s="7">
        <f>G231-F231</f>
        <v>-259740945</v>
      </c>
      <c r="D231" s="7">
        <v>283070812.80000001</v>
      </c>
      <c r="E231" s="7">
        <v>-23329867.800000001</v>
      </c>
      <c r="F231" s="7">
        <v>259740945</v>
      </c>
      <c r="G231" s="7">
        <v>0</v>
      </c>
    </row>
    <row r="232" spans="1:7" x14ac:dyDescent="0.3">
      <c r="A232" s="6" t="s">
        <v>374</v>
      </c>
      <c r="B232" s="6" t="s">
        <v>99</v>
      </c>
      <c r="C232" s="7">
        <f>G232-F232</f>
        <v>-418225808.5</v>
      </c>
      <c r="D232" s="7">
        <v>432374995.27999997</v>
      </c>
      <c r="E232" s="7">
        <v>-4152736.78</v>
      </c>
      <c r="F232" s="7">
        <v>428222258.5</v>
      </c>
      <c r="G232" s="7">
        <v>9996450</v>
      </c>
    </row>
    <row r="233" spans="1:7" x14ac:dyDescent="0.3">
      <c r="A233" s="6" t="s">
        <v>375</v>
      </c>
      <c r="B233" s="6" t="s">
        <v>101</v>
      </c>
      <c r="C233" s="7">
        <f>G233-F233</f>
        <v>-39750326.380000003</v>
      </c>
      <c r="D233" s="7">
        <v>40756106.380000003</v>
      </c>
      <c r="E233" s="7">
        <v>-1005780</v>
      </c>
      <c r="F233" s="7">
        <v>39750326.380000003</v>
      </c>
      <c r="G233" s="7">
        <v>0</v>
      </c>
    </row>
    <row r="234" spans="1:7" x14ac:dyDescent="0.3">
      <c r="A234" s="6" t="s">
        <v>376</v>
      </c>
      <c r="B234" s="6" t="s">
        <v>103</v>
      </c>
      <c r="C234" s="7">
        <f>G234-F234</f>
        <v>-1599500</v>
      </c>
      <c r="D234" s="7">
        <v>1611000</v>
      </c>
      <c r="E234" s="7">
        <v>-11500</v>
      </c>
      <c r="F234" s="7">
        <v>1599500</v>
      </c>
      <c r="G234" s="7">
        <v>0</v>
      </c>
    </row>
    <row r="235" spans="1:7" x14ac:dyDescent="0.3">
      <c r="A235" s="6" t="s">
        <v>377</v>
      </c>
      <c r="B235" s="6" t="s">
        <v>105</v>
      </c>
      <c r="C235" s="7">
        <f>G235-F235</f>
        <v>-9112473</v>
      </c>
      <c r="D235" s="7">
        <v>9177173</v>
      </c>
      <c r="E235" s="7">
        <v>-64700</v>
      </c>
      <c r="F235" s="7">
        <v>9112473</v>
      </c>
      <c r="G235" s="7">
        <v>0</v>
      </c>
    </row>
    <row r="236" spans="1:7" x14ac:dyDescent="0.3">
      <c r="A236" s="6" t="s">
        <v>378</v>
      </c>
      <c r="B236" s="6" t="s">
        <v>107</v>
      </c>
      <c r="C236" s="7">
        <f>G236-F236</f>
        <v>-12021958</v>
      </c>
      <c r="D236" s="7">
        <v>12021958</v>
      </c>
      <c r="E236" s="7">
        <v>0</v>
      </c>
      <c r="F236" s="7">
        <v>12021958</v>
      </c>
      <c r="G236" s="7">
        <v>0</v>
      </c>
    </row>
    <row r="237" spans="1:7" x14ac:dyDescent="0.3">
      <c r="A237" s="6" t="s">
        <v>379</v>
      </c>
      <c r="B237" s="6" t="s">
        <v>109</v>
      </c>
      <c r="C237" s="7">
        <f>G237-F237</f>
        <v>-2206500.52</v>
      </c>
      <c r="D237" s="7">
        <v>2206500.52</v>
      </c>
      <c r="E237" s="7">
        <v>0</v>
      </c>
      <c r="F237" s="7">
        <v>2206500.52</v>
      </c>
      <c r="G237" s="7">
        <v>0</v>
      </c>
    </row>
    <row r="238" spans="1:7" x14ac:dyDescent="0.3">
      <c r="A238" s="6" t="s">
        <v>380</v>
      </c>
      <c r="B238" s="6" t="s">
        <v>111</v>
      </c>
      <c r="C238" s="7">
        <f>G238-F238</f>
        <v>-495790555.20000005</v>
      </c>
      <c r="D238" s="7">
        <v>619735747.57000005</v>
      </c>
      <c r="E238" s="7">
        <v>-37955619.369999997</v>
      </c>
      <c r="F238" s="7">
        <v>581780128.20000005</v>
      </c>
      <c r="G238" s="7">
        <v>85989573</v>
      </c>
    </row>
    <row r="239" spans="1:7" x14ac:dyDescent="0.3">
      <c r="A239" s="6" t="s">
        <v>381</v>
      </c>
      <c r="B239" s="6" t="s">
        <v>113</v>
      </c>
      <c r="C239" s="7">
        <f>G239-F239</f>
        <v>-19365744.509999998</v>
      </c>
      <c r="D239" s="7">
        <v>23997668.91</v>
      </c>
      <c r="E239" s="7">
        <v>-115719</v>
      </c>
      <c r="F239" s="7">
        <v>23881949.91</v>
      </c>
      <c r="G239" s="7">
        <v>4516205.4000000004</v>
      </c>
    </row>
    <row r="240" spans="1:7" x14ac:dyDescent="0.3">
      <c r="A240" s="6" t="s">
        <v>382</v>
      </c>
      <c r="B240" s="6" t="s">
        <v>115</v>
      </c>
      <c r="C240" s="7">
        <f>G240-F240</f>
        <v>-52243901.640000001</v>
      </c>
      <c r="D240" s="7">
        <v>57444423.479999997</v>
      </c>
      <c r="E240" s="7">
        <v>-485286.48</v>
      </c>
      <c r="F240" s="7">
        <v>56959137</v>
      </c>
      <c r="G240" s="7">
        <v>4715235.3600000003</v>
      </c>
    </row>
    <row r="241" spans="1:7" x14ac:dyDescent="0.3">
      <c r="A241" s="6" t="s">
        <v>383</v>
      </c>
      <c r="B241" s="6" t="s">
        <v>123</v>
      </c>
      <c r="C241" s="7">
        <f>G241-F241</f>
        <v>-501996635.29999995</v>
      </c>
      <c r="D241" s="7">
        <v>635707423.29999995</v>
      </c>
      <c r="E241" s="7">
        <v>-21639164</v>
      </c>
      <c r="F241" s="7">
        <v>614068259.29999995</v>
      </c>
      <c r="G241" s="7">
        <v>112071624</v>
      </c>
    </row>
    <row r="242" spans="1:7" x14ac:dyDescent="0.3">
      <c r="A242" s="6" t="s">
        <v>384</v>
      </c>
      <c r="B242" s="6" t="s">
        <v>125</v>
      </c>
      <c r="C242" s="7">
        <f>G242-F242</f>
        <v>-29561626</v>
      </c>
      <c r="D242" s="7">
        <v>36598796</v>
      </c>
      <c r="E242" s="7">
        <v>0</v>
      </c>
      <c r="F242" s="7">
        <v>36598796</v>
      </c>
      <c r="G242" s="7">
        <v>7037170</v>
      </c>
    </row>
    <row r="243" spans="1:7" x14ac:dyDescent="0.3">
      <c r="A243" s="6" t="s">
        <v>385</v>
      </c>
      <c r="B243" s="6" t="s">
        <v>117</v>
      </c>
      <c r="C243" s="7">
        <f>G243-F243</f>
        <v>-1055000</v>
      </c>
      <c r="D243" s="7">
        <v>1129500</v>
      </c>
      <c r="E243" s="7">
        <v>-74500</v>
      </c>
      <c r="F243" s="7">
        <v>1055000</v>
      </c>
      <c r="G243" s="7">
        <v>0</v>
      </c>
    </row>
    <row r="244" spans="1:7" x14ac:dyDescent="0.3">
      <c r="A244" s="6" t="s">
        <v>386</v>
      </c>
      <c r="B244" s="6" t="s">
        <v>119</v>
      </c>
      <c r="C244" s="7">
        <f>G244-F244</f>
        <v>-16000</v>
      </c>
      <c r="D244" s="7">
        <v>16000</v>
      </c>
      <c r="E244" s="7">
        <v>0</v>
      </c>
      <c r="F244" s="7">
        <v>16000</v>
      </c>
      <c r="G244" s="7">
        <v>0</v>
      </c>
    </row>
    <row r="245" spans="1:7" x14ac:dyDescent="0.3">
      <c r="A245" s="6" t="s">
        <v>387</v>
      </c>
      <c r="B245" s="6" t="s">
        <v>121</v>
      </c>
      <c r="C245" s="7">
        <f>G245-F245</f>
        <v>-2250000</v>
      </c>
      <c r="D245" s="7">
        <v>2250000</v>
      </c>
      <c r="E245" s="7">
        <v>0</v>
      </c>
      <c r="F245" s="7">
        <v>2250000</v>
      </c>
      <c r="G245" s="7">
        <v>0</v>
      </c>
    </row>
    <row r="246" spans="1:7" x14ac:dyDescent="0.3">
      <c r="A246" s="6" t="s">
        <v>388</v>
      </c>
      <c r="B246" s="6" t="s">
        <v>127</v>
      </c>
      <c r="C246" s="7">
        <f>G246-F246</f>
        <v>-400000.04</v>
      </c>
      <c r="D246" s="7">
        <v>400000.04</v>
      </c>
      <c r="E246" s="7">
        <v>0</v>
      </c>
      <c r="F246" s="7">
        <v>400000.04</v>
      </c>
      <c r="G246" s="7">
        <v>0</v>
      </c>
    </row>
    <row r="247" spans="1:7" x14ac:dyDescent="0.3">
      <c r="A247" s="6" t="s">
        <v>389</v>
      </c>
      <c r="B247" s="6" t="s">
        <v>129</v>
      </c>
      <c r="C247" s="7">
        <f>G247-F247</f>
        <v>-8018040</v>
      </c>
      <c r="D247" s="7">
        <v>10208000</v>
      </c>
      <c r="E247" s="7">
        <v>-160200</v>
      </c>
      <c r="F247" s="7">
        <v>10047800</v>
      </c>
      <c r="G247" s="7">
        <v>2029760</v>
      </c>
    </row>
    <row r="248" spans="1:7" x14ac:dyDescent="0.3">
      <c r="A248" s="6" t="s">
        <v>390</v>
      </c>
      <c r="B248" s="6" t="s">
        <v>131</v>
      </c>
      <c r="C248" s="7">
        <f>G248-F248</f>
        <v>-4093600</v>
      </c>
      <c r="D248" s="7">
        <v>5395816.2199999997</v>
      </c>
      <c r="E248" s="7">
        <v>-51400</v>
      </c>
      <c r="F248" s="7">
        <v>5344416.22</v>
      </c>
      <c r="G248" s="7">
        <v>1250816.22</v>
      </c>
    </row>
    <row r="249" spans="1:7" x14ac:dyDescent="0.3">
      <c r="A249" s="6" t="s">
        <v>391</v>
      </c>
      <c r="B249" s="6" t="s">
        <v>133</v>
      </c>
      <c r="C249" s="7">
        <f>G249-F249</f>
        <v>-5336100</v>
      </c>
      <c r="D249" s="7">
        <v>7236100</v>
      </c>
      <c r="E249" s="7">
        <v>0</v>
      </c>
      <c r="F249" s="7">
        <v>7236100</v>
      </c>
      <c r="G249" s="7">
        <v>1900000</v>
      </c>
    </row>
    <row r="250" spans="1:7" x14ac:dyDescent="0.3">
      <c r="A250" s="6" t="s">
        <v>392</v>
      </c>
      <c r="B250" s="6" t="s">
        <v>135</v>
      </c>
      <c r="C250" s="7">
        <f>G250-F250</f>
        <v>-1227000</v>
      </c>
      <c r="D250" s="7">
        <v>1472400</v>
      </c>
      <c r="E250" s="7">
        <v>-245400</v>
      </c>
      <c r="F250" s="7">
        <v>1227000</v>
      </c>
      <c r="G250" s="7">
        <v>0</v>
      </c>
    </row>
    <row r="251" spans="1:7" x14ac:dyDescent="0.3">
      <c r="A251" s="6" t="s">
        <v>393</v>
      </c>
      <c r="B251" s="6" t="s">
        <v>137</v>
      </c>
      <c r="C251" s="7">
        <f>G251-F251</f>
        <v>-561950</v>
      </c>
      <c r="D251" s="7">
        <v>561950</v>
      </c>
      <c r="E251" s="7">
        <v>0</v>
      </c>
      <c r="F251" s="7">
        <v>561950</v>
      </c>
      <c r="G251" s="7">
        <v>0</v>
      </c>
    </row>
    <row r="252" spans="1:7" x14ac:dyDescent="0.3">
      <c r="A252" s="6" t="s">
        <v>394</v>
      </c>
      <c r="B252" s="6" t="s">
        <v>139</v>
      </c>
      <c r="C252" s="7">
        <f>G252-F252</f>
        <v>-1900000</v>
      </c>
      <c r="D252" s="7">
        <v>1900000</v>
      </c>
      <c r="E252" s="7">
        <v>0</v>
      </c>
      <c r="F252" s="7">
        <v>1900000</v>
      </c>
      <c r="G252" s="7">
        <v>0</v>
      </c>
    </row>
    <row r="253" spans="1:7" x14ac:dyDescent="0.3">
      <c r="A253" s="6" t="s">
        <v>395</v>
      </c>
      <c r="B253" s="6" t="s">
        <v>141</v>
      </c>
      <c r="C253" s="7">
        <f>G253-F253</f>
        <v>-465600</v>
      </c>
      <c r="D253" s="7">
        <v>466120</v>
      </c>
      <c r="E253" s="7">
        <v>-520</v>
      </c>
      <c r="F253" s="7">
        <v>465600</v>
      </c>
      <c r="G253" s="7">
        <v>0</v>
      </c>
    </row>
    <row r="254" spans="1:7" x14ac:dyDescent="0.3">
      <c r="A254" s="6" t="s">
        <v>396</v>
      </c>
      <c r="B254" s="6" t="s">
        <v>143</v>
      </c>
      <c r="C254" s="7">
        <f>G254-F254</f>
        <v>-147400</v>
      </c>
      <c r="D254" s="7">
        <v>147400</v>
      </c>
      <c r="E254" s="7">
        <v>0</v>
      </c>
      <c r="F254" s="7">
        <v>147400</v>
      </c>
      <c r="G254" s="7">
        <v>0</v>
      </c>
    </row>
    <row r="255" spans="1:7" x14ac:dyDescent="0.3">
      <c r="A255" s="6" t="s">
        <v>397</v>
      </c>
      <c r="B255" s="6" t="s">
        <v>145</v>
      </c>
      <c r="C255" s="7">
        <f>G255-F255</f>
        <v>-539228655.18999994</v>
      </c>
      <c r="D255" s="7">
        <v>658192946.76999998</v>
      </c>
      <c r="E255" s="7">
        <v>-534198</v>
      </c>
      <c r="F255" s="7">
        <v>657658748.76999998</v>
      </c>
      <c r="G255" s="7">
        <v>118430093.58</v>
      </c>
    </row>
    <row r="256" spans="1:7" x14ac:dyDescent="0.3">
      <c r="A256" s="6" t="s">
        <v>398</v>
      </c>
      <c r="B256" s="6" t="s">
        <v>147</v>
      </c>
      <c r="C256" s="7">
        <f>G256-F256</f>
        <v>-2445000</v>
      </c>
      <c r="D256" s="7">
        <v>2472000</v>
      </c>
      <c r="E256" s="7">
        <v>-27000</v>
      </c>
      <c r="F256" s="7">
        <v>2445000</v>
      </c>
      <c r="G256" s="7">
        <v>0</v>
      </c>
    </row>
    <row r="257" spans="1:7" x14ac:dyDescent="0.3">
      <c r="A257" s="6" t="s">
        <v>399</v>
      </c>
      <c r="B257" s="6" t="s">
        <v>149</v>
      </c>
      <c r="C257" s="7">
        <f>G257-F257</f>
        <v>-2575000</v>
      </c>
      <c r="D257" s="7">
        <v>2633500</v>
      </c>
      <c r="E257" s="7">
        <v>-58500</v>
      </c>
      <c r="F257" s="7">
        <v>2575000</v>
      </c>
      <c r="G257" s="7">
        <v>0</v>
      </c>
    </row>
    <row r="258" spans="1:7" x14ac:dyDescent="0.3">
      <c r="A258" s="6" t="s">
        <v>400</v>
      </c>
      <c r="B258" s="6" t="s">
        <v>151</v>
      </c>
      <c r="C258" s="7">
        <f>G258-F258</f>
        <v>-310500</v>
      </c>
      <c r="D258" s="7">
        <v>310500</v>
      </c>
      <c r="E258" s="7">
        <v>0</v>
      </c>
      <c r="F258" s="7">
        <v>310500</v>
      </c>
      <c r="G258" s="7">
        <v>0</v>
      </c>
    </row>
    <row r="259" spans="1:7" x14ac:dyDescent="0.3">
      <c r="A259" s="6" t="s">
        <v>401</v>
      </c>
      <c r="B259" s="6" t="s">
        <v>153</v>
      </c>
      <c r="C259" s="7">
        <f>G259-F259</f>
        <v>-355000</v>
      </c>
      <c r="D259" s="7">
        <v>355000</v>
      </c>
      <c r="E259" s="7">
        <v>0</v>
      </c>
      <c r="F259" s="7">
        <v>355000</v>
      </c>
      <c r="G259" s="7">
        <v>0</v>
      </c>
    </row>
    <row r="260" spans="1:7" x14ac:dyDescent="0.3">
      <c r="A260" s="6" t="s">
        <v>402</v>
      </c>
      <c r="B260" s="6" t="s">
        <v>155</v>
      </c>
      <c r="C260" s="7">
        <f>G260-F260</f>
        <v>-301600</v>
      </c>
      <c r="D260" s="7">
        <v>301600</v>
      </c>
      <c r="E260" s="7">
        <v>0</v>
      </c>
      <c r="F260" s="7">
        <v>301600</v>
      </c>
      <c r="G260" s="7">
        <v>0</v>
      </c>
    </row>
    <row r="261" spans="1:7" x14ac:dyDescent="0.3">
      <c r="A261" s="6" t="s">
        <v>403</v>
      </c>
      <c r="B261" s="6" t="s">
        <v>157</v>
      </c>
      <c r="C261" s="7">
        <f>G261-F261</f>
        <v>-1553561.76</v>
      </c>
      <c r="D261" s="7">
        <v>1916179.92</v>
      </c>
      <c r="E261" s="7">
        <v>0</v>
      </c>
      <c r="F261" s="7">
        <v>1916179.92</v>
      </c>
      <c r="G261" s="7">
        <v>362618.16</v>
      </c>
    </row>
    <row r="262" spans="1:7" x14ac:dyDescent="0.3">
      <c r="A262" s="6" t="s">
        <v>404</v>
      </c>
      <c r="B262" s="6" t="s">
        <v>159</v>
      </c>
      <c r="C262" s="7">
        <f>G262-F262</f>
        <v>-2997500</v>
      </c>
      <c r="D262" s="7">
        <v>3645000</v>
      </c>
      <c r="E262" s="7">
        <v>0</v>
      </c>
      <c r="F262" s="7">
        <v>3645000</v>
      </c>
      <c r="G262" s="7">
        <v>647500</v>
      </c>
    </row>
    <row r="263" spans="1:7" x14ac:dyDescent="0.3">
      <c r="A263" s="6" t="s">
        <v>405</v>
      </c>
      <c r="B263" s="6" t="s">
        <v>161</v>
      </c>
      <c r="C263" s="7">
        <f>G263-F263</f>
        <v>-3184000</v>
      </c>
      <c r="D263" s="7">
        <v>3661500</v>
      </c>
      <c r="E263" s="7">
        <v>-27500</v>
      </c>
      <c r="F263" s="7">
        <v>3634000</v>
      </c>
      <c r="G263" s="7">
        <v>450000</v>
      </c>
    </row>
    <row r="264" spans="1:7" x14ac:dyDescent="0.3">
      <c r="A264" s="6" t="s">
        <v>406</v>
      </c>
      <c r="B264" s="6" t="s">
        <v>163</v>
      </c>
      <c r="C264" s="7">
        <f>G264-F264</f>
        <v>-800000</v>
      </c>
      <c r="D264" s="7">
        <v>800000</v>
      </c>
      <c r="E264" s="7">
        <v>0</v>
      </c>
      <c r="F264" s="7">
        <v>800000</v>
      </c>
      <c r="G264" s="7">
        <v>0</v>
      </c>
    </row>
    <row r="265" spans="1:7" x14ac:dyDescent="0.3">
      <c r="A265" s="6" t="s">
        <v>407</v>
      </c>
      <c r="B265" s="6" t="s">
        <v>165</v>
      </c>
      <c r="C265" s="7">
        <f>G265-F265</f>
        <v>-290000</v>
      </c>
      <c r="D265" s="7">
        <v>464000</v>
      </c>
      <c r="E265" s="7">
        <v>-174000</v>
      </c>
      <c r="F265" s="7">
        <v>290000</v>
      </c>
      <c r="G265" s="7">
        <v>0</v>
      </c>
    </row>
    <row r="266" spans="1:7" x14ac:dyDescent="0.3">
      <c r="A266" s="6" t="s">
        <v>408</v>
      </c>
      <c r="B266" s="6" t="s">
        <v>167</v>
      </c>
      <c r="C266" s="7">
        <f>G266-F266</f>
        <v>-280000</v>
      </c>
      <c r="D266" s="7">
        <v>280000</v>
      </c>
      <c r="E266" s="7">
        <v>0</v>
      </c>
      <c r="F266" s="7">
        <v>280000</v>
      </c>
      <c r="G266" s="7">
        <v>0</v>
      </c>
    </row>
    <row r="267" spans="1:7" x14ac:dyDescent="0.3">
      <c r="A267" s="6" t="s">
        <v>409</v>
      </c>
      <c r="B267" s="6" t="s">
        <v>169</v>
      </c>
      <c r="C267" s="7">
        <f>G267-F267</f>
        <v>-566500</v>
      </c>
      <c r="D267" s="7">
        <v>566500</v>
      </c>
      <c r="E267" s="7">
        <v>0</v>
      </c>
      <c r="F267" s="7">
        <v>566500</v>
      </c>
      <c r="G267" s="7">
        <v>0</v>
      </c>
    </row>
    <row r="268" spans="1:7" x14ac:dyDescent="0.3">
      <c r="A268" s="6" t="s">
        <v>410</v>
      </c>
      <c r="B268" s="6" t="s">
        <v>171</v>
      </c>
      <c r="C268" s="7">
        <f>G268-F268</f>
        <v>-616000</v>
      </c>
      <c r="D268" s="7">
        <v>737000</v>
      </c>
      <c r="E268" s="7">
        <v>-121000</v>
      </c>
      <c r="F268" s="7">
        <v>616000</v>
      </c>
      <c r="G268" s="7">
        <v>0</v>
      </c>
    </row>
    <row r="269" spans="1:7" x14ac:dyDescent="0.3">
      <c r="A269" s="6" t="s">
        <v>411</v>
      </c>
      <c r="B269" s="6" t="s">
        <v>173</v>
      </c>
      <c r="C269" s="7">
        <f>G269-F269</f>
        <v>0</v>
      </c>
      <c r="D269" s="7">
        <v>22443651.620000001</v>
      </c>
      <c r="E269" s="7">
        <v>0</v>
      </c>
      <c r="F269" s="7">
        <v>22443651.620000001</v>
      </c>
      <c r="G269" s="7">
        <v>22443651.620000001</v>
      </c>
    </row>
    <row r="270" spans="1:7" x14ac:dyDescent="0.3">
      <c r="A270" s="6" t="s">
        <v>412</v>
      </c>
      <c r="B270" s="6" t="s">
        <v>413</v>
      </c>
      <c r="C270" s="7">
        <f>G270-F270</f>
        <v>-6535200</v>
      </c>
      <c r="D270" s="7">
        <v>6535200</v>
      </c>
      <c r="E270" s="7">
        <v>0</v>
      </c>
      <c r="F270" s="7">
        <v>6535200</v>
      </c>
      <c r="G270" s="7">
        <v>0</v>
      </c>
    </row>
    <row r="271" spans="1:7" x14ac:dyDescent="0.3">
      <c r="A271" s="6" t="s">
        <v>414</v>
      </c>
      <c r="B271" s="6" t="s">
        <v>415</v>
      </c>
      <c r="C271" s="7">
        <f>G271-F271</f>
        <v>-2457650</v>
      </c>
      <c r="D271" s="7">
        <v>2468650</v>
      </c>
      <c r="E271" s="7">
        <v>0</v>
      </c>
      <c r="F271" s="7">
        <v>2468650</v>
      </c>
      <c r="G271" s="7">
        <v>11000</v>
      </c>
    </row>
    <row r="272" spans="1:7" x14ac:dyDescent="0.3">
      <c r="A272" s="6" t="s">
        <v>416</v>
      </c>
      <c r="B272" s="6" t="s">
        <v>417</v>
      </c>
      <c r="C272" s="7">
        <f>G272-F272</f>
        <v>-28827330</v>
      </c>
      <c r="D272" s="7">
        <v>30594830</v>
      </c>
      <c r="E272" s="7">
        <v>0</v>
      </c>
      <c r="F272" s="7">
        <v>30594830</v>
      </c>
      <c r="G272" s="7">
        <v>1767500</v>
      </c>
    </row>
    <row r="273" spans="1:7" x14ac:dyDescent="0.3">
      <c r="A273" s="6" t="s">
        <v>418</v>
      </c>
      <c r="B273" s="6" t="s">
        <v>419</v>
      </c>
      <c r="C273" s="7">
        <f>G273-F273</f>
        <v>-5253035</v>
      </c>
      <c r="D273" s="7">
        <v>5455285</v>
      </c>
      <c r="E273" s="7">
        <v>0</v>
      </c>
      <c r="F273" s="7">
        <v>5455285</v>
      </c>
      <c r="G273" s="7">
        <v>202250</v>
      </c>
    </row>
    <row r="274" spans="1:7" x14ac:dyDescent="0.3">
      <c r="A274" s="6" t="s">
        <v>420</v>
      </c>
      <c r="B274" s="6" t="s">
        <v>421</v>
      </c>
      <c r="C274" s="7">
        <f>G274-F274</f>
        <v>-15645506.16</v>
      </c>
      <c r="D274" s="7">
        <v>15645536.16</v>
      </c>
      <c r="E274" s="7">
        <v>-30</v>
      </c>
      <c r="F274" s="7">
        <v>15645506.16</v>
      </c>
      <c r="G274" s="7">
        <v>0</v>
      </c>
    </row>
    <row r="275" spans="1:7" x14ac:dyDescent="0.3">
      <c r="A275" s="6" t="s">
        <v>422</v>
      </c>
      <c r="B275" s="6" t="s">
        <v>423</v>
      </c>
      <c r="C275" s="7">
        <f>G275-F275</f>
        <v>-1027607.88</v>
      </c>
      <c r="D275" s="7">
        <v>1046583.23</v>
      </c>
      <c r="E275" s="7">
        <v>0</v>
      </c>
      <c r="F275" s="7">
        <v>1046583.23</v>
      </c>
      <c r="G275" s="7">
        <v>18975.349999999999</v>
      </c>
    </row>
    <row r="276" spans="1:7" x14ac:dyDescent="0.3">
      <c r="A276" s="6" t="s">
        <v>424</v>
      </c>
      <c r="B276" s="6" t="s">
        <v>425</v>
      </c>
      <c r="C276" s="7">
        <f>G276-F276</f>
        <v>-127512.54</v>
      </c>
      <c r="D276" s="7">
        <v>127512.54</v>
      </c>
      <c r="E276" s="7">
        <v>0</v>
      </c>
      <c r="F276" s="7">
        <v>127512.54</v>
      </c>
      <c r="G276" s="7">
        <v>0</v>
      </c>
    </row>
    <row r="277" spans="1:7" x14ac:dyDescent="0.3">
      <c r="A277" s="6" t="s">
        <v>426</v>
      </c>
      <c r="B277" s="6" t="s">
        <v>427</v>
      </c>
      <c r="C277" s="7">
        <f>G277-F277</f>
        <v>-1355324.18</v>
      </c>
      <c r="D277" s="7">
        <v>1398067.53</v>
      </c>
      <c r="E277" s="7">
        <v>-17145</v>
      </c>
      <c r="F277" s="7">
        <v>1380922.53</v>
      </c>
      <c r="G277" s="7">
        <v>25598.35</v>
      </c>
    </row>
    <row r="278" spans="1:7" x14ac:dyDescent="0.3">
      <c r="A278" s="6" t="s">
        <v>428</v>
      </c>
      <c r="B278" s="6" t="s">
        <v>429</v>
      </c>
      <c r="C278" s="7">
        <f>G278-F278</f>
        <v>-5000</v>
      </c>
      <c r="D278" s="7">
        <v>5000</v>
      </c>
      <c r="E278" s="7">
        <v>0</v>
      </c>
      <c r="F278" s="7">
        <v>5000</v>
      </c>
      <c r="G278" s="7">
        <v>0</v>
      </c>
    </row>
    <row r="279" spans="1:7" x14ac:dyDescent="0.3">
      <c r="A279" s="6" t="s">
        <v>430</v>
      </c>
      <c r="B279" s="6" t="s">
        <v>431</v>
      </c>
      <c r="C279" s="7">
        <f>G279-F279</f>
        <v>-53.75</v>
      </c>
      <c r="D279" s="7">
        <v>53.75</v>
      </c>
      <c r="E279" s="7">
        <v>0</v>
      </c>
      <c r="F279" s="7">
        <v>53.75</v>
      </c>
      <c r="G279" s="7">
        <v>0</v>
      </c>
    </row>
    <row r="280" spans="1:7" x14ac:dyDescent="0.3">
      <c r="A280" s="6" t="s">
        <v>432</v>
      </c>
      <c r="B280" s="6" t="s">
        <v>433</v>
      </c>
      <c r="C280" s="7">
        <f>G280-F280</f>
        <v>-3951100</v>
      </c>
      <c r="D280" s="7">
        <v>3951100</v>
      </c>
      <c r="E280" s="7">
        <v>0</v>
      </c>
      <c r="F280" s="7">
        <v>3951100</v>
      </c>
      <c r="G280" s="7">
        <v>0</v>
      </c>
    </row>
    <row r="281" spans="1:7" x14ac:dyDescent="0.3">
      <c r="A281" s="6" t="s">
        <v>434</v>
      </c>
      <c r="B281" s="6" t="s">
        <v>435</v>
      </c>
      <c r="C281" s="7">
        <f>G281-F281</f>
        <v>-11462630</v>
      </c>
      <c r="D281" s="7">
        <v>12349000</v>
      </c>
      <c r="E281" s="7">
        <v>-313770</v>
      </c>
      <c r="F281" s="7">
        <v>12035230</v>
      </c>
      <c r="G281" s="7">
        <v>572600</v>
      </c>
    </row>
    <row r="282" spans="1:7" x14ac:dyDescent="0.3">
      <c r="A282" s="6" t="s">
        <v>436</v>
      </c>
      <c r="B282" s="6" t="s">
        <v>437</v>
      </c>
      <c r="C282" s="7">
        <f>G282-F282</f>
        <v>-312025</v>
      </c>
      <c r="D282" s="7">
        <v>312025</v>
      </c>
      <c r="E282" s="7">
        <v>0</v>
      </c>
      <c r="F282" s="7">
        <v>312025</v>
      </c>
      <c r="G282" s="7">
        <v>0</v>
      </c>
    </row>
    <row r="283" spans="1:7" x14ac:dyDescent="0.3">
      <c r="A283" s="6" t="s">
        <v>438</v>
      </c>
      <c r="B283" s="6" t="s">
        <v>439</v>
      </c>
      <c r="C283" s="7">
        <f>G283-F283</f>
        <v>-1190000</v>
      </c>
      <c r="D283" s="7">
        <v>1190000</v>
      </c>
      <c r="E283" s="7">
        <v>0</v>
      </c>
      <c r="F283" s="7">
        <v>1190000</v>
      </c>
      <c r="G283" s="7">
        <v>0</v>
      </c>
    </row>
    <row r="284" spans="1:7" x14ac:dyDescent="0.3">
      <c r="A284" s="6" t="s">
        <v>440</v>
      </c>
      <c r="B284" s="6" t="s">
        <v>441</v>
      </c>
      <c r="C284" s="7">
        <f>G284-F284</f>
        <v>-40941.800000000003</v>
      </c>
      <c r="D284" s="7">
        <v>40941.800000000003</v>
      </c>
      <c r="E284" s="7">
        <v>0</v>
      </c>
      <c r="F284" s="7">
        <v>40941.800000000003</v>
      </c>
      <c r="G284" s="7">
        <v>0</v>
      </c>
    </row>
    <row r="285" spans="1:7" x14ac:dyDescent="0.3">
      <c r="A285" s="6" t="s">
        <v>442</v>
      </c>
      <c r="B285" s="6" t="s">
        <v>443</v>
      </c>
      <c r="C285" s="7">
        <f>G285-F285</f>
        <v>-3045000</v>
      </c>
      <c r="D285" s="7">
        <v>3045000</v>
      </c>
      <c r="E285" s="7">
        <v>0</v>
      </c>
      <c r="F285" s="7">
        <v>3045000</v>
      </c>
      <c r="G285" s="7">
        <v>0</v>
      </c>
    </row>
    <row r="286" spans="1:7" x14ac:dyDescent="0.3">
      <c r="A286" s="6" t="s">
        <v>444</v>
      </c>
      <c r="B286" s="6" t="s">
        <v>445</v>
      </c>
      <c r="C286" s="7">
        <f>G286-F286</f>
        <v>-154000</v>
      </c>
      <c r="D286" s="7">
        <v>154000</v>
      </c>
      <c r="E286" s="7">
        <v>0</v>
      </c>
      <c r="F286" s="7">
        <v>154000</v>
      </c>
      <c r="G286" s="7">
        <v>0</v>
      </c>
    </row>
    <row r="287" spans="1:7" x14ac:dyDescent="0.3">
      <c r="A287" s="6" t="s">
        <v>446</v>
      </c>
      <c r="B287" s="6" t="s">
        <v>447</v>
      </c>
      <c r="C287" s="7">
        <f>G287-F287</f>
        <v>-1039500</v>
      </c>
      <c r="D287" s="7">
        <v>1466680</v>
      </c>
      <c r="E287" s="7">
        <v>0</v>
      </c>
      <c r="F287" s="7">
        <v>1466680</v>
      </c>
      <c r="G287" s="7">
        <v>427180</v>
      </c>
    </row>
    <row r="288" spans="1:7" x14ac:dyDescent="0.3">
      <c r="A288" s="6" t="s">
        <v>448</v>
      </c>
      <c r="B288" s="6" t="s">
        <v>449</v>
      </c>
      <c r="C288" s="7">
        <f>G288-F288</f>
        <v>-12882742</v>
      </c>
      <c r="D288" s="7">
        <v>12965342</v>
      </c>
      <c r="E288" s="7">
        <v>0</v>
      </c>
      <c r="F288" s="7">
        <v>12965342</v>
      </c>
      <c r="G288" s="7">
        <v>82600</v>
      </c>
    </row>
    <row r="289" spans="1:7" x14ac:dyDescent="0.3">
      <c r="A289" s="6" t="s">
        <v>450</v>
      </c>
      <c r="B289" s="6" t="s">
        <v>451</v>
      </c>
      <c r="C289" s="7">
        <f>G289-F289</f>
        <v>-993000</v>
      </c>
      <c r="D289" s="7">
        <v>993000</v>
      </c>
      <c r="E289" s="7">
        <v>0</v>
      </c>
      <c r="F289" s="7">
        <v>993000</v>
      </c>
      <c r="G289" s="7">
        <v>0</v>
      </c>
    </row>
    <row r="290" spans="1:7" x14ac:dyDescent="0.3">
      <c r="A290" s="6" t="s">
        <v>452</v>
      </c>
      <c r="B290" s="6" t="s">
        <v>453</v>
      </c>
      <c r="C290" s="7">
        <f>G290-F290</f>
        <v>-436100.2</v>
      </c>
      <c r="D290" s="7">
        <v>436100.2</v>
      </c>
      <c r="E290" s="7">
        <v>0</v>
      </c>
      <c r="F290" s="7">
        <v>436100.2</v>
      </c>
      <c r="G290" s="7">
        <v>0</v>
      </c>
    </row>
    <row r="291" spans="1:7" x14ac:dyDescent="0.3">
      <c r="A291" s="6" t="s">
        <v>454</v>
      </c>
      <c r="B291" s="6" t="s">
        <v>455</v>
      </c>
      <c r="C291" s="7">
        <f>G291-F291</f>
        <v>-1450000</v>
      </c>
      <c r="D291" s="7">
        <v>1450000</v>
      </c>
      <c r="E291" s="7">
        <v>0</v>
      </c>
      <c r="F291" s="7">
        <v>1450000</v>
      </c>
      <c r="G291" s="7">
        <v>0</v>
      </c>
    </row>
    <row r="292" spans="1:7" x14ac:dyDescent="0.3">
      <c r="A292" s="6" t="s">
        <v>456</v>
      </c>
      <c r="B292" s="6" t="s">
        <v>457</v>
      </c>
      <c r="C292" s="7">
        <f>G292-F292</f>
        <v>-6684043.1799999997</v>
      </c>
      <c r="D292" s="7">
        <v>7065552.2599999998</v>
      </c>
      <c r="E292" s="7">
        <v>-334000</v>
      </c>
      <c r="F292" s="7">
        <v>6731552.2599999998</v>
      </c>
      <c r="G292" s="7">
        <v>47509.08</v>
      </c>
    </row>
    <row r="293" spans="1:7" x14ac:dyDescent="0.3">
      <c r="A293" s="6" t="s">
        <v>458</v>
      </c>
      <c r="B293" s="6" t="s">
        <v>459</v>
      </c>
      <c r="C293" s="7">
        <f>G293-F293</f>
        <v>-50000</v>
      </c>
      <c r="D293" s="7">
        <v>50000</v>
      </c>
      <c r="E293" s="7">
        <v>0</v>
      </c>
      <c r="F293" s="7">
        <v>50000</v>
      </c>
      <c r="G293" s="7">
        <v>0</v>
      </c>
    </row>
    <row r="294" spans="1:7" x14ac:dyDescent="0.3">
      <c r="A294" s="6" t="s">
        <v>460</v>
      </c>
      <c r="B294" s="6" t="s">
        <v>461</v>
      </c>
      <c r="C294" s="7">
        <f>G294-F294</f>
        <v>-1400000</v>
      </c>
      <c r="D294" s="7">
        <v>1400000</v>
      </c>
      <c r="E294" s="7">
        <v>0</v>
      </c>
      <c r="F294" s="7">
        <v>1400000</v>
      </c>
      <c r="G294" s="7">
        <v>0</v>
      </c>
    </row>
    <row r="295" spans="1:7" x14ac:dyDescent="0.3">
      <c r="A295" s="6" t="s">
        <v>462</v>
      </c>
      <c r="B295" s="6" t="s">
        <v>463</v>
      </c>
      <c r="C295" s="7">
        <f>G295-F295</f>
        <v>-12558650.5</v>
      </c>
      <c r="D295" s="7">
        <v>13535550.5</v>
      </c>
      <c r="E295" s="7">
        <v>-250000</v>
      </c>
      <c r="F295" s="7">
        <v>13285550.5</v>
      </c>
      <c r="G295" s="7">
        <v>726900</v>
      </c>
    </row>
    <row r="296" spans="1:7" x14ac:dyDescent="0.3">
      <c r="A296" s="6" t="s">
        <v>464</v>
      </c>
      <c r="B296" s="6" t="s">
        <v>465</v>
      </c>
      <c r="C296" s="7">
        <f>G296-F296</f>
        <v>-457000</v>
      </c>
      <c r="D296" s="7">
        <v>507000</v>
      </c>
      <c r="E296" s="7">
        <v>0</v>
      </c>
      <c r="F296" s="7">
        <v>507000</v>
      </c>
      <c r="G296" s="7">
        <v>50000</v>
      </c>
    </row>
    <row r="297" spans="1:7" x14ac:dyDescent="0.3">
      <c r="A297" s="6" t="s">
        <v>466</v>
      </c>
      <c r="B297" s="6" t="s">
        <v>467</v>
      </c>
      <c r="C297" s="7">
        <f>G297-F297</f>
        <v>-31715.49</v>
      </c>
      <c r="D297" s="7">
        <v>31715.49</v>
      </c>
      <c r="E297" s="7">
        <v>0</v>
      </c>
      <c r="F297" s="7">
        <v>31715.49</v>
      </c>
      <c r="G297" s="7">
        <v>0</v>
      </c>
    </row>
    <row r="298" spans="1:7" x14ac:dyDescent="0.3">
      <c r="A298" s="6" t="s">
        <v>468</v>
      </c>
      <c r="B298" s="6" t="s">
        <v>469</v>
      </c>
      <c r="C298" s="7">
        <f>G298-F298</f>
        <v>-1515500</v>
      </c>
      <c r="D298" s="7">
        <v>1558500</v>
      </c>
      <c r="E298" s="7">
        <v>0</v>
      </c>
      <c r="F298" s="7">
        <v>1558500</v>
      </c>
      <c r="G298" s="7">
        <v>43000</v>
      </c>
    </row>
    <row r="299" spans="1:7" x14ac:dyDescent="0.3">
      <c r="A299" s="6" t="s">
        <v>470</v>
      </c>
      <c r="B299" s="6" t="s">
        <v>471</v>
      </c>
      <c r="C299" s="7">
        <f>G299-F299</f>
        <v>-2888460</v>
      </c>
      <c r="D299" s="7">
        <v>3001960</v>
      </c>
      <c r="E299" s="7">
        <v>0</v>
      </c>
      <c r="F299" s="7">
        <v>3001960</v>
      </c>
      <c r="G299" s="7">
        <v>113500</v>
      </c>
    </row>
    <row r="300" spans="1:7" x14ac:dyDescent="0.3">
      <c r="A300" s="6" t="s">
        <v>472</v>
      </c>
      <c r="B300" s="6" t="s">
        <v>473</v>
      </c>
      <c r="C300" s="7">
        <f>G300-F300</f>
        <v>-51500</v>
      </c>
      <c r="D300" s="7">
        <v>51500</v>
      </c>
      <c r="E300" s="7">
        <v>0</v>
      </c>
      <c r="F300" s="7">
        <v>51500</v>
      </c>
      <c r="G300" s="7">
        <v>0</v>
      </c>
    </row>
    <row r="301" spans="1:7" x14ac:dyDescent="0.3">
      <c r="A301" s="6" t="s">
        <v>474</v>
      </c>
      <c r="B301" s="6" t="s">
        <v>475</v>
      </c>
      <c r="C301" s="7">
        <f>G301-F301</f>
        <v>-3656360</v>
      </c>
      <c r="D301" s="7">
        <v>3665860</v>
      </c>
      <c r="E301" s="7">
        <v>0</v>
      </c>
      <c r="F301" s="7">
        <v>3665860</v>
      </c>
      <c r="G301" s="7">
        <v>9500</v>
      </c>
    </row>
    <row r="302" spans="1:7" x14ac:dyDescent="0.3">
      <c r="A302" s="6" t="s">
        <v>476</v>
      </c>
      <c r="B302" s="6" t="s">
        <v>477</v>
      </c>
      <c r="C302" s="7">
        <f>G302-F302</f>
        <v>-3046140</v>
      </c>
      <c r="D302" s="7">
        <v>3251240</v>
      </c>
      <c r="E302" s="7">
        <v>-800</v>
      </c>
      <c r="F302" s="7">
        <v>3250440</v>
      </c>
      <c r="G302" s="7">
        <v>204300</v>
      </c>
    </row>
    <row r="303" spans="1:7" x14ac:dyDescent="0.3">
      <c r="A303" s="6" t="s">
        <v>478</v>
      </c>
      <c r="B303" s="6" t="s">
        <v>479</v>
      </c>
      <c r="C303" s="7">
        <f>G303-F303</f>
        <v>-55300</v>
      </c>
      <c r="D303" s="7">
        <v>63700</v>
      </c>
      <c r="E303" s="7">
        <v>0</v>
      </c>
      <c r="F303" s="7">
        <v>63700</v>
      </c>
      <c r="G303" s="7">
        <v>8400</v>
      </c>
    </row>
    <row r="304" spans="1:7" x14ac:dyDescent="0.3">
      <c r="A304" s="6" t="s">
        <v>480</v>
      </c>
      <c r="B304" s="6" t="s">
        <v>481</v>
      </c>
      <c r="C304" s="7">
        <f>G304-F304</f>
        <v>-86556133</v>
      </c>
      <c r="D304" s="7">
        <v>89797973</v>
      </c>
      <c r="E304" s="7">
        <v>-1793000</v>
      </c>
      <c r="F304" s="7">
        <v>88004973</v>
      </c>
      <c r="G304" s="7">
        <v>1448840</v>
      </c>
    </row>
    <row r="305" spans="1:7" x14ac:dyDescent="0.3">
      <c r="A305" s="6" t="s">
        <v>482</v>
      </c>
      <c r="B305" s="6" t="s">
        <v>483</v>
      </c>
      <c r="C305" s="7">
        <f>G305-F305</f>
        <v>-6063888.8399999999</v>
      </c>
      <c r="D305" s="7">
        <v>6502022.8399999999</v>
      </c>
      <c r="E305" s="7">
        <v>0</v>
      </c>
      <c r="F305" s="7">
        <v>6502022.8399999999</v>
      </c>
      <c r="G305" s="7">
        <v>438134</v>
      </c>
    </row>
    <row r="306" spans="1:7" x14ac:dyDescent="0.3">
      <c r="A306" s="6" t="s">
        <v>484</v>
      </c>
      <c r="B306" s="6" t="s">
        <v>485</v>
      </c>
      <c r="C306" s="7">
        <f>G306-F306</f>
        <v>-176500</v>
      </c>
      <c r="D306" s="7">
        <v>176500</v>
      </c>
      <c r="E306" s="7">
        <v>0</v>
      </c>
      <c r="F306" s="7">
        <v>176500</v>
      </c>
      <c r="G306" s="7">
        <v>0</v>
      </c>
    </row>
    <row r="307" spans="1:7" x14ac:dyDescent="0.3">
      <c r="A307" s="6" t="s">
        <v>486</v>
      </c>
      <c r="B307" s="6" t="s">
        <v>487</v>
      </c>
      <c r="C307" s="7">
        <f>G307-F307</f>
        <v>-17002916.890000001</v>
      </c>
      <c r="D307" s="7">
        <v>17052916.890000001</v>
      </c>
      <c r="E307" s="7">
        <v>0</v>
      </c>
      <c r="F307" s="7">
        <v>17052916.890000001</v>
      </c>
      <c r="G307" s="7">
        <v>50000</v>
      </c>
    </row>
    <row r="308" spans="1:7" x14ac:dyDescent="0.3">
      <c r="A308" s="6" t="s">
        <v>488</v>
      </c>
      <c r="B308" s="6" t="s">
        <v>489</v>
      </c>
      <c r="C308" s="7">
        <f>G308-F308</f>
        <v>-975000</v>
      </c>
      <c r="D308" s="7">
        <v>975000</v>
      </c>
      <c r="E308" s="7">
        <v>0</v>
      </c>
      <c r="F308" s="7">
        <v>975000</v>
      </c>
      <c r="G308" s="7">
        <v>0</v>
      </c>
    </row>
    <row r="309" spans="1:7" x14ac:dyDescent="0.3">
      <c r="A309" s="6" t="s">
        <v>490</v>
      </c>
      <c r="B309" s="6" t="s">
        <v>491</v>
      </c>
      <c r="C309" s="7">
        <f>G309-F309</f>
        <v>-26119606.690000001</v>
      </c>
      <c r="D309" s="7">
        <v>28803356.690000001</v>
      </c>
      <c r="E309" s="7">
        <v>-205000</v>
      </c>
      <c r="F309" s="7">
        <v>28598356.690000001</v>
      </c>
      <c r="G309" s="7">
        <v>2478750</v>
      </c>
    </row>
    <row r="310" spans="1:7" x14ac:dyDescent="0.3">
      <c r="A310" s="6" t="s">
        <v>492</v>
      </c>
      <c r="B310" s="6" t="s">
        <v>493</v>
      </c>
      <c r="C310" s="7">
        <f>G310-F310</f>
        <v>-15153431.390000001</v>
      </c>
      <c r="D310" s="7">
        <v>16137431.390000001</v>
      </c>
      <c r="E310" s="7">
        <v>0</v>
      </c>
      <c r="F310" s="7">
        <v>16137431.390000001</v>
      </c>
      <c r="G310" s="7">
        <v>984000</v>
      </c>
    </row>
    <row r="311" spans="1:7" x14ac:dyDescent="0.3">
      <c r="A311" s="6" t="s">
        <v>494</v>
      </c>
      <c r="B311" s="6" t="s">
        <v>495</v>
      </c>
      <c r="C311" s="7">
        <f>G311-F311</f>
        <v>-7605200</v>
      </c>
      <c r="D311" s="7">
        <v>7967700</v>
      </c>
      <c r="E311" s="7">
        <v>0</v>
      </c>
      <c r="F311" s="7">
        <v>7967700</v>
      </c>
      <c r="G311" s="7">
        <v>362500</v>
      </c>
    </row>
    <row r="312" spans="1:7" x14ac:dyDescent="0.3">
      <c r="A312" s="6" t="s">
        <v>496</v>
      </c>
      <c r="B312" s="6" t="s">
        <v>497</v>
      </c>
      <c r="C312" s="7">
        <f>G312-F312</f>
        <v>-1758650</v>
      </c>
      <c r="D312" s="7">
        <v>1855530</v>
      </c>
      <c r="E312" s="7">
        <v>-6780</v>
      </c>
      <c r="F312" s="7">
        <v>1848750</v>
      </c>
      <c r="G312" s="7">
        <v>90100</v>
      </c>
    </row>
    <row r="313" spans="1:7" x14ac:dyDescent="0.3">
      <c r="A313" s="6" t="s">
        <v>498</v>
      </c>
      <c r="B313" s="6" t="s">
        <v>499</v>
      </c>
      <c r="C313" s="7">
        <f>G313-F313</f>
        <v>-113017216.93000001</v>
      </c>
      <c r="D313" s="7">
        <v>119256628.93000001</v>
      </c>
      <c r="E313" s="7">
        <v>-48366</v>
      </c>
      <c r="F313" s="7">
        <v>119208262.93000001</v>
      </c>
      <c r="G313" s="7">
        <v>6191046</v>
      </c>
    </row>
    <row r="314" spans="1:7" x14ac:dyDescent="0.3">
      <c r="A314" s="6" t="s">
        <v>500</v>
      </c>
      <c r="B314" s="6" t="s">
        <v>501</v>
      </c>
      <c r="C314" s="7">
        <f>G314-F314</f>
        <v>-4290840</v>
      </c>
      <c r="D314" s="7">
        <v>4290840</v>
      </c>
      <c r="E314" s="7">
        <v>0</v>
      </c>
      <c r="F314" s="7">
        <v>4290840</v>
      </c>
      <c r="G314" s="7">
        <v>0</v>
      </c>
    </row>
    <row r="315" spans="1:7" x14ac:dyDescent="0.3">
      <c r="A315" s="6" t="s">
        <v>502</v>
      </c>
      <c r="B315" s="6" t="s">
        <v>503</v>
      </c>
      <c r="C315" s="7">
        <f>G315-F315</f>
        <v>-14338265</v>
      </c>
      <c r="D315" s="7">
        <v>16038265</v>
      </c>
      <c r="E315" s="7">
        <v>0</v>
      </c>
      <c r="F315" s="7">
        <v>16038265</v>
      </c>
      <c r="G315" s="7">
        <v>1700000</v>
      </c>
    </row>
    <row r="316" spans="1:7" x14ac:dyDescent="0.3">
      <c r="A316" s="6" t="s">
        <v>504</v>
      </c>
      <c r="B316" s="6" t="s">
        <v>505</v>
      </c>
      <c r="C316" s="7">
        <f>G316-F316</f>
        <v>-1412204.74</v>
      </c>
      <c r="D316" s="7">
        <v>1412204.74</v>
      </c>
      <c r="E316" s="7">
        <v>0</v>
      </c>
      <c r="F316" s="7">
        <v>1412204.74</v>
      </c>
      <c r="G316" s="7">
        <v>0</v>
      </c>
    </row>
    <row r="317" spans="1:7" x14ac:dyDescent="0.3">
      <c r="A317" s="6" t="s">
        <v>506</v>
      </c>
      <c r="B317" s="6" t="s">
        <v>507</v>
      </c>
      <c r="C317" s="7">
        <f>G317-F317</f>
        <v>-534730.43000000005</v>
      </c>
      <c r="D317" s="7">
        <v>534730.43000000005</v>
      </c>
      <c r="E317" s="7">
        <v>0</v>
      </c>
      <c r="F317" s="7">
        <v>534730.43000000005</v>
      </c>
      <c r="G317" s="7">
        <v>0</v>
      </c>
    </row>
    <row r="318" spans="1:7" x14ac:dyDescent="0.3">
      <c r="A318" s="6" t="s">
        <v>508</v>
      </c>
      <c r="B318" s="6" t="s">
        <v>509</v>
      </c>
      <c r="C318" s="7">
        <f>G318-F318</f>
        <v>-500000</v>
      </c>
      <c r="D318" s="7">
        <v>500000</v>
      </c>
      <c r="E318" s="7">
        <v>0</v>
      </c>
      <c r="F318" s="7">
        <v>500000</v>
      </c>
      <c r="G318" s="7">
        <v>0</v>
      </c>
    </row>
    <row r="319" spans="1:7" x14ac:dyDescent="0.3">
      <c r="A319" s="6" t="s">
        <v>510</v>
      </c>
      <c r="B319" s="6" t="s">
        <v>511</v>
      </c>
      <c r="C319" s="7">
        <f>G319-F319</f>
        <v>-1079000</v>
      </c>
      <c r="D319" s="7">
        <v>1143500</v>
      </c>
      <c r="E319" s="7">
        <v>0</v>
      </c>
      <c r="F319" s="7">
        <v>1143500</v>
      </c>
      <c r="G319" s="7">
        <v>64500</v>
      </c>
    </row>
    <row r="320" spans="1:7" x14ac:dyDescent="0.3">
      <c r="A320" s="6" t="s">
        <v>512</v>
      </c>
      <c r="B320" s="6" t="s">
        <v>513</v>
      </c>
      <c r="C320" s="7">
        <f>G320-F320</f>
        <v>-952300</v>
      </c>
      <c r="D320" s="7">
        <v>952300</v>
      </c>
      <c r="E320" s="7">
        <v>0</v>
      </c>
      <c r="F320" s="7">
        <v>952300</v>
      </c>
      <c r="G320" s="7">
        <v>0</v>
      </c>
    </row>
    <row r="321" spans="1:7" x14ac:dyDescent="0.3">
      <c r="A321" s="6" t="s">
        <v>514</v>
      </c>
      <c r="B321" s="6" t="s">
        <v>515</v>
      </c>
      <c r="C321" s="7">
        <f>G321-F321</f>
        <v>-47399199.800000004</v>
      </c>
      <c r="D321" s="7">
        <v>48930880.880000003</v>
      </c>
      <c r="E321" s="7">
        <v>-139356</v>
      </c>
      <c r="F321" s="7">
        <v>48791524.880000003</v>
      </c>
      <c r="G321" s="7">
        <v>1392325.08</v>
      </c>
    </row>
    <row r="322" spans="1:7" x14ac:dyDescent="0.3">
      <c r="A322" s="6" t="s">
        <v>516</v>
      </c>
      <c r="B322" s="6" t="s">
        <v>517</v>
      </c>
      <c r="C322" s="7">
        <f>G322-F322</f>
        <v>-40000</v>
      </c>
      <c r="D322" s="7">
        <v>40000</v>
      </c>
      <c r="E322" s="7">
        <v>0</v>
      </c>
      <c r="F322" s="7">
        <v>40000</v>
      </c>
      <c r="G322" s="7">
        <v>0</v>
      </c>
    </row>
    <row r="323" spans="1:7" x14ac:dyDescent="0.3">
      <c r="A323" s="6" t="s">
        <v>518</v>
      </c>
      <c r="B323" s="6" t="s">
        <v>519</v>
      </c>
      <c r="C323" s="7">
        <f>G323-F323</f>
        <v>-536550</v>
      </c>
      <c r="D323" s="7">
        <v>566550</v>
      </c>
      <c r="E323" s="7">
        <v>0</v>
      </c>
      <c r="F323" s="7">
        <v>566550</v>
      </c>
      <c r="G323" s="7">
        <v>30000</v>
      </c>
    </row>
    <row r="324" spans="1:7" x14ac:dyDescent="0.3">
      <c r="A324" s="6" t="s">
        <v>520</v>
      </c>
      <c r="B324" s="6" t="s">
        <v>521</v>
      </c>
      <c r="C324" s="7">
        <f>G324-F324</f>
        <v>-1557680</v>
      </c>
      <c r="D324" s="7">
        <v>1693780</v>
      </c>
      <c r="E324" s="7">
        <v>0</v>
      </c>
      <c r="F324" s="7">
        <v>1693780</v>
      </c>
      <c r="G324" s="7">
        <v>136100</v>
      </c>
    </row>
    <row r="325" spans="1:7" x14ac:dyDescent="0.3">
      <c r="A325" s="6" t="s">
        <v>522</v>
      </c>
      <c r="B325" s="6" t="s">
        <v>523</v>
      </c>
      <c r="C325" s="7">
        <f>G325-F325</f>
        <v>-31800</v>
      </c>
      <c r="D325" s="7">
        <v>31800</v>
      </c>
      <c r="E325" s="7">
        <v>0</v>
      </c>
      <c r="F325" s="7">
        <v>31800</v>
      </c>
      <c r="G325" s="7">
        <v>0</v>
      </c>
    </row>
    <row r="326" spans="1:7" x14ac:dyDescent="0.3">
      <c r="A326" s="6" t="s">
        <v>524</v>
      </c>
      <c r="B326" s="6" t="s">
        <v>525</v>
      </c>
      <c r="C326" s="7">
        <f>G326-F326</f>
        <v>-289350</v>
      </c>
      <c r="D326" s="7">
        <v>289350</v>
      </c>
      <c r="E326" s="7">
        <v>0</v>
      </c>
      <c r="F326" s="7">
        <v>289350</v>
      </c>
      <c r="G326" s="7">
        <v>0</v>
      </c>
    </row>
    <row r="327" spans="1:7" x14ac:dyDescent="0.3">
      <c r="A327" s="6" t="s">
        <v>526</v>
      </c>
      <c r="B327" s="6" t="s">
        <v>527</v>
      </c>
      <c r="C327" s="7">
        <f>G327-F327</f>
        <v>-7650380</v>
      </c>
      <c r="D327" s="7">
        <v>9273080</v>
      </c>
      <c r="E327" s="7">
        <v>0</v>
      </c>
      <c r="F327" s="7">
        <v>9273080</v>
      </c>
      <c r="G327" s="7">
        <v>1622700</v>
      </c>
    </row>
    <row r="328" spans="1:7" x14ac:dyDescent="0.3">
      <c r="A328" s="6" t="s">
        <v>528</v>
      </c>
      <c r="B328" s="6" t="s">
        <v>529</v>
      </c>
      <c r="C328" s="7">
        <f>G328-F328</f>
        <v>-318700</v>
      </c>
      <c r="D328" s="7">
        <v>318700</v>
      </c>
      <c r="E328" s="7">
        <v>0</v>
      </c>
      <c r="F328" s="7">
        <v>318700</v>
      </c>
      <c r="G328" s="7">
        <v>0</v>
      </c>
    </row>
    <row r="329" spans="1:7" x14ac:dyDescent="0.3">
      <c r="A329" s="6" t="s">
        <v>530</v>
      </c>
      <c r="B329" s="6" t="s">
        <v>531</v>
      </c>
      <c r="C329" s="7">
        <f>G329-F329</f>
        <v>-432000</v>
      </c>
      <c r="D329" s="7">
        <v>432000</v>
      </c>
      <c r="E329" s="7">
        <v>0</v>
      </c>
      <c r="F329" s="7">
        <v>432000</v>
      </c>
      <c r="G329" s="7">
        <v>0</v>
      </c>
    </row>
    <row r="330" spans="1:7" x14ac:dyDescent="0.3">
      <c r="A330" s="6" t="s">
        <v>532</v>
      </c>
      <c r="B330" s="6" t="s">
        <v>533</v>
      </c>
      <c r="C330" s="7">
        <f>G330-F330</f>
        <v>-6943650</v>
      </c>
      <c r="D330" s="7">
        <v>7706650</v>
      </c>
      <c r="E330" s="7">
        <v>0</v>
      </c>
      <c r="F330" s="7">
        <v>7706650</v>
      </c>
      <c r="G330" s="7">
        <v>763000</v>
      </c>
    </row>
    <row r="331" spans="1:7" x14ac:dyDescent="0.3">
      <c r="A331" s="6" t="s">
        <v>534</v>
      </c>
      <c r="B331" s="6" t="s">
        <v>535</v>
      </c>
      <c r="C331" s="7">
        <f>G331-F331</f>
        <v>-906800</v>
      </c>
      <c r="D331" s="7">
        <v>906800</v>
      </c>
      <c r="E331" s="7">
        <v>0</v>
      </c>
      <c r="F331" s="7">
        <v>906800</v>
      </c>
      <c r="G331" s="7">
        <v>0</v>
      </c>
    </row>
    <row r="332" spans="1:7" x14ac:dyDescent="0.3">
      <c r="A332" s="6" t="s">
        <v>536</v>
      </c>
      <c r="B332" s="6" t="s">
        <v>537</v>
      </c>
      <c r="C332" s="7">
        <f>G332-F332</f>
        <v>-16687521.940000001</v>
      </c>
      <c r="D332" s="7">
        <v>17450959.940000001</v>
      </c>
      <c r="E332" s="7">
        <v>0</v>
      </c>
      <c r="F332" s="7">
        <v>17450959.940000001</v>
      </c>
      <c r="G332" s="7">
        <v>763438</v>
      </c>
    </row>
    <row r="333" spans="1:7" x14ac:dyDescent="0.3">
      <c r="A333" s="6" t="s">
        <v>538</v>
      </c>
      <c r="B333" s="6" t="s">
        <v>539</v>
      </c>
      <c r="C333" s="7">
        <f>G333-F333</f>
        <v>-1530450</v>
      </c>
      <c r="D333" s="7">
        <v>1724050</v>
      </c>
      <c r="E333" s="7">
        <v>0</v>
      </c>
      <c r="F333" s="7">
        <v>1724050</v>
      </c>
      <c r="G333" s="7">
        <v>193600</v>
      </c>
    </row>
    <row r="334" spans="1:7" x14ac:dyDescent="0.3">
      <c r="A334" s="6" t="s">
        <v>540</v>
      </c>
      <c r="B334" s="6" t="s">
        <v>541</v>
      </c>
      <c r="C334" s="7">
        <f>G334-F334</f>
        <v>-183500</v>
      </c>
      <c r="D334" s="7">
        <v>183500</v>
      </c>
      <c r="E334" s="7">
        <v>0</v>
      </c>
      <c r="F334" s="7">
        <v>183500</v>
      </c>
      <c r="G334" s="7">
        <v>0</v>
      </c>
    </row>
    <row r="335" spans="1:7" x14ac:dyDescent="0.3">
      <c r="A335" s="6" t="s">
        <v>542</v>
      </c>
      <c r="B335" s="6" t="s">
        <v>543</v>
      </c>
      <c r="C335" s="7">
        <f>G335-F335</f>
        <v>-52000</v>
      </c>
      <c r="D335" s="7">
        <v>52000</v>
      </c>
      <c r="E335" s="7">
        <v>0</v>
      </c>
      <c r="F335" s="7">
        <v>52000</v>
      </c>
      <c r="G335" s="7">
        <v>0</v>
      </c>
    </row>
    <row r="336" spans="1:7" x14ac:dyDescent="0.3">
      <c r="A336" s="6" t="s">
        <v>544</v>
      </c>
      <c r="B336" s="6" t="s">
        <v>545</v>
      </c>
      <c r="C336" s="7">
        <f>G336-F336</f>
        <v>-1237727.7</v>
      </c>
      <c r="D336" s="7">
        <v>1237727.7</v>
      </c>
      <c r="E336" s="7">
        <v>0</v>
      </c>
      <c r="F336" s="7">
        <v>1237727.7</v>
      </c>
      <c r="G336" s="7">
        <v>0</v>
      </c>
    </row>
    <row r="337" spans="1:7" x14ac:dyDescent="0.3">
      <c r="A337" s="6" t="s">
        <v>546</v>
      </c>
      <c r="B337" s="6" t="s">
        <v>547</v>
      </c>
      <c r="C337" s="7">
        <f>G337-F337</f>
        <v>-23611901.789999999</v>
      </c>
      <c r="D337" s="7">
        <v>23611901.789999999</v>
      </c>
      <c r="E337" s="7">
        <v>0</v>
      </c>
      <c r="F337" s="7">
        <v>23611901.789999999</v>
      </c>
      <c r="G337" s="7">
        <v>0</v>
      </c>
    </row>
    <row r="338" spans="1:7" x14ac:dyDescent="0.3">
      <c r="A338" s="6" t="s">
        <v>548</v>
      </c>
      <c r="B338" s="6" t="s">
        <v>549</v>
      </c>
      <c r="C338" s="7">
        <f>G338-F338</f>
        <v>-47928875.520000003</v>
      </c>
      <c r="D338" s="7">
        <v>47928875.520000003</v>
      </c>
      <c r="E338" s="7">
        <v>0</v>
      </c>
      <c r="F338" s="7">
        <v>47928875.520000003</v>
      </c>
      <c r="G338" s="7">
        <v>0</v>
      </c>
    </row>
    <row r="339" spans="1:7" x14ac:dyDescent="0.3">
      <c r="A339" s="6" t="s">
        <v>550</v>
      </c>
      <c r="B339" s="6" t="s">
        <v>551</v>
      </c>
      <c r="C339" s="7">
        <f>G339-F339</f>
        <v>-1659990</v>
      </c>
      <c r="D339" s="7">
        <v>1659990</v>
      </c>
      <c r="E339" s="7">
        <v>0</v>
      </c>
      <c r="F339" s="7">
        <v>1659990</v>
      </c>
      <c r="G339" s="7">
        <v>0</v>
      </c>
    </row>
    <row r="340" spans="1:7" x14ac:dyDescent="0.3">
      <c r="A340" s="5" t="s">
        <v>7</v>
      </c>
    </row>
    <row r="341" spans="1:7" customFormat="1" ht="14.5" x14ac:dyDescent="0.35">
      <c r="A341" s="9"/>
      <c r="B341" s="9"/>
      <c r="C341" s="10"/>
      <c r="D341" s="10"/>
      <c r="E341" s="10"/>
      <c r="F341" s="10"/>
      <c r="G341" s="10"/>
    </row>
    <row r="342" spans="1:7" ht="13.5" thickBot="1" x14ac:dyDescent="0.35">
      <c r="A342" s="6" t="s">
        <v>7</v>
      </c>
      <c r="B342" s="6" t="s">
        <v>552</v>
      </c>
      <c r="C342" s="7">
        <f>G342-F342</f>
        <v>0</v>
      </c>
      <c r="D342" s="8">
        <f>ROUND(SUBTOTAL(9, D2:D341), 5)</f>
        <v>42535678910.339996</v>
      </c>
      <c r="E342" s="8">
        <f>ROUND(SUBTOTAL(9, E2:E341), 5)</f>
        <v>-42535678910.339996</v>
      </c>
      <c r="F342" s="8">
        <f>ROUND(SUBTOTAL(9, F2:F341), 5)</f>
        <v>0</v>
      </c>
      <c r="G342" s="8">
        <f>ROUND(SUBTOTAL(9, G2:G341), 5)</f>
        <v>0</v>
      </c>
    </row>
    <row r="343" spans="1:7" customFormat="1" ht="15.5" thickTop="1" thickBot="1" x14ac:dyDescent="0.4">
      <c r="A343" s="11"/>
      <c r="B343" s="11"/>
      <c r="C343" s="12"/>
      <c r="D343" s="12"/>
      <c r="E343" s="12"/>
      <c r="F343" s="12"/>
      <c r="G343" s="12"/>
    </row>
  </sheetData>
  <pageMargins left="0.7" right="0.7" top="1.2222222222222223" bottom="0.65277777777777779" header="0.3" footer="0.3"/>
  <pageSetup orientation="landscape" r:id="rId1"/>
  <headerFooter>
    <oddHeader xml:space="preserve">&amp;C&amp;"Times New Roman"&amp;10PLACEWARE NIGERIA LIMITED
Gl Account Summary Report
As of: June 30, 2026
&amp;L&amp;"Times New Roman"&amp;10
</oddHeader>
    <oddFooter>&amp;L&amp;08&amp;"MS San Serif"&amp;D at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 Account Summary</vt:lpstr>
      <vt:lpstr>'GL Account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2026-07-05T17:36:42Z</dcterms:created>
  <dcterms:modified xsi:type="dcterms:W3CDTF">2026-07-05T17:38:13Z</dcterms:modified>
</cp:coreProperties>
</file>