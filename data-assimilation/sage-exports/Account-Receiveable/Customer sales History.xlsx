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52FF17EF-6514-46EE-B37E-E7DA27F9E831}" xr6:coauthVersionLast="47" xr6:coauthVersionMax="47" xr10:uidLastSave="{00000000-0000-0000-0000-000000000000}"/>
  <bookViews>
    <workbookView xWindow="-110" yWindow="-110" windowWidth="19420" windowHeight="10300" xr2:uid="{D03AA681-3B78-48EA-A6E4-DF9BCFC6D86A}"/>
  </bookViews>
  <sheets>
    <sheet name="Customer Sales History" sheetId="1" r:id="rId1"/>
  </sheets>
  <definedNames>
    <definedName name="_xlnm.Print_Titles" localSheetId="0">'Customer Sales History'!$1:$1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96" i="1" l="1"/>
  <c r="E1096" i="1"/>
  <c r="D1096" i="1"/>
  <c r="C1096" i="1"/>
  <c r="F1094" i="1"/>
  <c r="E1094" i="1"/>
  <c r="F1093" i="1"/>
  <c r="E1093" i="1"/>
  <c r="F1092" i="1"/>
  <c r="E1092" i="1"/>
  <c r="F1091" i="1"/>
  <c r="E1091" i="1"/>
  <c r="F1090" i="1"/>
  <c r="E1090" i="1"/>
  <c r="F1089" i="1"/>
  <c r="E1089" i="1"/>
  <c r="F1088" i="1"/>
  <c r="E1088" i="1"/>
  <c r="F1087" i="1"/>
  <c r="E1087" i="1"/>
  <c r="F1086" i="1"/>
  <c r="E1086" i="1"/>
  <c r="F1085" i="1"/>
  <c r="E1085" i="1"/>
  <c r="F1084" i="1"/>
  <c r="E1084" i="1"/>
  <c r="F1083" i="1"/>
  <c r="E1083" i="1"/>
  <c r="F1082" i="1"/>
  <c r="E1082" i="1"/>
  <c r="F1081" i="1"/>
  <c r="E1081" i="1"/>
  <c r="F1080" i="1"/>
  <c r="E1080" i="1"/>
  <c r="F1079" i="1"/>
  <c r="E1079" i="1"/>
  <c r="F1078" i="1"/>
  <c r="E1078" i="1"/>
  <c r="F1077" i="1"/>
  <c r="E1077" i="1"/>
  <c r="F1076" i="1"/>
  <c r="E1076" i="1"/>
  <c r="F1075" i="1"/>
  <c r="E1075" i="1"/>
  <c r="F1074" i="1"/>
  <c r="E1074" i="1"/>
  <c r="F1073" i="1"/>
  <c r="E1073" i="1"/>
  <c r="F1072" i="1"/>
  <c r="E1072" i="1"/>
  <c r="F1071" i="1"/>
  <c r="E1071" i="1"/>
  <c r="F1070" i="1"/>
  <c r="E1070" i="1"/>
  <c r="F1069" i="1"/>
  <c r="E1069" i="1"/>
  <c r="F1068" i="1"/>
  <c r="E1068" i="1"/>
  <c r="F1067" i="1"/>
  <c r="E1067" i="1"/>
  <c r="F1066" i="1"/>
  <c r="E1066" i="1"/>
  <c r="F1065" i="1"/>
  <c r="E1065" i="1"/>
  <c r="F1064" i="1"/>
  <c r="E1064" i="1"/>
  <c r="F1063" i="1"/>
  <c r="E1063" i="1"/>
  <c r="F1062" i="1"/>
  <c r="E1062" i="1"/>
  <c r="F1061" i="1"/>
  <c r="E1061" i="1"/>
  <c r="F1060" i="1"/>
  <c r="E1060" i="1"/>
  <c r="F1059" i="1"/>
  <c r="E1059" i="1"/>
  <c r="F1058" i="1"/>
  <c r="E1058" i="1"/>
  <c r="F1057" i="1"/>
  <c r="E1057" i="1"/>
  <c r="F1056" i="1"/>
  <c r="E1056" i="1"/>
  <c r="F1055" i="1"/>
  <c r="E1055" i="1"/>
  <c r="F1054" i="1"/>
  <c r="E1054" i="1"/>
  <c r="F1053" i="1"/>
  <c r="E1053" i="1"/>
  <c r="F1052" i="1"/>
  <c r="E1052" i="1"/>
  <c r="F1051" i="1"/>
  <c r="E1051" i="1"/>
  <c r="F1050" i="1"/>
  <c r="E1050" i="1"/>
  <c r="F1049" i="1"/>
  <c r="E1049" i="1"/>
  <c r="F1048" i="1"/>
  <c r="E1048" i="1"/>
  <c r="F1047" i="1"/>
  <c r="E1047" i="1"/>
  <c r="F1046" i="1"/>
  <c r="E1046" i="1"/>
  <c r="F1045" i="1"/>
  <c r="E1045" i="1"/>
  <c r="F1044" i="1"/>
  <c r="E1044" i="1"/>
  <c r="F1043" i="1"/>
  <c r="E1043" i="1"/>
  <c r="F1042" i="1"/>
  <c r="E1042" i="1"/>
  <c r="F1041" i="1"/>
  <c r="E1041" i="1"/>
  <c r="F1040" i="1"/>
  <c r="E1040" i="1"/>
  <c r="F1039" i="1"/>
  <c r="E1039" i="1"/>
  <c r="F1038" i="1"/>
  <c r="E1038" i="1"/>
  <c r="F1037" i="1"/>
  <c r="E1037" i="1"/>
  <c r="F1036" i="1"/>
  <c r="E1036" i="1"/>
  <c r="F1035" i="1"/>
  <c r="E1035" i="1"/>
  <c r="F1034" i="1"/>
  <c r="E1034" i="1"/>
  <c r="F1033" i="1"/>
  <c r="E1033" i="1"/>
  <c r="F1032" i="1"/>
  <c r="E1032" i="1"/>
  <c r="F1031" i="1"/>
  <c r="E1031" i="1"/>
  <c r="F1030" i="1"/>
  <c r="E1030" i="1"/>
  <c r="F1029" i="1"/>
  <c r="E1029" i="1"/>
  <c r="F1028" i="1"/>
  <c r="E1028" i="1"/>
  <c r="F1027" i="1"/>
  <c r="E1027" i="1"/>
  <c r="F1026" i="1"/>
  <c r="E1026" i="1"/>
  <c r="F1025" i="1"/>
  <c r="E1025" i="1"/>
  <c r="F1024" i="1"/>
  <c r="E1024" i="1"/>
  <c r="F1023" i="1"/>
  <c r="E1023" i="1"/>
  <c r="F1022" i="1"/>
  <c r="E1022" i="1"/>
  <c r="F1021" i="1"/>
  <c r="E1021" i="1"/>
  <c r="F1020" i="1"/>
  <c r="E1020" i="1"/>
  <c r="F1019" i="1"/>
  <c r="E1019" i="1"/>
  <c r="F1018" i="1"/>
  <c r="E1018" i="1"/>
  <c r="F1017" i="1"/>
  <c r="E1017" i="1"/>
  <c r="F1016" i="1"/>
  <c r="E1016" i="1"/>
  <c r="F1015" i="1"/>
  <c r="E1015" i="1"/>
  <c r="F1014" i="1"/>
  <c r="E1014" i="1"/>
  <c r="F1013" i="1"/>
  <c r="E1013" i="1"/>
  <c r="F1012" i="1"/>
  <c r="E1012" i="1"/>
  <c r="F1011" i="1"/>
  <c r="E1011" i="1"/>
  <c r="F1010" i="1"/>
  <c r="E1010" i="1"/>
  <c r="F1009" i="1"/>
  <c r="E1009" i="1"/>
  <c r="F1008" i="1"/>
  <c r="E1008" i="1"/>
  <c r="F1007" i="1"/>
  <c r="E1007" i="1"/>
  <c r="F1006" i="1"/>
  <c r="E1006" i="1"/>
  <c r="F1005" i="1"/>
  <c r="E1005" i="1"/>
  <c r="F1004" i="1"/>
  <c r="E1004" i="1"/>
  <c r="F1003" i="1"/>
  <c r="E1003" i="1"/>
  <c r="F1002" i="1"/>
  <c r="E1002" i="1"/>
  <c r="F1001" i="1"/>
  <c r="E1001" i="1"/>
  <c r="F1000" i="1"/>
  <c r="E1000" i="1"/>
  <c r="F999" i="1"/>
  <c r="E999" i="1"/>
  <c r="F998" i="1"/>
  <c r="E998" i="1"/>
  <c r="F997" i="1"/>
  <c r="E997" i="1"/>
  <c r="F996" i="1"/>
  <c r="E996" i="1"/>
  <c r="F995" i="1"/>
  <c r="E995" i="1"/>
  <c r="F994" i="1"/>
  <c r="E994" i="1"/>
  <c r="F993" i="1"/>
  <c r="E993" i="1"/>
  <c r="F992" i="1"/>
  <c r="E992" i="1"/>
  <c r="F991" i="1"/>
  <c r="E991" i="1"/>
  <c r="F990" i="1"/>
  <c r="E990" i="1"/>
  <c r="F989" i="1"/>
  <c r="E989" i="1"/>
  <c r="F988" i="1"/>
  <c r="E988" i="1"/>
  <c r="F987" i="1"/>
  <c r="E987" i="1"/>
  <c r="F986" i="1"/>
  <c r="E986" i="1"/>
  <c r="F985" i="1"/>
  <c r="E985" i="1"/>
  <c r="F984" i="1"/>
  <c r="E984" i="1"/>
  <c r="F983" i="1"/>
  <c r="E983" i="1"/>
  <c r="F982" i="1"/>
  <c r="E982" i="1"/>
  <c r="F981" i="1"/>
  <c r="E981" i="1"/>
  <c r="F980" i="1"/>
  <c r="E980" i="1"/>
  <c r="F979" i="1"/>
  <c r="E979" i="1"/>
  <c r="F978" i="1"/>
  <c r="E978" i="1"/>
  <c r="F977" i="1"/>
  <c r="E977" i="1"/>
  <c r="F976" i="1"/>
  <c r="E976" i="1"/>
  <c r="F975" i="1"/>
  <c r="E975" i="1"/>
  <c r="F974" i="1"/>
  <c r="E974" i="1"/>
  <c r="F973" i="1"/>
  <c r="E973" i="1"/>
  <c r="F972" i="1"/>
  <c r="E972" i="1"/>
  <c r="F971" i="1"/>
  <c r="E971" i="1"/>
  <c r="F970" i="1"/>
  <c r="E970" i="1"/>
  <c r="F969" i="1"/>
  <c r="E969" i="1"/>
  <c r="F968" i="1"/>
  <c r="E968" i="1"/>
  <c r="F967" i="1"/>
  <c r="E967" i="1"/>
  <c r="F966" i="1"/>
  <c r="E966" i="1"/>
  <c r="F965" i="1"/>
  <c r="E965" i="1"/>
  <c r="F964" i="1"/>
  <c r="E964" i="1"/>
  <c r="F963" i="1"/>
  <c r="E963" i="1"/>
  <c r="F962" i="1"/>
  <c r="E962" i="1"/>
  <c r="F961" i="1"/>
  <c r="E961" i="1"/>
  <c r="F960" i="1"/>
  <c r="E960" i="1"/>
  <c r="F959" i="1"/>
  <c r="E959" i="1"/>
  <c r="F958" i="1"/>
  <c r="E958" i="1"/>
  <c r="F957" i="1"/>
  <c r="E957" i="1"/>
  <c r="F956" i="1"/>
  <c r="E956" i="1"/>
  <c r="F955" i="1"/>
  <c r="E955" i="1"/>
  <c r="F954" i="1"/>
  <c r="E954" i="1"/>
  <c r="F953" i="1"/>
  <c r="E953" i="1"/>
  <c r="F952" i="1"/>
  <c r="E952" i="1"/>
  <c r="F951" i="1"/>
  <c r="E951" i="1"/>
  <c r="F950" i="1"/>
  <c r="E950" i="1"/>
  <c r="F949" i="1"/>
  <c r="E949" i="1"/>
  <c r="F948" i="1"/>
  <c r="E948" i="1"/>
  <c r="F947" i="1"/>
  <c r="E947" i="1"/>
  <c r="F946" i="1"/>
  <c r="E946" i="1"/>
  <c r="F945" i="1"/>
  <c r="E945" i="1"/>
  <c r="F944" i="1"/>
  <c r="E944" i="1"/>
  <c r="F943" i="1"/>
  <c r="E943" i="1"/>
  <c r="F942" i="1"/>
  <c r="E942" i="1"/>
  <c r="F941" i="1"/>
  <c r="E941" i="1"/>
  <c r="F940" i="1"/>
  <c r="E940" i="1"/>
  <c r="F939" i="1"/>
  <c r="E939" i="1"/>
  <c r="F938" i="1"/>
  <c r="E938" i="1"/>
  <c r="F937" i="1"/>
  <c r="E937" i="1"/>
  <c r="F936" i="1"/>
  <c r="E936" i="1"/>
  <c r="F935" i="1"/>
  <c r="E935" i="1"/>
  <c r="F934" i="1"/>
  <c r="E934" i="1"/>
  <c r="F933" i="1"/>
  <c r="E933" i="1"/>
  <c r="F932" i="1"/>
  <c r="E932" i="1"/>
  <c r="F931" i="1"/>
  <c r="E931" i="1"/>
  <c r="F930" i="1"/>
  <c r="E930" i="1"/>
  <c r="F929" i="1"/>
  <c r="E929" i="1"/>
  <c r="F928" i="1"/>
  <c r="E928" i="1"/>
  <c r="F927" i="1"/>
  <c r="E927" i="1"/>
  <c r="F926" i="1"/>
  <c r="E926" i="1"/>
  <c r="F925" i="1"/>
  <c r="E925" i="1"/>
  <c r="F924" i="1"/>
  <c r="E924" i="1"/>
  <c r="F923" i="1"/>
  <c r="E923" i="1"/>
  <c r="F922" i="1"/>
  <c r="E922" i="1"/>
  <c r="F921" i="1"/>
  <c r="E921" i="1"/>
  <c r="F920" i="1"/>
  <c r="E920" i="1"/>
  <c r="F919" i="1"/>
  <c r="E919" i="1"/>
  <c r="F918" i="1"/>
  <c r="E918" i="1"/>
  <c r="F917" i="1"/>
  <c r="E917" i="1"/>
  <c r="F916" i="1"/>
  <c r="E916" i="1"/>
  <c r="F915" i="1"/>
  <c r="E915" i="1"/>
  <c r="F914" i="1"/>
  <c r="E914" i="1"/>
  <c r="F913" i="1"/>
  <c r="E913" i="1"/>
  <c r="F912" i="1"/>
  <c r="E912" i="1"/>
  <c r="F911" i="1"/>
  <c r="E911" i="1"/>
  <c r="F910" i="1"/>
  <c r="E910" i="1"/>
  <c r="F909" i="1"/>
  <c r="E909" i="1"/>
  <c r="F908" i="1"/>
  <c r="E908" i="1"/>
  <c r="F907" i="1"/>
  <c r="E907" i="1"/>
  <c r="F906" i="1"/>
  <c r="E906" i="1"/>
  <c r="F905" i="1"/>
  <c r="E905" i="1"/>
  <c r="F904" i="1"/>
  <c r="E904" i="1"/>
  <c r="F903" i="1"/>
  <c r="E903" i="1"/>
  <c r="F902" i="1"/>
  <c r="E902" i="1"/>
  <c r="F901" i="1"/>
  <c r="E901" i="1"/>
  <c r="F900" i="1"/>
  <c r="E900" i="1"/>
  <c r="F899" i="1"/>
  <c r="E899" i="1"/>
  <c r="F898" i="1"/>
  <c r="E898" i="1"/>
  <c r="F897" i="1"/>
  <c r="E897" i="1"/>
  <c r="F896" i="1"/>
  <c r="E896" i="1"/>
  <c r="F895" i="1"/>
  <c r="E895" i="1"/>
  <c r="F894" i="1"/>
  <c r="E894" i="1"/>
  <c r="F893" i="1"/>
  <c r="E893" i="1"/>
  <c r="F892" i="1"/>
  <c r="E892" i="1"/>
  <c r="F891" i="1"/>
  <c r="E891" i="1"/>
  <c r="F890" i="1"/>
  <c r="E890" i="1"/>
  <c r="F889" i="1"/>
  <c r="E889" i="1"/>
  <c r="F888" i="1"/>
  <c r="E888" i="1"/>
  <c r="F887" i="1"/>
  <c r="E887" i="1"/>
  <c r="F886" i="1"/>
  <c r="E886" i="1"/>
  <c r="F885" i="1"/>
  <c r="E885" i="1"/>
  <c r="F884" i="1"/>
  <c r="E884" i="1"/>
  <c r="F883" i="1"/>
  <c r="E883" i="1"/>
  <c r="F882" i="1"/>
  <c r="E882" i="1"/>
  <c r="F881" i="1"/>
  <c r="E881" i="1"/>
  <c r="F880" i="1"/>
  <c r="E880" i="1"/>
  <c r="F879" i="1"/>
  <c r="E879" i="1"/>
  <c r="F878" i="1"/>
  <c r="E878" i="1"/>
  <c r="F877" i="1"/>
  <c r="E877" i="1"/>
  <c r="F876" i="1"/>
  <c r="E876" i="1"/>
  <c r="F875" i="1"/>
  <c r="E875" i="1"/>
  <c r="F874" i="1"/>
  <c r="E874" i="1"/>
  <c r="F873" i="1"/>
  <c r="E873" i="1"/>
  <c r="F872" i="1"/>
  <c r="E872" i="1"/>
  <c r="F871" i="1"/>
  <c r="E871" i="1"/>
  <c r="F870" i="1"/>
  <c r="E870" i="1"/>
  <c r="F869" i="1"/>
  <c r="E869" i="1"/>
  <c r="F868" i="1"/>
  <c r="E868" i="1"/>
  <c r="F867" i="1"/>
  <c r="E867" i="1"/>
  <c r="F866" i="1"/>
  <c r="E866" i="1"/>
  <c r="F865" i="1"/>
  <c r="E865" i="1"/>
  <c r="F864" i="1"/>
  <c r="E864" i="1"/>
  <c r="F863" i="1"/>
  <c r="E863" i="1"/>
  <c r="F862" i="1"/>
  <c r="E862" i="1"/>
  <c r="F861" i="1"/>
  <c r="E861" i="1"/>
  <c r="F860" i="1"/>
  <c r="E860" i="1"/>
  <c r="F859" i="1"/>
  <c r="E859" i="1"/>
  <c r="F858" i="1"/>
  <c r="E858" i="1"/>
  <c r="F857" i="1"/>
  <c r="E857" i="1"/>
  <c r="F856" i="1"/>
  <c r="E856" i="1"/>
  <c r="F855" i="1"/>
  <c r="E855" i="1"/>
  <c r="F854" i="1"/>
  <c r="E854" i="1"/>
  <c r="F853" i="1"/>
  <c r="E853" i="1"/>
  <c r="F852" i="1"/>
  <c r="E852" i="1"/>
  <c r="F851" i="1"/>
  <c r="E851" i="1"/>
  <c r="F850" i="1"/>
  <c r="E850" i="1"/>
  <c r="F849" i="1"/>
  <c r="E849" i="1"/>
  <c r="F848" i="1"/>
  <c r="E848" i="1"/>
  <c r="F847" i="1"/>
  <c r="E847" i="1"/>
  <c r="F846" i="1"/>
  <c r="E846" i="1"/>
  <c r="F845" i="1"/>
  <c r="E845" i="1"/>
  <c r="F844" i="1"/>
  <c r="E844" i="1"/>
  <c r="F843" i="1"/>
  <c r="E843" i="1"/>
  <c r="F842" i="1"/>
  <c r="E842" i="1"/>
  <c r="F841" i="1"/>
  <c r="E841" i="1"/>
  <c r="F840" i="1"/>
  <c r="E840" i="1"/>
  <c r="F839" i="1"/>
  <c r="E839" i="1"/>
  <c r="F838" i="1"/>
  <c r="E838" i="1"/>
  <c r="F837" i="1"/>
  <c r="E837" i="1"/>
  <c r="F836" i="1"/>
  <c r="E836" i="1"/>
  <c r="F835" i="1"/>
  <c r="E835" i="1"/>
  <c r="F834" i="1"/>
  <c r="E834" i="1"/>
  <c r="F833" i="1"/>
  <c r="E833" i="1"/>
  <c r="F832" i="1"/>
  <c r="E832" i="1"/>
  <c r="F831" i="1"/>
  <c r="E831" i="1"/>
  <c r="F830" i="1"/>
  <c r="E830" i="1"/>
  <c r="F829" i="1"/>
  <c r="E829" i="1"/>
  <c r="F828" i="1"/>
  <c r="E828" i="1"/>
  <c r="F827" i="1"/>
  <c r="E827" i="1"/>
  <c r="F826" i="1"/>
  <c r="E826" i="1"/>
  <c r="F825" i="1"/>
  <c r="E825" i="1"/>
  <c r="F824" i="1"/>
  <c r="E824" i="1"/>
  <c r="F823" i="1"/>
  <c r="E823" i="1"/>
  <c r="F822" i="1"/>
  <c r="E822" i="1"/>
  <c r="F821" i="1"/>
  <c r="E821" i="1"/>
  <c r="F820" i="1"/>
  <c r="E820" i="1"/>
  <c r="F819" i="1"/>
  <c r="E819" i="1"/>
  <c r="F818" i="1"/>
  <c r="E818" i="1"/>
  <c r="F817" i="1"/>
  <c r="E817" i="1"/>
  <c r="F816" i="1"/>
  <c r="E816" i="1"/>
  <c r="F815" i="1"/>
  <c r="E815" i="1"/>
  <c r="F814" i="1"/>
  <c r="E814" i="1"/>
  <c r="F813" i="1"/>
  <c r="E813" i="1"/>
  <c r="F812" i="1"/>
  <c r="E812" i="1"/>
  <c r="F811" i="1"/>
  <c r="E811" i="1"/>
  <c r="F810" i="1"/>
  <c r="E810" i="1"/>
  <c r="F809" i="1"/>
  <c r="E809" i="1"/>
  <c r="F808" i="1"/>
  <c r="E808" i="1"/>
  <c r="F807" i="1"/>
  <c r="E807" i="1"/>
  <c r="F806" i="1"/>
  <c r="E806" i="1"/>
  <c r="F805" i="1"/>
  <c r="E805" i="1"/>
  <c r="F804" i="1"/>
  <c r="E804" i="1"/>
  <c r="F803" i="1"/>
  <c r="E803" i="1"/>
  <c r="F802" i="1"/>
  <c r="E802" i="1"/>
  <c r="F801" i="1"/>
  <c r="E801" i="1"/>
  <c r="F800" i="1"/>
  <c r="E800" i="1"/>
  <c r="F799" i="1"/>
  <c r="E799" i="1"/>
  <c r="F798" i="1"/>
  <c r="E798" i="1"/>
  <c r="F797" i="1"/>
  <c r="E797" i="1"/>
  <c r="F796" i="1"/>
  <c r="E796" i="1"/>
  <c r="F795" i="1"/>
  <c r="E795" i="1"/>
  <c r="F794" i="1"/>
  <c r="E794" i="1"/>
  <c r="F793" i="1"/>
  <c r="E793" i="1"/>
  <c r="F792" i="1"/>
  <c r="E792" i="1"/>
  <c r="F791" i="1"/>
  <c r="E791" i="1"/>
  <c r="F790" i="1"/>
  <c r="E790" i="1"/>
  <c r="F789" i="1"/>
  <c r="E789" i="1"/>
  <c r="F788" i="1"/>
  <c r="E788" i="1"/>
  <c r="F787" i="1"/>
  <c r="E787" i="1"/>
  <c r="F786" i="1"/>
  <c r="E786" i="1"/>
  <c r="F785" i="1"/>
  <c r="E785" i="1"/>
  <c r="F784" i="1"/>
  <c r="E784" i="1"/>
  <c r="F783" i="1"/>
  <c r="E783" i="1"/>
  <c r="F782" i="1"/>
  <c r="E782" i="1"/>
  <c r="F781" i="1"/>
  <c r="E781" i="1"/>
  <c r="F780" i="1"/>
  <c r="E780" i="1"/>
  <c r="F779" i="1"/>
  <c r="E779" i="1"/>
  <c r="F778" i="1"/>
  <c r="E778" i="1"/>
  <c r="F777" i="1"/>
  <c r="E777" i="1"/>
  <c r="F776" i="1"/>
  <c r="E776" i="1"/>
  <c r="F775" i="1"/>
  <c r="E775" i="1"/>
  <c r="F774" i="1"/>
  <c r="E774" i="1"/>
  <c r="F773" i="1"/>
  <c r="E773" i="1"/>
  <c r="F772" i="1"/>
  <c r="E772" i="1"/>
  <c r="F771" i="1"/>
  <c r="E771" i="1"/>
  <c r="F770" i="1"/>
  <c r="E770" i="1"/>
  <c r="F769" i="1"/>
  <c r="E769" i="1"/>
  <c r="F768" i="1"/>
  <c r="E768" i="1"/>
  <c r="F767" i="1"/>
  <c r="E767" i="1"/>
  <c r="F766" i="1"/>
  <c r="E766" i="1"/>
  <c r="F765" i="1"/>
  <c r="E765" i="1"/>
  <c r="F764" i="1"/>
  <c r="E764" i="1"/>
  <c r="F763" i="1"/>
  <c r="E763" i="1"/>
  <c r="F762" i="1"/>
  <c r="E762" i="1"/>
  <c r="F761" i="1"/>
  <c r="E761" i="1"/>
  <c r="F760" i="1"/>
  <c r="E760" i="1"/>
  <c r="F759" i="1"/>
  <c r="E759" i="1"/>
  <c r="F758" i="1"/>
  <c r="E758" i="1"/>
  <c r="F757" i="1"/>
  <c r="E757" i="1"/>
  <c r="F756" i="1"/>
  <c r="E756" i="1"/>
  <c r="F755" i="1"/>
  <c r="E755" i="1"/>
  <c r="F754" i="1"/>
  <c r="E754" i="1"/>
  <c r="F753" i="1"/>
  <c r="E753" i="1"/>
  <c r="F752" i="1"/>
  <c r="E752" i="1"/>
  <c r="F751" i="1"/>
  <c r="E751" i="1"/>
  <c r="F750" i="1"/>
  <c r="E750" i="1"/>
  <c r="F749" i="1"/>
  <c r="E749" i="1"/>
  <c r="F748" i="1"/>
  <c r="E748" i="1"/>
  <c r="F747" i="1"/>
  <c r="E747" i="1"/>
  <c r="F746" i="1"/>
  <c r="E746" i="1"/>
  <c r="F745" i="1"/>
  <c r="E745" i="1"/>
  <c r="F744" i="1"/>
  <c r="E744" i="1"/>
  <c r="F743" i="1"/>
  <c r="E743" i="1"/>
  <c r="F742" i="1"/>
  <c r="E742" i="1"/>
  <c r="F741" i="1"/>
  <c r="E741" i="1"/>
  <c r="F740" i="1"/>
  <c r="E740" i="1"/>
  <c r="F739" i="1"/>
  <c r="E739" i="1"/>
  <c r="F738" i="1"/>
  <c r="E738" i="1"/>
  <c r="F737" i="1"/>
  <c r="E737" i="1"/>
  <c r="F736" i="1"/>
  <c r="E736" i="1"/>
  <c r="F735" i="1"/>
  <c r="E735" i="1"/>
  <c r="F734" i="1"/>
  <c r="E734" i="1"/>
  <c r="F733" i="1"/>
  <c r="E733" i="1"/>
  <c r="F732" i="1"/>
  <c r="E732" i="1"/>
  <c r="F731" i="1"/>
  <c r="E731" i="1"/>
  <c r="F730" i="1"/>
  <c r="E730" i="1"/>
  <c r="F729" i="1"/>
  <c r="E729" i="1"/>
  <c r="F728" i="1"/>
  <c r="E728" i="1"/>
  <c r="F727" i="1"/>
  <c r="E727" i="1"/>
  <c r="F726" i="1"/>
  <c r="E726" i="1"/>
  <c r="F725" i="1"/>
  <c r="E725" i="1"/>
  <c r="F724" i="1"/>
  <c r="E724" i="1"/>
  <c r="F723" i="1"/>
  <c r="E723" i="1"/>
  <c r="F722" i="1"/>
  <c r="E722" i="1"/>
  <c r="F721" i="1"/>
  <c r="E721" i="1"/>
  <c r="F720" i="1"/>
  <c r="E720" i="1"/>
  <c r="F719" i="1"/>
  <c r="E719" i="1"/>
  <c r="F718" i="1"/>
  <c r="E718" i="1"/>
  <c r="F717" i="1"/>
  <c r="E717" i="1"/>
  <c r="F716" i="1"/>
  <c r="E716" i="1"/>
  <c r="F715" i="1"/>
  <c r="E715" i="1"/>
  <c r="F714" i="1"/>
  <c r="E714" i="1"/>
  <c r="F713" i="1"/>
  <c r="E713" i="1"/>
  <c r="F712" i="1"/>
  <c r="E712" i="1"/>
  <c r="F711" i="1"/>
  <c r="E711" i="1"/>
  <c r="F710" i="1"/>
  <c r="E710" i="1"/>
  <c r="F709" i="1"/>
  <c r="E709" i="1"/>
  <c r="F708" i="1"/>
  <c r="E708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1" i="1"/>
  <c r="E701" i="1"/>
  <c r="F700" i="1"/>
  <c r="E700" i="1"/>
  <c r="F699" i="1"/>
  <c r="E699" i="1"/>
  <c r="F698" i="1"/>
  <c r="E698" i="1"/>
  <c r="F697" i="1"/>
  <c r="E697" i="1"/>
  <c r="F696" i="1"/>
  <c r="E696" i="1"/>
  <c r="F695" i="1"/>
  <c r="E695" i="1"/>
  <c r="F694" i="1"/>
  <c r="E694" i="1"/>
  <c r="F693" i="1"/>
  <c r="E693" i="1"/>
  <c r="F692" i="1"/>
  <c r="E692" i="1"/>
  <c r="F691" i="1"/>
  <c r="E691" i="1"/>
  <c r="F690" i="1"/>
  <c r="E690" i="1"/>
  <c r="F689" i="1"/>
  <c r="E689" i="1"/>
  <c r="F688" i="1"/>
  <c r="E688" i="1"/>
  <c r="F687" i="1"/>
  <c r="E687" i="1"/>
  <c r="F686" i="1"/>
  <c r="E686" i="1"/>
  <c r="F685" i="1"/>
  <c r="E685" i="1"/>
  <c r="F684" i="1"/>
  <c r="E684" i="1"/>
  <c r="F683" i="1"/>
  <c r="E683" i="1"/>
  <c r="F682" i="1"/>
  <c r="E682" i="1"/>
  <c r="F681" i="1"/>
  <c r="E681" i="1"/>
  <c r="F680" i="1"/>
  <c r="E680" i="1"/>
  <c r="F679" i="1"/>
  <c r="E679" i="1"/>
  <c r="F678" i="1"/>
  <c r="E678" i="1"/>
  <c r="F677" i="1"/>
  <c r="E677" i="1"/>
  <c r="F676" i="1"/>
  <c r="E676" i="1"/>
  <c r="F675" i="1"/>
  <c r="E675" i="1"/>
  <c r="F674" i="1"/>
  <c r="E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E666" i="1"/>
  <c r="F665" i="1"/>
  <c r="E665" i="1"/>
  <c r="F664" i="1"/>
  <c r="E664" i="1"/>
  <c r="F663" i="1"/>
  <c r="E663" i="1"/>
  <c r="F662" i="1"/>
  <c r="E662" i="1"/>
  <c r="F661" i="1"/>
  <c r="E661" i="1"/>
  <c r="F660" i="1"/>
  <c r="E660" i="1"/>
  <c r="F659" i="1"/>
  <c r="E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E652" i="1"/>
  <c r="F651" i="1"/>
  <c r="E651" i="1"/>
  <c r="F650" i="1"/>
  <c r="E650" i="1"/>
  <c r="F649" i="1"/>
  <c r="E649" i="1"/>
  <c r="F648" i="1"/>
  <c r="E648" i="1"/>
  <c r="F647" i="1"/>
  <c r="E647" i="1"/>
  <c r="F646" i="1"/>
  <c r="E646" i="1"/>
  <c r="F645" i="1"/>
  <c r="E645" i="1"/>
  <c r="F644" i="1"/>
  <c r="E644" i="1"/>
  <c r="F643" i="1"/>
  <c r="E643" i="1"/>
  <c r="F642" i="1"/>
  <c r="E642" i="1"/>
  <c r="F641" i="1"/>
  <c r="E641" i="1"/>
  <c r="F640" i="1"/>
  <c r="E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E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20" i="1"/>
  <c r="E620" i="1"/>
  <c r="F619" i="1"/>
  <c r="E619" i="1"/>
  <c r="F618" i="1"/>
  <c r="E618" i="1"/>
  <c r="F617" i="1"/>
  <c r="E617" i="1"/>
  <c r="F616" i="1"/>
  <c r="E616" i="1"/>
  <c r="F615" i="1"/>
  <c r="E615" i="1"/>
  <c r="F614" i="1"/>
  <c r="E614" i="1"/>
  <c r="F613" i="1"/>
  <c r="E613" i="1"/>
  <c r="F612" i="1"/>
  <c r="E612" i="1"/>
  <c r="F611" i="1"/>
  <c r="E611" i="1"/>
  <c r="F610" i="1"/>
  <c r="E610" i="1"/>
  <c r="F609" i="1"/>
  <c r="E609" i="1"/>
  <c r="F608" i="1"/>
  <c r="E608" i="1"/>
  <c r="F607" i="1"/>
  <c r="E607" i="1"/>
  <c r="F606" i="1"/>
  <c r="E606" i="1"/>
  <c r="F605" i="1"/>
  <c r="E605" i="1"/>
  <c r="F604" i="1"/>
  <c r="E604" i="1"/>
  <c r="F603" i="1"/>
  <c r="E603" i="1"/>
  <c r="F602" i="1"/>
  <c r="E602" i="1"/>
  <c r="F601" i="1"/>
  <c r="E601" i="1"/>
  <c r="F600" i="1"/>
  <c r="E600" i="1"/>
  <c r="F599" i="1"/>
  <c r="E599" i="1"/>
  <c r="F598" i="1"/>
  <c r="E598" i="1"/>
  <c r="F597" i="1"/>
  <c r="E597" i="1"/>
  <c r="F596" i="1"/>
  <c r="E596" i="1"/>
  <c r="F595" i="1"/>
  <c r="E595" i="1"/>
  <c r="F594" i="1"/>
  <c r="E594" i="1"/>
  <c r="F593" i="1"/>
  <c r="E593" i="1"/>
  <c r="F592" i="1"/>
  <c r="E592" i="1"/>
  <c r="F591" i="1"/>
  <c r="E591" i="1"/>
  <c r="F590" i="1"/>
  <c r="E590" i="1"/>
  <c r="F589" i="1"/>
  <c r="E589" i="1"/>
  <c r="F588" i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E576" i="1"/>
  <c r="F575" i="1"/>
  <c r="E575" i="1"/>
  <c r="F574" i="1"/>
  <c r="E574" i="1"/>
  <c r="F573" i="1"/>
  <c r="E573" i="1"/>
  <c r="F572" i="1"/>
  <c r="E572" i="1"/>
  <c r="F571" i="1"/>
  <c r="E571" i="1"/>
  <c r="F570" i="1"/>
  <c r="E570" i="1"/>
  <c r="F569" i="1"/>
  <c r="E569" i="1"/>
  <c r="F568" i="1"/>
  <c r="E568" i="1"/>
  <c r="F567" i="1"/>
  <c r="E567" i="1"/>
  <c r="F566" i="1"/>
  <c r="E566" i="1"/>
  <c r="F565" i="1"/>
  <c r="E565" i="1"/>
  <c r="F564" i="1"/>
  <c r="E564" i="1"/>
  <c r="F563" i="1"/>
  <c r="E563" i="1"/>
  <c r="F562" i="1"/>
  <c r="E562" i="1"/>
  <c r="F561" i="1"/>
  <c r="E561" i="1"/>
  <c r="F560" i="1"/>
  <c r="E560" i="1"/>
  <c r="F559" i="1"/>
  <c r="E559" i="1"/>
  <c r="F558" i="1"/>
  <c r="E558" i="1"/>
  <c r="F557" i="1"/>
  <c r="E557" i="1"/>
  <c r="F556" i="1"/>
  <c r="E556" i="1"/>
  <c r="F555" i="1"/>
  <c r="E555" i="1"/>
  <c r="F554" i="1"/>
  <c r="E554" i="1"/>
  <c r="F553" i="1"/>
  <c r="E553" i="1"/>
  <c r="F552" i="1"/>
  <c r="E552" i="1"/>
  <c r="F551" i="1"/>
  <c r="E551" i="1"/>
  <c r="F550" i="1"/>
  <c r="E550" i="1"/>
  <c r="F549" i="1"/>
  <c r="E549" i="1"/>
  <c r="F548" i="1"/>
  <c r="E548" i="1"/>
  <c r="F547" i="1"/>
  <c r="E547" i="1"/>
  <c r="F546" i="1"/>
  <c r="E546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<sst xmlns="http://schemas.openxmlformats.org/spreadsheetml/2006/main" count="2194" uniqueCount="1582">
  <si>
    <t>Customer ID</t>
  </si>
  <si>
    <t>Name</t>
  </si>
  <si>
    <t>Amount</t>
  </si>
  <si>
    <t>Cost of Sales</t>
  </si>
  <si>
    <t>Gross Profit</t>
  </si>
  <si>
    <t>Gross Margin</t>
  </si>
  <si>
    <t>3 Dee Pharmacy</t>
  </si>
  <si>
    <t>3 Dee Pharmacy(Pharm mrs Akpulu)</t>
  </si>
  <si>
    <t>360 Degree Pharmacy</t>
  </si>
  <si>
    <t>A-Ilupeju Health&amp; We</t>
  </si>
  <si>
    <t>A-Ilupeju Health&amp; Wellness Clinic</t>
  </si>
  <si>
    <t>AB 10 Hospital</t>
  </si>
  <si>
    <t>ABBEY'S PAEDIATIC</t>
  </si>
  <si>
    <t>Abegunde Damilola.</t>
  </si>
  <si>
    <t>Abegunde DAmilola</t>
  </si>
  <si>
    <t>Abike Pharmacy</t>
  </si>
  <si>
    <t>Abuad Pharmacy</t>
  </si>
  <si>
    <t>ACCA</t>
  </si>
  <si>
    <t>Ace Medicare</t>
  </si>
  <si>
    <t>Adedeji Hospital</t>
  </si>
  <si>
    <t>Adedoyin Hospital</t>
  </si>
  <si>
    <t>Adefemi Hospital</t>
  </si>
  <si>
    <t>Adeola Matomi</t>
  </si>
  <si>
    <t>Adepeju Health Centr</t>
  </si>
  <si>
    <t>Adepeju Health Centre</t>
  </si>
  <si>
    <t>Adewale Olufunmilayo</t>
  </si>
  <si>
    <t>Adeyemi Medical Serv</t>
  </si>
  <si>
    <t>Adeyemi Medical Services</t>
  </si>
  <si>
    <t>Adorn Life Pharmacy</t>
  </si>
  <si>
    <t>Aero Clinic.</t>
  </si>
  <si>
    <t>Afonja Hospital</t>
  </si>
  <si>
    <t>Afriglobal Medicare</t>
  </si>
  <si>
    <t>Afriglobal Medicare Limited.</t>
  </si>
  <si>
    <t>Agape Care Lab Ser</t>
  </si>
  <si>
    <t>Agape Care Laboratory Service</t>
  </si>
  <si>
    <t>Agege Local Govt</t>
  </si>
  <si>
    <t>Agnosys Technology</t>
  </si>
  <si>
    <t>Aguda Hospital</t>
  </si>
  <si>
    <t>Ahmadiya Hospital</t>
  </si>
  <si>
    <t>Aiico MultiShield HM</t>
  </si>
  <si>
    <t>Aiico MultiShield HMO</t>
  </si>
  <si>
    <t>Air Force Base Benin</t>
  </si>
  <si>
    <t>Air Force Base Benin City</t>
  </si>
  <si>
    <t>Air Force Base Hosp</t>
  </si>
  <si>
    <t>Air Force Base Hospital</t>
  </si>
  <si>
    <t>Airforce Onikan</t>
  </si>
  <si>
    <t>Ajao Samud Pharmacy</t>
  </si>
  <si>
    <t>Ajayi Hospital</t>
  </si>
  <si>
    <t>Ajayi Medical Centre</t>
  </si>
  <si>
    <t>Al-Sadiq Hospital</t>
  </si>
  <si>
    <t>Alaere Eguaikhe.</t>
  </si>
  <si>
    <t>Alalade Memorial  Hx</t>
  </si>
  <si>
    <t>Alalade Memorial Hospital</t>
  </si>
  <si>
    <t>ALECSA / Natbam px</t>
  </si>
  <si>
    <t>ALECSA / Nathbam px.</t>
  </si>
  <si>
    <t>Alhaji Azeez</t>
  </si>
  <si>
    <t>Alimaan Hospital</t>
  </si>
  <si>
    <t>All Drugs Pharmacy</t>
  </si>
  <si>
    <t>All Gate Pharmacy</t>
  </si>
  <si>
    <t>Alpha Beta Hospital</t>
  </si>
  <si>
    <t>ALPHA PHAMARCY LEKKI</t>
  </si>
  <si>
    <t>ALPHA PHARMACY LEKKI</t>
  </si>
  <si>
    <t>Alpha Pharmacy</t>
  </si>
  <si>
    <t>Alpha PX Airforce</t>
  </si>
  <si>
    <t>Alpha Px Airforce Base</t>
  </si>
  <si>
    <t>Amazing Hospital</t>
  </si>
  <si>
    <t>Ameso HX Ojota</t>
  </si>
  <si>
    <t>AMESO HOSPITAL</t>
  </si>
  <si>
    <t>Anchor University HC</t>
  </si>
  <si>
    <t>Anchor University Health Centre</t>
  </si>
  <si>
    <t>Anchorlink Pharmacy</t>
  </si>
  <si>
    <t>Ancillia Hospital</t>
  </si>
  <si>
    <t>Aniyun Hospital</t>
  </si>
  <si>
    <t>ANNOX NIG. LTD</t>
  </si>
  <si>
    <t>ANNOX NIG.LTD</t>
  </si>
  <si>
    <t>Anthonio Cardina Med</t>
  </si>
  <si>
    <t>Apex Pharma Lab</t>
  </si>
  <si>
    <t>ApexCare Hospital</t>
  </si>
  <si>
    <t>Aramokeye PHARMACY</t>
  </si>
  <si>
    <t>ARAMOKEYE  PHARMACY</t>
  </si>
  <si>
    <t>Arch Angel Clinic</t>
  </si>
  <si>
    <t>Archbishop Vinning</t>
  </si>
  <si>
    <t>Archbishop Vinning Clinic</t>
  </si>
  <si>
    <t>Aregbesola Health</t>
  </si>
  <si>
    <t>Aregbesola Health Centre</t>
  </si>
  <si>
    <t>ARENA HEALTH CENTRE</t>
  </si>
  <si>
    <t>Arthrimed Specialist</t>
  </si>
  <si>
    <t>Arthrimed Specialist Clinic</t>
  </si>
  <si>
    <t>Arubah Specialist Hx</t>
  </si>
  <si>
    <t>Arubah Specialist Hospital</t>
  </si>
  <si>
    <t>ARUKAH PHARMACY</t>
  </si>
  <si>
    <t>Aruna Ogun</t>
  </si>
  <si>
    <t>Assumption Px&amp; Store</t>
  </si>
  <si>
    <t>Assumption Pharmacy&amp; Stores</t>
  </si>
  <si>
    <t>Ave Maria Hospital</t>
  </si>
  <si>
    <t>Ave Maria Hospital.</t>
  </si>
  <si>
    <t>Aviation Medical</t>
  </si>
  <si>
    <t>Aviation Medical Clinic.</t>
  </si>
  <si>
    <t>AVLSC Nig Ltd</t>
  </si>
  <si>
    <t>AVMCC Clinic</t>
  </si>
  <si>
    <t>Avon Medical Service</t>
  </si>
  <si>
    <t>Avon Medical Services</t>
  </si>
  <si>
    <t>AXA MANSARD</t>
  </si>
  <si>
    <t>Axa Mansard One Heal</t>
  </si>
  <si>
    <t>Axa Mansard One Health Hospital</t>
  </si>
  <si>
    <t>Ayinke (LASUTH)</t>
  </si>
  <si>
    <t>Ayis Hospital</t>
  </si>
  <si>
    <t>AYIS HOSPITAL</t>
  </si>
  <si>
    <t>Ayodeji Hospital.</t>
  </si>
  <si>
    <t>Ayodeji Hospital</t>
  </si>
  <si>
    <t>Ayodele Hospital</t>
  </si>
  <si>
    <t>Ayokunmi Ogunyemi</t>
  </si>
  <si>
    <t>B.J Pharmacy</t>
  </si>
  <si>
    <t>Babcock University</t>
  </si>
  <si>
    <t>Balm of Gilead Hosp.</t>
  </si>
  <si>
    <t>Balm of Gilead Hosp</t>
  </si>
  <si>
    <t>Barata Pharmacy</t>
  </si>
  <si>
    <t>BayPharm</t>
  </si>
  <si>
    <t>Bbtto  Body Affairs</t>
  </si>
  <si>
    <t>Bbtto Body Affairs Diagnostics</t>
  </si>
  <si>
    <t>Beachland Specialist</t>
  </si>
  <si>
    <t>Beachland Specialist Hospital</t>
  </si>
  <si>
    <t>Beat Pharmacy</t>
  </si>
  <si>
    <t>Bemonik Interbiz</t>
  </si>
  <si>
    <t>Bemonik Interbiz.</t>
  </si>
  <si>
    <t>Ben Grace Johnson</t>
  </si>
  <si>
    <t>Bengoz Maternity</t>
  </si>
  <si>
    <t>Bengoz Maternity Home</t>
  </si>
  <si>
    <t>Benow Pharmacy</t>
  </si>
  <si>
    <t>BENOW PHARMACY</t>
  </si>
  <si>
    <t>Benson Health Centre</t>
  </si>
  <si>
    <t>Berald Diagnostic</t>
  </si>
  <si>
    <t>Berald Diagnostic Centre</t>
  </si>
  <si>
    <t>Bernice Hospital</t>
  </si>
  <si>
    <t>Best Samaria Royal H</t>
  </si>
  <si>
    <t>Best Samaria Royal Hospital</t>
  </si>
  <si>
    <t>Beth Gloria pharmacy</t>
  </si>
  <si>
    <t>Beth Gloria Pharmacy</t>
  </si>
  <si>
    <t>Bibilomo Jubril.</t>
  </si>
  <si>
    <t>Biesante Hospital</t>
  </si>
  <si>
    <t>Big Cross Pharmacy</t>
  </si>
  <si>
    <t>Biosafe Pharmacy</t>
  </si>
  <si>
    <t>Birch Clinic</t>
  </si>
  <si>
    <t>BK'Zeem Pharmacy</t>
  </si>
  <si>
    <t>Blessed E Hospital</t>
  </si>
  <si>
    <t>Blessed E. Hospital</t>
  </si>
  <si>
    <t>Bliss Pharmacy</t>
  </si>
  <si>
    <t>Bloom Boom Paediatri</t>
  </si>
  <si>
    <t>Bloom Boom Paediatric Centre</t>
  </si>
  <si>
    <t>Blooming Care Hospit</t>
  </si>
  <si>
    <t>Blooming Care Hospital</t>
  </si>
  <si>
    <t>Blossom Family Healt</t>
  </si>
  <si>
    <t>Blossom Family Healthcare</t>
  </si>
  <si>
    <t>Blue Cross Hospital</t>
  </si>
  <si>
    <t>Blue Gate Hospital</t>
  </si>
  <si>
    <t>Blue Gate Pharmacy</t>
  </si>
  <si>
    <t>Blueseal Pharmarcy</t>
  </si>
  <si>
    <t>Blueseal Pharmacy</t>
  </si>
  <si>
    <t>Boardland Hospital</t>
  </si>
  <si>
    <t>Bob Specialist</t>
  </si>
  <si>
    <t>Bofap Hospital</t>
  </si>
  <si>
    <t>Bold Hospital</t>
  </si>
  <si>
    <t>Boluke Pharmacy</t>
  </si>
  <si>
    <t>Bonne Santee</t>
  </si>
  <si>
    <t>Brafus Specialist Ho</t>
  </si>
  <si>
    <t>Brafus Specialist Hospital</t>
  </si>
  <si>
    <t>Bright Future Hospit</t>
  </si>
  <si>
    <t>Bright Future Hospital</t>
  </si>
  <si>
    <t>Bright hope hospita</t>
  </si>
  <si>
    <t>Bright hope hospital</t>
  </si>
  <si>
    <t>Brightmex Pharmacy</t>
  </si>
  <si>
    <t>Broadland Hospital</t>
  </si>
  <si>
    <t>Broadlife Medical</t>
  </si>
  <si>
    <t>Bronila Med. Centre</t>
  </si>
  <si>
    <t>Bronila Medical Centre</t>
  </si>
  <si>
    <t>Bronk Premier Hospit</t>
  </si>
  <si>
    <t>Bronk Premier Hospital</t>
  </si>
  <si>
    <t>Bukky Novo Nordisk</t>
  </si>
  <si>
    <t>Bunmi Pharmasymbiosi</t>
  </si>
  <si>
    <t>Bunmi Pharmasymbiosis</t>
  </si>
  <si>
    <t>Busola Pharmasymbios</t>
  </si>
  <si>
    <t>Busola Pharmasymbiosis</t>
  </si>
  <si>
    <t>C H O P</t>
  </si>
  <si>
    <t>c h o p</t>
  </si>
  <si>
    <t>C. Matron Royan Hosp</t>
  </si>
  <si>
    <t>C.C.U LASUTH</t>
  </si>
  <si>
    <t>Cadbury Nig Ltd</t>
  </si>
  <si>
    <t>Canvas Hospital</t>
  </si>
  <si>
    <t>Cardiac &amp; Renal Cent</t>
  </si>
  <si>
    <t>Cardiac &amp; Renal Centre</t>
  </si>
  <si>
    <t>Care 1st Hospital</t>
  </si>
  <si>
    <t>Care Givers Hospital</t>
  </si>
  <si>
    <t>Care Med Clinic</t>
  </si>
  <si>
    <t>CARE POINT HOSPITAL</t>
  </si>
  <si>
    <t>Care Value Health</t>
  </si>
  <si>
    <t>Carecore Pharma Ltd</t>
  </si>
  <si>
    <t>Carecore Pharmacy Ltd</t>
  </si>
  <si>
    <t>Carlisle Pharmacy</t>
  </si>
  <si>
    <t>Carnamed Pharmacy</t>
  </si>
  <si>
    <t>Carnamed Pharmacy.</t>
  </si>
  <si>
    <t>Cash And Carry Pharm</t>
  </si>
  <si>
    <t>Cash And Carry Pharmacy Unit 2</t>
  </si>
  <si>
    <t>CBPI Foundation</t>
  </si>
  <si>
    <t>Community Based Participatory Immunizat</t>
  </si>
  <si>
    <t>Cedar Clinic</t>
  </si>
  <si>
    <t>CentrePoint Medical</t>
  </si>
  <si>
    <t>CentrePoint Medical Service</t>
  </si>
  <si>
    <t>Charistan HealthCare</t>
  </si>
  <si>
    <t>Charistan Health Care</t>
  </si>
  <si>
    <t>Chemart Pharmacy</t>
  </si>
  <si>
    <t>Cherith Hospital</t>
  </si>
  <si>
    <t>Chest Clinic</t>
  </si>
  <si>
    <t>Child care</t>
  </si>
  <si>
    <t>Child care Peadiatric centre</t>
  </si>
  <si>
    <t>Childkid Children Hx</t>
  </si>
  <si>
    <t>Children's Practice</t>
  </si>
  <si>
    <t>Chilpharm Pharmacy</t>
  </si>
  <si>
    <t>Chioma Clinks Diagn</t>
  </si>
  <si>
    <t>Chioma Clinks Diagnostic Centre</t>
  </si>
  <si>
    <t>Chion Family &amp; Medic</t>
  </si>
  <si>
    <t>Chion Family &amp; Medical Centre</t>
  </si>
  <si>
    <t>Chironna Medical Cen</t>
  </si>
  <si>
    <t>Chironna Medical Centre</t>
  </si>
  <si>
    <t>Chosen Vessel</t>
  </si>
  <si>
    <t>Chris Ejik Pharmacy</t>
  </si>
  <si>
    <t>Chris health PX</t>
  </si>
  <si>
    <t>Chris Health Pharmacy</t>
  </si>
  <si>
    <t>Chriysolite Pharmacy</t>
  </si>
  <si>
    <t>Chronicare Diabetes</t>
  </si>
  <si>
    <t>Chronicare Diabetes Centre</t>
  </si>
  <si>
    <t>Citizen Medical Cent</t>
  </si>
  <si>
    <t>Citizen Medical Centre</t>
  </si>
  <si>
    <t>Cityscape Specialist</t>
  </si>
  <si>
    <t>Cityscape Specialist Hospital</t>
  </si>
  <si>
    <t>Clap Healthcare</t>
  </si>
  <si>
    <t>Clinic On The Hill</t>
  </si>
  <si>
    <t>Clinique De Mercy</t>
  </si>
  <si>
    <t>Clinique De Mercy Hospital</t>
  </si>
  <si>
    <t>CLINIQUE MEDIK PHARM</t>
  </si>
  <si>
    <t>CLINIQUE MEDIK PHARMACY AND STORE LTD</t>
  </si>
  <si>
    <t>Colposcopy LUTH</t>
  </si>
  <si>
    <t>Come Alive Pharmacy</t>
  </si>
  <si>
    <t>Come Alive Pharmacy Limited</t>
  </si>
  <si>
    <t>Comfort Hospital</t>
  </si>
  <si>
    <t>Community Health Cen</t>
  </si>
  <si>
    <t>Community Health Centre OAUTHC</t>
  </si>
  <si>
    <t>Community&amp;Pry Health</t>
  </si>
  <si>
    <t>Comm &amp; Pry Health Pharmacy  LASUTH</t>
  </si>
  <si>
    <t>Consultant Practice</t>
  </si>
  <si>
    <t>Cornel Health</t>
  </si>
  <si>
    <t>CornerStone Hospital</t>
  </si>
  <si>
    <t>Cosbi Pharmacy</t>
  </si>
  <si>
    <t>Coscare Hospital</t>
  </si>
  <si>
    <t>COSMODEM MEDICAL CEN</t>
  </si>
  <si>
    <t>COSMODEM MEDICAL CENTRE</t>
  </si>
  <si>
    <t>County Hospital</t>
  </si>
  <si>
    <t>Covenant Medical Cen</t>
  </si>
  <si>
    <t>Covenant Medical Centre</t>
  </si>
  <si>
    <t>Coxwell Hospital</t>
  </si>
  <si>
    <t>Crest Hospital</t>
  </si>
  <si>
    <t>Crestmed Pharmacy</t>
  </si>
  <si>
    <t>Critical Rescue Resp</t>
  </si>
  <si>
    <t>critical Rescue Response</t>
  </si>
  <si>
    <t>Croabay Medical Cent</t>
  </si>
  <si>
    <t>Croabay Medical Centre</t>
  </si>
  <si>
    <t>Crusaints Hospital</t>
  </si>
  <si>
    <t>Crusaints Hospitalc/o Dr Oyedele Jibayo</t>
  </si>
  <si>
    <t>Crystal Hospital</t>
  </si>
  <si>
    <t>Cynthia Iroegbulem</t>
  </si>
  <si>
    <t>Cynthia iroegbulem</t>
  </si>
  <si>
    <t>Cypress Hill Hospita</t>
  </si>
  <si>
    <t>Cypress Hill Hosptial Oregun</t>
  </si>
  <si>
    <t>D &amp; M  PHARMACY</t>
  </si>
  <si>
    <t>D L Y</t>
  </si>
  <si>
    <t>D-Lite  Pharmacy</t>
  </si>
  <si>
    <t>D-Lite pharmacy</t>
  </si>
  <si>
    <t>Dabak Pharmacy</t>
  </si>
  <si>
    <t>Dafe Medical Centre</t>
  </si>
  <si>
    <t>Damikay Hosp Ikeja</t>
  </si>
  <si>
    <t>Damikay Hospital Ikeja</t>
  </si>
  <si>
    <t>DAMIKAY HOSPITAL</t>
  </si>
  <si>
    <t>Damilola - Olu Pharm</t>
  </si>
  <si>
    <t>Damilola - Olu Pharmacy</t>
  </si>
  <si>
    <t>DAMILOLA PHARMACY</t>
  </si>
  <si>
    <t>DAMILOLA PHARMACYi</t>
  </si>
  <si>
    <t>Danax Pharmacy</t>
  </si>
  <si>
    <t>DANOUR PHARMACY</t>
  </si>
  <si>
    <t>Daplar Pharmacy</t>
  </si>
  <si>
    <t>Dasochris Hospital</t>
  </si>
  <si>
    <t>David Pharmacy</t>
  </si>
  <si>
    <t>Day Spring Hospital</t>
  </si>
  <si>
    <t>De Yula Specialist</t>
  </si>
  <si>
    <t>De Yula Specialist Hospital</t>
  </si>
  <si>
    <t>DE-Eilz Women and Ch</t>
  </si>
  <si>
    <t>De-Eliz Women and Childern HX</t>
  </si>
  <si>
    <t>De-Marvel Hospital</t>
  </si>
  <si>
    <t>De-New Aiyetoro Hosp</t>
  </si>
  <si>
    <t>De-New Aiyetoro Hospital</t>
  </si>
  <si>
    <t>DE-Right Source Hosp</t>
  </si>
  <si>
    <t>De- Right Source Hospital</t>
  </si>
  <si>
    <t>Dejumo Hospital</t>
  </si>
  <si>
    <t>Deright Source Hosp</t>
  </si>
  <si>
    <t>Deright Source Hospital</t>
  </si>
  <si>
    <t>Derry Clinic</t>
  </si>
  <si>
    <t>Deseret Hospital</t>
  </si>
  <si>
    <t>Destella Pharmacy</t>
  </si>
  <si>
    <t>Dew lane Pharmacy</t>
  </si>
  <si>
    <t>Dew lane Pharmnacy c/o Biodun Sanofi Re</t>
  </si>
  <si>
    <t>Diamond Grace Pharma</t>
  </si>
  <si>
    <t>Diamond Grace Pharmacy &amp; Supermarket</t>
  </si>
  <si>
    <t>Diatician Ace Medica</t>
  </si>
  <si>
    <t>Diatician Ace Medicare</t>
  </si>
  <si>
    <t>Divine Grace Med Cen</t>
  </si>
  <si>
    <t>Divine Grace Med Centre</t>
  </si>
  <si>
    <t>DIVINE SPEC. CLINIC</t>
  </si>
  <si>
    <t>DIVINE SPECIALIST CLINIC LTD</t>
  </si>
  <si>
    <t>Doren HX</t>
  </si>
  <si>
    <t>Doren HX Ajah</t>
  </si>
  <si>
    <t>Dozie &amp; Dozie Pharm</t>
  </si>
  <si>
    <t>Dozie &amp; Dozie Pharm Nig Ltd</t>
  </si>
  <si>
    <t>Dr (Mrs) Bamigboje</t>
  </si>
  <si>
    <t>Dr Abara</t>
  </si>
  <si>
    <t>Dr Adelekan Oluseyi</t>
  </si>
  <si>
    <t>Dr Adeoye</t>
  </si>
  <si>
    <t>Dr Adeoye CMAC</t>
  </si>
  <si>
    <t>DR AIYEDUN</t>
  </si>
  <si>
    <t>Dr Akeredolu Ibadan</t>
  </si>
  <si>
    <t>Dr Akinlade GH VI</t>
  </si>
  <si>
    <t>Dr Ali</t>
  </si>
  <si>
    <t>Dr Ayodeji Akinola</t>
  </si>
  <si>
    <t>Dr Babalola</t>
  </si>
  <si>
    <t>Dr Bae</t>
  </si>
  <si>
    <t>Dr Dauda Adekunle</t>
  </si>
  <si>
    <t>Dr Diya</t>
  </si>
  <si>
    <t>Dr Ejeye U.I</t>
  </si>
  <si>
    <t>Dr Esele Ekuaze</t>
  </si>
  <si>
    <t>Dr Fasimade Luth</t>
  </si>
  <si>
    <t>Dr Fasimade c/o Serenity Hx</t>
  </si>
  <si>
    <t>Dr Femi Oyekan</t>
  </si>
  <si>
    <t>Dr Fernandes</t>
  </si>
  <si>
    <t>DR JOKOH.</t>
  </si>
  <si>
    <t>DR JOKOH</t>
  </si>
  <si>
    <t>DR KAYODE ADEGBOYEGA</t>
  </si>
  <si>
    <t>Dr Kolawole</t>
  </si>
  <si>
    <t>Dr Martins Obiorah</t>
  </si>
  <si>
    <t>Dr Mustapha</t>
  </si>
  <si>
    <t>Dr Nebe Festac</t>
  </si>
  <si>
    <t>Dr Nwaneni</t>
  </si>
  <si>
    <t>Dr Obi Princewill</t>
  </si>
  <si>
    <t>Dr Odunuga GSK</t>
  </si>
  <si>
    <t>DR OHAZURIKE</t>
  </si>
  <si>
    <t>Dr Olasupo P&amp;G Hosp</t>
  </si>
  <si>
    <t>Dr Olasupo P&amp;G Hospital</t>
  </si>
  <si>
    <t>Dr Omikunle</t>
  </si>
  <si>
    <t>Dr Omikunle Igbobi HX</t>
  </si>
  <si>
    <t>Dr Oshinmokun NAAF</t>
  </si>
  <si>
    <t>Dr Oshoba Babatunde</t>
  </si>
  <si>
    <t>Dr Popoola LASUTH</t>
  </si>
  <si>
    <t>Dr Prosper Aguh</t>
  </si>
  <si>
    <t>Dr Seun Akinola</t>
  </si>
  <si>
    <t>Dr Smith</t>
  </si>
  <si>
    <t>Dr Taiwo Ojo</t>
  </si>
  <si>
    <t>Dr Victor c/o Havana</t>
  </si>
  <si>
    <t>Dr Winifred</t>
  </si>
  <si>
    <t>Dr. Adejumo</t>
  </si>
  <si>
    <t>Dr. Iroha -Luth</t>
  </si>
  <si>
    <t>Dr Iroha-Luth</t>
  </si>
  <si>
    <t>Dr.Ojo</t>
  </si>
  <si>
    <t>Dr. Ojo</t>
  </si>
  <si>
    <t>Drug Cafe Pharmacy</t>
  </si>
  <si>
    <t>Drug consult Pharmac</t>
  </si>
  <si>
    <t>Drug consult Pharmacy</t>
  </si>
  <si>
    <t>Drug Lane Pharmacy</t>
  </si>
  <si>
    <t>DRUG MASTER PX</t>
  </si>
  <si>
    <t>Drug master pharmacy</t>
  </si>
  <si>
    <t>Drug Well Pharmacy</t>
  </si>
  <si>
    <t>DrugStoc Pharmacy</t>
  </si>
  <si>
    <t>Duchess Hospital</t>
  </si>
  <si>
    <t>Duro Sholeye</t>
  </si>
  <si>
    <t>Eboa Hospital</t>
  </si>
  <si>
    <t>Edchart Pharmacy</t>
  </si>
  <si>
    <t>Edna Specialist Hosp</t>
  </si>
  <si>
    <t>Edna Specialist Hospital</t>
  </si>
  <si>
    <t>Egbeda Pharmacy</t>
  </si>
  <si>
    <t>Eko Hosp Cervical</t>
  </si>
  <si>
    <t>Eko Hospital Cervical Project</t>
  </si>
  <si>
    <t>Eko Hospital</t>
  </si>
  <si>
    <t>El-Amen Health Centr</t>
  </si>
  <si>
    <t>El-Amen Health Centre</t>
  </si>
  <si>
    <t>El-Beth Pharmacy</t>
  </si>
  <si>
    <t>El-Bethel Hospital</t>
  </si>
  <si>
    <t>Elan&amp; Bloom Pharmacy</t>
  </si>
  <si>
    <t>Elan &amp; Bloom Pharmacy</t>
  </si>
  <si>
    <t>Elizabeth Godson</t>
  </si>
  <si>
    <t>Elmed Pharmacy</t>
  </si>
  <si>
    <t>Emel Hospital</t>
  </si>
  <si>
    <t>Emirate Hospital</t>
  </si>
  <si>
    <t>Emis Hospital</t>
  </si>
  <si>
    <t>ENSACOM PHARMACY</t>
  </si>
  <si>
    <t>Erijof Pharmacy</t>
  </si>
  <si>
    <t>Essyontop Pharmacy</t>
  </si>
  <si>
    <t>Eternal life hospita</t>
  </si>
  <si>
    <t>Eternal Life Hospital</t>
  </si>
  <si>
    <t>Evans Clinic</t>
  </si>
  <si>
    <t>Evanson Medical Cent</t>
  </si>
  <si>
    <t>Evanson Medical Centre</t>
  </si>
  <si>
    <t>Evason Medical Centr</t>
  </si>
  <si>
    <t>Evason Medical Center.</t>
  </si>
  <si>
    <t>EverCare Hospital</t>
  </si>
  <si>
    <t>EXC Pharmarcy</t>
  </si>
  <si>
    <t>Express Pharm</t>
  </si>
  <si>
    <t>F.Adeyemi Med. Centr</t>
  </si>
  <si>
    <t>F.Adeyemi Med. Centre</t>
  </si>
  <si>
    <t>Faculty of vetenary</t>
  </si>
  <si>
    <t>Faculty of vetenary medicine UCH</t>
  </si>
  <si>
    <t>Fad Specialist Hospi</t>
  </si>
  <si>
    <t>Fad Specialist Hospital</t>
  </si>
  <si>
    <t>Faith  City Hospital</t>
  </si>
  <si>
    <t>Faith City Hospital</t>
  </si>
  <si>
    <t>Faith Hills Hospital</t>
  </si>
  <si>
    <t>Faith Hills Specialist Hospital</t>
  </si>
  <si>
    <t>FAITH MEDICAL CENTRE</t>
  </si>
  <si>
    <t>Faith-Hills Spec. Hx</t>
  </si>
  <si>
    <t>Faith-Hills Specialist Hospital</t>
  </si>
  <si>
    <t>Faith-ill Specialist</t>
  </si>
  <si>
    <t>Faith-ill Specialist Hospital</t>
  </si>
  <si>
    <t>Faleti Medical Centr</t>
  </si>
  <si>
    <t>Faleti Medical Centre</t>
  </si>
  <si>
    <t>Famacare Hospital</t>
  </si>
  <si>
    <t>Famasi Africa</t>
  </si>
  <si>
    <t>Family &amp; Friends Hos</t>
  </si>
  <si>
    <t>Family &amp; Friends Hopsital</t>
  </si>
  <si>
    <t>Family Clinic</t>
  </si>
  <si>
    <t>Fanimed Hospital</t>
  </si>
  <si>
    <t>Fasid Pharmacy</t>
  </si>
  <si>
    <t>Federal Medical Cent</t>
  </si>
  <si>
    <t>Federal Medical Centre</t>
  </si>
  <si>
    <t>Feglak Clinic</t>
  </si>
  <si>
    <t>Fertileville Clinic</t>
  </si>
  <si>
    <t>Fertileville Fertility And Gynecology</t>
  </si>
  <si>
    <t>Fidson Pharmacy</t>
  </si>
  <si>
    <t>Fidson Pharmaceuticals</t>
  </si>
  <si>
    <t>FineView Specialist</t>
  </si>
  <si>
    <t>Fineview Specialist Hospital</t>
  </si>
  <si>
    <t>Finnih Medical Centr</t>
  </si>
  <si>
    <t>Finnih Hospital</t>
  </si>
  <si>
    <t>First Ultren PX</t>
  </si>
  <si>
    <t>First Ultren Pharmacy Ltd</t>
  </si>
  <si>
    <t>Fit Child Centre</t>
  </si>
  <si>
    <t>Flexi Pharma</t>
  </si>
  <si>
    <t>FLOURISH LAB</t>
  </si>
  <si>
    <t>FLOURISH LABORATORY</t>
  </si>
  <si>
    <t>FMC</t>
  </si>
  <si>
    <t>FMC Ebute Metta</t>
  </si>
  <si>
    <t>Folabi Medical Centr</t>
  </si>
  <si>
    <t>Folabi Medical Centre</t>
  </si>
  <si>
    <t>Folarin Coker Clinic</t>
  </si>
  <si>
    <t>Folarin Coker Staff Clinic</t>
  </si>
  <si>
    <t>Fontana Pharmacy</t>
  </si>
  <si>
    <t>Fontana Px Ijebu Ode</t>
  </si>
  <si>
    <t>Fontana Pharmacy Ijebu Ode</t>
  </si>
  <si>
    <t>Fortress Hospital</t>
  </si>
  <si>
    <t>Fountain Medical Px</t>
  </si>
  <si>
    <t>Fountain Medical Pharmacy.</t>
  </si>
  <si>
    <t>Free World Health</t>
  </si>
  <si>
    <t>Free World Health Initiative</t>
  </si>
  <si>
    <t>G&amp;S MEDICAL &amp; DENTAL</t>
  </si>
  <si>
    <t>G&amp;S MEDICAL &amp;  DENTAL HX</t>
  </si>
  <si>
    <t>G.Rafa Hospital</t>
  </si>
  <si>
    <t>General Hosp Apatta</t>
  </si>
  <si>
    <t>General Hospital Apatta Ibadan</t>
  </si>
  <si>
    <t>General Hosp Otta</t>
  </si>
  <si>
    <t>General Hosp Otta Mrs Aderoju</t>
  </si>
  <si>
    <t>General Hosp. Ifako</t>
  </si>
  <si>
    <t>General Hospital Ifako Ijaiye</t>
  </si>
  <si>
    <t>General Hospital Ota</t>
  </si>
  <si>
    <t>Gent- Albert Hospita</t>
  </si>
  <si>
    <t>Gent- Albert Hospital</t>
  </si>
  <si>
    <t>Get well HX</t>
  </si>
  <si>
    <t>GH Ajeromi Apapa c/o</t>
  </si>
  <si>
    <t>GH Ajeromi Apapa c/o Maka</t>
  </si>
  <si>
    <t>GH Akodo Ibeju Lekki</t>
  </si>
  <si>
    <t>GH Alimosho</t>
  </si>
  <si>
    <t>GH Gbagada</t>
  </si>
  <si>
    <t>General Hospital Gbagada</t>
  </si>
  <si>
    <t>Gh Ikorodu</t>
  </si>
  <si>
    <t>General Hospital, Ikorodu</t>
  </si>
  <si>
    <t>GH ISOLO</t>
  </si>
  <si>
    <t>GH Isolo c/o Sickle</t>
  </si>
  <si>
    <t>GH Isolo c/o Sickle Cell Foundation</t>
  </si>
  <si>
    <t>GH Orile Agege</t>
  </si>
  <si>
    <t>General Hospital Orile Agege</t>
  </si>
  <si>
    <t>GH Randle</t>
  </si>
  <si>
    <t>Gifted Hands Hospita</t>
  </si>
  <si>
    <t>Gifted Hands Hospital</t>
  </si>
  <si>
    <t>Gilbalm Pharmacy</t>
  </si>
  <si>
    <t>Gleneagles Hospital</t>
  </si>
  <si>
    <t>GLENEAGLES HX</t>
  </si>
  <si>
    <t>Global Immunisation</t>
  </si>
  <si>
    <t>Globa Immunisation Centre</t>
  </si>
  <si>
    <t>GLOBAL LIGHT RESERCH</t>
  </si>
  <si>
    <t>GLOBAL LIGHT RESERCH &amp; MEDICAL OUTREACH</t>
  </si>
  <si>
    <t>Glopharm Healthcare</t>
  </si>
  <si>
    <t>Gloria Hospital</t>
  </si>
  <si>
    <t>God"s Apple City Hx</t>
  </si>
  <si>
    <t>God's Apple City Hospital</t>
  </si>
  <si>
    <t>God's Convenant</t>
  </si>
  <si>
    <t>God's Convenant Clinic</t>
  </si>
  <si>
    <t>Golden Cross Hospita</t>
  </si>
  <si>
    <t>Golden Cross Hospital</t>
  </si>
  <si>
    <t>Goldmark Pharm</t>
  </si>
  <si>
    <t>Goldmark Pharmacy</t>
  </si>
  <si>
    <t>Good Grace HealthCar</t>
  </si>
  <si>
    <t>Good Grace HealthCare Services</t>
  </si>
  <si>
    <t>Goscel Pharmacy</t>
  </si>
  <si>
    <t>Gover Medical VI</t>
  </si>
  <si>
    <t>Grace Valley Hospita</t>
  </si>
  <si>
    <t>Grace Valley hospital</t>
  </si>
  <si>
    <t>Grams Pharmaceutical</t>
  </si>
  <si>
    <t>Grams Pharmaceuticals Ltd</t>
  </si>
  <si>
    <t>Grange School</t>
  </si>
  <si>
    <t>Grays Cardiology Cen</t>
  </si>
  <si>
    <t>Grays Cardiology Centre</t>
  </si>
  <si>
    <t>Great Ark Hospital</t>
  </si>
  <si>
    <t>Greenwood Hospital</t>
  </si>
  <si>
    <t>Greyscopes Urology</t>
  </si>
  <si>
    <t>Hadunni Ent. Jakanda</t>
  </si>
  <si>
    <t>Hale Clinic</t>
  </si>
  <si>
    <t>Halisa Gold Hospital</t>
  </si>
  <si>
    <t>Hamkad Hospital</t>
  </si>
  <si>
    <t>HARRIET OGUNTADE</t>
  </si>
  <si>
    <t>Hartwell Hospital</t>
  </si>
  <si>
    <t>Hartwell Hospital.</t>
  </si>
  <si>
    <t>Harvey Road Health C</t>
  </si>
  <si>
    <t>Harvey Road Health Centre</t>
  </si>
  <si>
    <t>Havanna</t>
  </si>
  <si>
    <t>Haven Peadiatric</t>
  </si>
  <si>
    <t>Haven Peadiatric Practice</t>
  </si>
  <si>
    <t>Haven Pharm</t>
  </si>
  <si>
    <t>HAVEN PHARM</t>
  </si>
  <si>
    <t>Haven Pharmacy</t>
  </si>
  <si>
    <t>Healing field Hosp</t>
  </si>
  <si>
    <t>Healing field Hospital</t>
  </si>
  <si>
    <t>Health Kinect Clinic</t>
  </si>
  <si>
    <t>Health Link Medical</t>
  </si>
  <si>
    <t>Health Link Medical Clinic</t>
  </si>
  <si>
    <t>HEALTH RIGHT</t>
  </si>
  <si>
    <t>Health Shore LTD Owe</t>
  </si>
  <si>
    <t>Health Shore LTD Owerri</t>
  </si>
  <si>
    <t>HealthPlug People px</t>
  </si>
  <si>
    <t>Health Plug People's Pharmacy &amp; Stores</t>
  </si>
  <si>
    <t>HealthShare Pro Ltd</t>
  </si>
  <si>
    <t>HealthShare Procurement</t>
  </si>
  <si>
    <t>Heda Hospital</t>
  </si>
  <si>
    <t>Help Diagnostics</t>
  </si>
  <si>
    <t>Help Laboratories</t>
  </si>
  <si>
    <t>Hephzibah Specialist</t>
  </si>
  <si>
    <t>Hephzibah Specialist Clinic</t>
  </si>
  <si>
    <t>Herbinco Pharmacy</t>
  </si>
  <si>
    <t>HERO MEDICAL CENTRE</t>
  </si>
  <si>
    <t>Higc Health Consult</t>
  </si>
  <si>
    <t>Hihc Health Consultant</t>
  </si>
  <si>
    <t>HiRock Pharmacy</t>
  </si>
  <si>
    <t>His Glory Hospital</t>
  </si>
  <si>
    <t>His Grace Pharmacy</t>
  </si>
  <si>
    <t>His Grace Pharmacy Ltd</t>
  </si>
  <si>
    <t>His Mercy Hospital</t>
  </si>
  <si>
    <t>Histouch Diagnostic</t>
  </si>
  <si>
    <t>Histouch Diagnostic Clinic</t>
  </si>
  <si>
    <t>HNC Pro Pharmacy</t>
  </si>
  <si>
    <t>Holy Family Catholic</t>
  </si>
  <si>
    <t>Holy Family Cathoilic Hospital</t>
  </si>
  <si>
    <t>Holy Family Hx Ijegu</t>
  </si>
  <si>
    <t>Holy Family Hx Ijegun SATELITE TOWN</t>
  </si>
  <si>
    <t>Holy Trinity</t>
  </si>
  <si>
    <t>Honeyvent Pharma</t>
  </si>
  <si>
    <t>Honeyvent Pharma Nigeria Limited</t>
  </si>
  <si>
    <t>Hope Land Hospital</t>
  </si>
  <si>
    <t>Horeb Consult Hosp.</t>
  </si>
  <si>
    <t>Horeb Consult Hospital</t>
  </si>
  <si>
    <t>Hospital Limited</t>
  </si>
  <si>
    <t>Hospital Limited(Medwin)</t>
  </si>
  <si>
    <t>Hova's Place Hospita</t>
  </si>
  <si>
    <t>Hova's Place Hospital</t>
  </si>
  <si>
    <t>HSMG Specialist Hosp</t>
  </si>
  <si>
    <t>HSMG Specialist Hospital Limited</t>
  </si>
  <si>
    <t>Humana Hospital</t>
  </si>
  <si>
    <t>I .F.P.F</t>
  </si>
  <si>
    <t>I.F.P.F</t>
  </si>
  <si>
    <t>I.C.H IBADAN</t>
  </si>
  <si>
    <t>I.C.H IBADAN 2</t>
  </si>
  <si>
    <t>I.C.H. IBADAN 2</t>
  </si>
  <si>
    <t>I.C.H OAU IFE</t>
  </si>
  <si>
    <t>I.O.M ABUJA</t>
  </si>
  <si>
    <t>International Organisation For Migratio</t>
  </si>
  <si>
    <t>Ibadan Cent For Diab</t>
  </si>
  <si>
    <t>Ibadan Centre For Diabetic Care</t>
  </si>
  <si>
    <t>Ibelin Pharmacy</t>
  </si>
  <si>
    <t>Ibelin Pharmacy Limited Owerri</t>
  </si>
  <si>
    <t>Iconic Care HX</t>
  </si>
  <si>
    <t>Idowu Specialist Hx</t>
  </si>
  <si>
    <t>Ikeja Local Govt CLi</t>
  </si>
  <si>
    <t>Ikeja Local Govt CLinic</t>
  </si>
  <si>
    <t>Ikeja Medical Centre</t>
  </si>
  <si>
    <t>Ikeja Military Canto</t>
  </si>
  <si>
    <t>Ikeja Military Cantoment</t>
  </si>
  <si>
    <t>Ikosi PHC</t>
  </si>
  <si>
    <t>Imoniefe Priscillia</t>
  </si>
  <si>
    <t>Imoniefe Priscilia</t>
  </si>
  <si>
    <t>Inauculate Clinic</t>
  </si>
  <si>
    <t>INEH Hospital</t>
  </si>
  <si>
    <t>Ingress Health</t>
  </si>
  <si>
    <t>Ingress Health Partners</t>
  </si>
  <si>
    <t>Inland Specialist</t>
  </si>
  <si>
    <t>Institute of Child</t>
  </si>
  <si>
    <t>Institute of Child Health (UCH)</t>
  </si>
  <si>
    <t>International Organi</t>
  </si>
  <si>
    <t>International Organisation</t>
  </si>
  <si>
    <t>Inton Hospital</t>
  </si>
  <si>
    <t>Irene Oduenyi Clinic</t>
  </si>
  <si>
    <t>Irene Oduenyi Arthrimed Specialist Clin</t>
  </si>
  <si>
    <t>Ireoluwa Anifowose</t>
  </si>
  <si>
    <t>Isalu Hospital</t>
  </si>
  <si>
    <t>Isalu Pharmacy</t>
  </si>
  <si>
    <t>ISHERI PHC</t>
  </si>
  <si>
    <t>Island Maternity Hos</t>
  </si>
  <si>
    <t>Island Maternity Hospital</t>
  </si>
  <si>
    <t>Isolo Primary Health</t>
  </si>
  <si>
    <t>Isolo Primary Health Centre</t>
  </si>
  <si>
    <t>Ituah Hospital</t>
  </si>
  <si>
    <t>Iyiola Medical</t>
  </si>
  <si>
    <t>Iyiola Medical Consult</t>
  </si>
  <si>
    <t>J. Rapha Hospital</t>
  </si>
  <si>
    <t>J.A.Lashman Hospital</t>
  </si>
  <si>
    <t>JA LASHMAN HOSPITAL</t>
  </si>
  <si>
    <t>Jacob Hospital</t>
  </si>
  <si>
    <t>Jacob Hospital  c/o Collin GSK</t>
  </si>
  <si>
    <t>Jacon Davids</t>
  </si>
  <si>
    <t>Jacon Davids Hosp</t>
  </si>
  <si>
    <t>Jacon Davids Hospital Limited</t>
  </si>
  <si>
    <t>Jaiyeola Hospital</t>
  </si>
  <si>
    <t>Jajo Hospital</t>
  </si>
  <si>
    <t>JAMES MEDICAL CENTRE</t>
  </si>
  <si>
    <t>Jamier Medical Centr</t>
  </si>
  <si>
    <t>Jamier Medical Centre</t>
  </si>
  <si>
    <t>Jasper Hospital</t>
  </si>
  <si>
    <t>Jehovah Rapha Amazin</t>
  </si>
  <si>
    <t>Jehovah Rapha Amazing Grace HX</t>
  </si>
  <si>
    <t>Joekem Pharmacy</t>
  </si>
  <si>
    <t>John Burke Hospital</t>
  </si>
  <si>
    <t>Jomapet Hospital</t>
  </si>
  <si>
    <t>Jon-Ken Hospital</t>
  </si>
  <si>
    <t>Jonny Clinic V.I</t>
  </si>
  <si>
    <t>Jonny Clinic V.I  c/o Lekan Alabi</t>
  </si>
  <si>
    <t>Jose Faith Clinic</t>
  </si>
  <si>
    <t>Joseph Novo Nordisk</t>
  </si>
  <si>
    <t>Josrite Pharmacy</t>
  </si>
  <si>
    <t>JP Pharmacy</t>
  </si>
  <si>
    <t>Julie Pharmacy</t>
  </si>
  <si>
    <t>Juliet Oranye</t>
  </si>
  <si>
    <t>Juta Pharmacy</t>
  </si>
  <si>
    <t>KAAF Unilag</t>
  </si>
  <si>
    <t>Karadin Pharmacy</t>
  </si>
  <si>
    <t>Kare For All Medical</t>
  </si>
  <si>
    <t>Kare For All Medicals</t>
  </si>
  <si>
    <t>Kemi Zolon</t>
  </si>
  <si>
    <t>KIDNEY GLOCAL</t>
  </si>
  <si>
    <t>Kidney Solution</t>
  </si>
  <si>
    <t>Kidney Solution Fest</t>
  </si>
  <si>
    <t>Kidney Solution Festac</t>
  </si>
  <si>
    <t>King Smith Hospital</t>
  </si>
  <si>
    <t>King's Bridge Health</t>
  </si>
  <si>
    <t>Krown Hospital</t>
  </si>
  <si>
    <t>krystal medical cent</t>
  </si>
  <si>
    <t>Krystal Medical Centre</t>
  </si>
  <si>
    <t>KUPA AEROSPACE CLINI</t>
  </si>
  <si>
    <t>KUPA AEROSPACE CLINIC</t>
  </si>
  <si>
    <t>Kupa Clinic</t>
  </si>
  <si>
    <t>LAADIM PHARMACY &amp; ST</t>
  </si>
  <si>
    <t>LAADIM PHARMACY &amp; STORES</t>
  </si>
  <si>
    <t>Labitrix Hospital</t>
  </si>
  <si>
    <t>Lade Hospital</t>
  </si>
  <si>
    <t>Lady Lak Med Centre</t>
  </si>
  <si>
    <t>Lady Lak Medical Centre</t>
  </si>
  <si>
    <t>Lafia-Kowa  Spec. Ho</t>
  </si>
  <si>
    <t>Lafia-Kowa  Spec. Hospital</t>
  </si>
  <si>
    <t>Lagoon  Hospital</t>
  </si>
  <si>
    <t>Lagoon Hospital</t>
  </si>
  <si>
    <t>Lagos State RVTC</t>
  </si>
  <si>
    <t>Lagos State RVTC Centre</t>
  </si>
  <si>
    <t>Lakeside Pharmacy</t>
  </si>
  <si>
    <t>Landmark Hospital</t>
  </si>
  <si>
    <t>Landmark Hospital Ikorodu</t>
  </si>
  <si>
    <t>Lase pharmacy</t>
  </si>
  <si>
    <t>Lase Pharmacy</t>
  </si>
  <si>
    <t>LASUCOM</t>
  </si>
  <si>
    <t>Lasuth Diabetes Clin</t>
  </si>
  <si>
    <t>Lasuth Diabetes Clinic Pharmacy</t>
  </si>
  <si>
    <t>LASUTH EYE CLINIC</t>
  </si>
  <si>
    <t>LASUTH Fee Paying Px</t>
  </si>
  <si>
    <t>LASUTH Fee Paying Pharmacy</t>
  </si>
  <si>
    <t>LASUTH Immunisation</t>
  </si>
  <si>
    <t>LASUTH Immunisation Unit</t>
  </si>
  <si>
    <t>Lawcas Pharmacy</t>
  </si>
  <si>
    <t>Leah Foundation</t>
  </si>
  <si>
    <t>Leah Medical centre</t>
  </si>
  <si>
    <t>Leah Medical Centre</t>
  </si>
  <si>
    <t>LESLIE HOSPITAL</t>
  </si>
  <si>
    <t>Life Aid E-Pharmacy.</t>
  </si>
  <si>
    <t>Life Anchor Hospital</t>
  </si>
  <si>
    <t>Life Centre Hospital</t>
  </si>
  <si>
    <t>Life Fort Children</t>
  </si>
  <si>
    <t>Life Fort Chhildren Centre</t>
  </si>
  <si>
    <t>Life fountain medica</t>
  </si>
  <si>
    <t>Life fountain medical clinic</t>
  </si>
  <si>
    <t>Life Gate hosp.</t>
  </si>
  <si>
    <t>Life Gate  hosp</t>
  </si>
  <si>
    <t>Life Giver Global</t>
  </si>
  <si>
    <t>Life Line Hospt Suru</t>
  </si>
  <si>
    <t>Life line specialist</t>
  </si>
  <si>
    <t>Light Hospital</t>
  </si>
  <si>
    <t>Lister Medical</t>
  </si>
  <si>
    <t>Lister Medical Centre</t>
  </si>
  <si>
    <t>Live Health epharma</t>
  </si>
  <si>
    <t>Lola Pharmacy</t>
  </si>
  <si>
    <t>Lolana Pharmacy</t>
  </si>
  <si>
    <t>Longe Hospital</t>
  </si>
  <si>
    <t>Longing Hospital</t>
  </si>
  <si>
    <t>Lonlo Health Centre</t>
  </si>
  <si>
    <t>Lota Hospital(c/o Le</t>
  </si>
  <si>
    <t>Lota Hospital(c/o Lekan Alabi)</t>
  </si>
  <si>
    <t>Lotto Central Hospit</t>
  </si>
  <si>
    <t>Lotto Central Hospital</t>
  </si>
  <si>
    <t>Love World Clinic</t>
  </si>
  <si>
    <t>Love World Clinic.</t>
  </si>
  <si>
    <t>LSPWC</t>
  </si>
  <si>
    <t>Lagos State Public Works Corporation</t>
  </si>
  <si>
    <t>LUTH</t>
  </si>
  <si>
    <t>Lagos University Teaching Hospital</t>
  </si>
  <si>
    <t>Luth -Oladeinde</t>
  </si>
  <si>
    <t>Luth Initiative</t>
  </si>
  <si>
    <t>Luth Initiative C/O Dr Adewunmi.</t>
  </si>
  <si>
    <t>LYDAB Pharmacy</t>
  </si>
  <si>
    <t>Lydia Hospital</t>
  </si>
  <si>
    <t>Maabas Medical Centr</t>
  </si>
  <si>
    <t>Maabas Medical Centre</t>
  </si>
  <si>
    <t>MACEDONIA SPECIALIST</t>
  </si>
  <si>
    <t>MACEDONIA SPECIALIST HOSP</t>
  </si>
  <si>
    <t>Macojo Pharmacy</t>
  </si>
  <si>
    <t>Madam Tinuke</t>
  </si>
  <si>
    <t>Magodo Specalist Hos</t>
  </si>
  <si>
    <t>Magodo Specialist Hospital</t>
  </si>
  <si>
    <t>Maidan PHC</t>
  </si>
  <si>
    <t>Mama Alice Irobor</t>
  </si>
  <si>
    <t>Manifel Hospital</t>
  </si>
  <si>
    <t>MARI GOLD.</t>
  </si>
  <si>
    <t>Marie Stopes Clinic</t>
  </si>
  <si>
    <t>Marie Stopes Clinic c/o Dr Bernard</t>
  </si>
  <si>
    <t>Marien Hospital</t>
  </si>
  <si>
    <t>Marien Hospital c/o Bimbola Sanofi</t>
  </si>
  <si>
    <t>Marina Med. Serv. HM</t>
  </si>
  <si>
    <t>Marina Med. Serv. HMO</t>
  </si>
  <si>
    <t>Maris Health Place</t>
  </si>
  <si>
    <t>Maritol Medical Cent</t>
  </si>
  <si>
    <t>Maritol Medical Centre</t>
  </si>
  <si>
    <t>Mart Medicare</t>
  </si>
  <si>
    <t>Maryam Sanofi</t>
  </si>
  <si>
    <t>MaryriamVille Med</t>
  </si>
  <si>
    <t>MaryriamVille Med Centre</t>
  </si>
  <si>
    <t>Massey Children Hosp</t>
  </si>
  <si>
    <t>Massey Childrean Hospital</t>
  </si>
  <si>
    <t>Massey Str Child. Hx</t>
  </si>
  <si>
    <t>Massey Str Children Hx</t>
  </si>
  <si>
    <t>Matron Adeshina c/o</t>
  </si>
  <si>
    <t>Matron Adeshina c/o Mother&amp;Child</t>
  </si>
  <si>
    <t>Matron Atosuyi</t>
  </si>
  <si>
    <t>Matron Bankole</t>
  </si>
  <si>
    <t>Matron Bankole C/O Lasuth Immunisation</t>
  </si>
  <si>
    <t>Matron Beatrice babc</t>
  </si>
  <si>
    <t>Matron Beatrice Babcock</t>
  </si>
  <si>
    <t>Matron Eucharia</t>
  </si>
  <si>
    <t>Matron Eucharia C/O Ayodele</t>
  </si>
  <si>
    <t>Matron Ike Bridget</t>
  </si>
  <si>
    <t>Matron Ike Bridget C/O Westcare Hx</t>
  </si>
  <si>
    <t>Matron Ipaye</t>
  </si>
  <si>
    <t>Matron ipaye</t>
  </si>
  <si>
    <t>Matron Joko</t>
  </si>
  <si>
    <t>Matron Mercy c/o Med</t>
  </si>
  <si>
    <t>Matron Mercy c/o Medin Hx</t>
  </si>
  <si>
    <t>Matron Mojekwu</t>
  </si>
  <si>
    <t>Matron Oak Hx Ikorod</t>
  </si>
  <si>
    <t>Matron Oak Hx Ikorodu</t>
  </si>
  <si>
    <t>Matron Okeke</t>
  </si>
  <si>
    <t>Matron Okeke C/O Lagoon Hx</t>
  </si>
  <si>
    <t>Matron Olabode</t>
  </si>
  <si>
    <t>Matron Olabode C/O GH Ifako</t>
  </si>
  <si>
    <t>Matron Onome</t>
  </si>
  <si>
    <t>Matron Orakwu Gladys</t>
  </si>
  <si>
    <t>MaxMila Medical Lab.</t>
  </si>
  <si>
    <t>MaxMila Medical Laboratory</t>
  </si>
  <si>
    <t>May Central</t>
  </si>
  <si>
    <t>May Fair Med. Centre</t>
  </si>
  <si>
    <t>May Fair Medical Centre</t>
  </si>
  <si>
    <t>MayFair Medical Cent</t>
  </si>
  <si>
    <t>MayFair Medical Centre</t>
  </si>
  <si>
    <t>Mc Donald Hospital</t>
  </si>
  <si>
    <t>MCC Amuwo Odofin</t>
  </si>
  <si>
    <t>Mebik Pharmacy</t>
  </si>
  <si>
    <t>Mecure Health Care</t>
  </si>
  <si>
    <t>Med Court Pharmacy</t>
  </si>
  <si>
    <t>Med Fort  Pharmacy.</t>
  </si>
  <si>
    <t>Med Forth Pharmacy.</t>
  </si>
  <si>
    <t>Med Hub Pharmacy</t>
  </si>
  <si>
    <t>Medbury Medical Serv</t>
  </si>
  <si>
    <t>Medbury Medical Service</t>
  </si>
  <si>
    <t>Medconnect Pharmacy</t>
  </si>
  <si>
    <t>Medfort Pharmacy</t>
  </si>
  <si>
    <t>Medic Angel Clinic</t>
  </si>
  <si>
    <t>Medical Art Centre</t>
  </si>
  <si>
    <t>Medical Consultant</t>
  </si>
  <si>
    <t>Medical Consultant HX</t>
  </si>
  <si>
    <t>Medical Imaging</t>
  </si>
  <si>
    <t>Medical Imaging.</t>
  </si>
  <si>
    <t>Medicare Hospital</t>
  </si>
  <si>
    <t>Medicentre</t>
  </si>
  <si>
    <t>Mediglow Pharmacy</t>
  </si>
  <si>
    <t>Medin Specialist Hos</t>
  </si>
  <si>
    <t>Medin Specialist Hospital</t>
  </si>
  <si>
    <t>Medplus Pharmacy</t>
  </si>
  <si>
    <t>Medstar Pharmacy.</t>
  </si>
  <si>
    <t>Medstar Pharmacy</t>
  </si>
  <si>
    <t>Medvacc Pharmacy</t>
  </si>
  <si>
    <t>Medvault Pharmacy</t>
  </si>
  <si>
    <t>Medwin Hospital</t>
  </si>
  <si>
    <t>Mega Care Pharmacy</t>
  </si>
  <si>
    <t>Mepsophia Pharmacy</t>
  </si>
  <si>
    <t>Mercy Stripes Hosp</t>
  </si>
  <si>
    <t>Mercy Stripes Spec. Hospital</t>
  </si>
  <si>
    <t>Meridian Cardiac</t>
  </si>
  <si>
    <t>Meridian Cardiac Clinic</t>
  </si>
  <si>
    <t>Merit Hospital</t>
  </si>
  <si>
    <t>Micel Hospital</t>
  </si>
  <si>
    <t>Midams Pharmacy</t>
  </si>
  <si>
    <t>Milennium Pharmacy</t>
  </si>
  <si>
    <t>Millitary Ref. Hosp</t>
  </si>
  <si>
    <t>Millitary Reference Hospital</t>
  </si>
  <si>
    <t>Miraculous Grace Hos</t>
  </si>
  <si>
    <t>Miraculous Grace Hospital</t>
  </si>
  <si>
    <t>Miss Oyindamola Balo</t>
  </si>
  <si>
    <t>Miss Oyindamola Balogun</t>
  </si>
  <si>
    <t>Mobonike Hospital</t>
  </si>
  <si>
    <t>Molly Specialist Hx</t>
  </si>
  <si>
    <t>Molly Specialist Hospital</t>
  </si>
  <si>
    <t>Monca Pharma c/o Imo</t>
  </si>
  <si>
    <t>Monca Pharmacy c/o Imoh GSK</t>
  </si>
  <si>
    <t>Motayo Hospital</t>
  </si>
  <si>
    <t>Mother &amp; Child</t>
  </si>
  <si>
    <t>Mother &amp; Child  Hospital</t>
  </si>
  <si>
    <t>Mother Mary Catholic</t>
  </si>
  <si>
    <t>Mother Mary Catholic Hospital</t>
  </si>
  <si>
    <t>Mother Theresa Medic</t>
  </si>
  <si>
    <t>Mother Theresa Medical Centre</t>
  </si>
  <si>
    <t>Mr Abiodun Sanofi</t>
  </si>
  <si>
    <t>Mr Adebayo</t>
  </si>
  <si>
    <t>Mr Afam Sanofi</t>
  </si>
  <si>
    <t>Mr Akande</t>
  </si>
  <si>
    <t>Mr Akande Olusegun Ibadan</t>
  </si>
  <si>
    <t>Mr Akinola Idowu</t>
  </si>
  <si>
    <t>Mr Anuoluwapo Ijadol</t>
  </si>
  <si>
    <t>Mr Anuoluwapo Ijaduola</t>
  </si>
  <si>
    <t>Mr Babatunde Thomas.</t>
  </si>
  <si>
    <t>Mr Babatunde Thomas</t>
  </si>
  <si>
    <t>Mr Birtus Adamu</t>
  </si>
  <si>
    <t>Mr Chinedu Okoli.</t>
  </si>
  <si>
    <t>Mr Chinedu Oranye</t>
  </si>
  <si>
    <t>Mr Emeka Assene Labo</t>
  </si>
  <si>
    <t>Mr Emeka Assene Laborex</t>
  </si>
  <si>
    <t>Mr Emmanuel Ogwuche</t>
  </si>
  <si>
    <t>Mr Francis Chukwura</t>
  </si>
  <si>
    <t>Mr Gabriel philips</t>
  </si>
  <si>
    <t>Mr Gabriel Phillips</t>
  </si>
  <si>
    <t>Mr Gbenga c/o Redeem</t>
  </si>
  <si>
    <t>Mr Gbenga c/o Redeem Health</t>
  </si>
  <si>
    <t>Mr Hammed Lasuth</t>
  </si>
  <si>
    <t>Mr Hammed Lasuth fee Paying</t>
  </si>
  <si>
    <t>Mr John Obianakhu</t>
  </si>
  <si>
    <t>Mr JOhn Obianakhu</t>
  </si>
  <si>
    <t>Mr Juliana Tombrabo.</t>
  </si>
  <si>
    <t>Mr Juliana Tombrabo</t>
  </si>
  <si>
    <t>Mr Kadir Adeniyi</t>
  </si>
  <si>
    <t>Mr Lanre c/o Ayo</t>
  </si>
  <si>
    <t>Mr Maruf Asafa</t>
  </si>
  <si>
    <t>Mr Maurice Ukpong</t>
  </si>
  <si>
    <t>Mr Obina Sanofi</t>
  </si>
  <si>
    <t>Mr Okadigbo</t>
  </si>
  <si>
    <t>Mr Olatunbosun</t>
  </si>
  <si>
    <t>Mr Olatunbosun Novo Nordisk</t>
  </si>
  <si>
    <t>Mr Oredola R.Jolad</t>
  </si>
  <si>
    <t>Mr Oredola R.Jolad Plus</t>
  </si>
  <si>
    <t>Mr Paschal</t>
  </si>
  <si>
    <t>Mr Paschal c/o Pill Box</t>
  </si>
  <si>
    <t>Mr Paul Ojo WWCV</t>
  </si>
  <si>
    <t>Mr Phillip Olowu</t>
  </si>
  <si>
    <t>Mr Pius.</t>
  </si>
  <si>
    <t>Mr Pius</t>
  </si>
  <si>
    <t>Mr Popoola...</t>
  </si>
  <si>
    <t>Mr Popoola</t>
  </si>
  <si>
    <t>Mr Princewill Olumba</t>
  </si>
  <si>
    <t>Mr Samson Ongbali</t>
  </si>
  <si>
    <t>Mr Samson ongbali</t>
  </si>
  <si>
    <t>Mr Segun Ibadan</t>
  </si>
  <si>
    <t>Mr Solomon Oretolu</t>
  </si>
  <si>
    <t>Mr Stanley Imadojemu</t>
  </si>
  <si>
    <t>Mr Sudhir mathur</t>
  </si>
  <si>
    <t>Mr Sudhir Mathur</t>
  </si>
  <si>
    <t>Mr sunday GH Isolo</t>
  </si>
  <si>
    <t>Mr Sunday GH Isolo</t>
  </si>
  <si>
    <t>Mr Sylvester Emueze</t>
  </si>
  <si>
    <t>Mr sylvester Emueze</t>
  </si>
  <si>
    <t>Mr Titus Ogundare</t>
  </si>
  <si>
    <t>Mr Uche</t>
  </si>
  <si>
    <t>Mr Uche Zolon</t>
  </si>
  <si>
    <t>Mr Victor</t>
  </si>
  <si>
    <t>Mr Victor Gsk</t>
  </si>
  <si>
    <t>Mr.Chijioke Chijioke</t>
  </si>
  <si>
    <t>Mr Chijioke Chijioke</t>
  </si>
  <si>
    <t>Mrs Abimbola c/o Aki</t>
  </si>
  <si>
    <t>Mrs Abimbola c/o Akinloye</t>
  </si>
  <si>
    <t>Mrs Abiola Solid Roc</t>
  </si>
  <si>
    <t>Mrs Abiola c/o Solid Rock</t>
  </si>
  <si>
    <t>Mrs Adebayo Olajumok</t>
  </si>
  <si>
    <t>Mrs Adebayo Olajumoke</t>
  </si>
  <si>
    <t>Mrs Adekunle Ethel</t>
  </si>
  <si>
    <t>Mrs Adeola</t>
  </si>
  <si>
    <t>Mrs Ajeyomi</t>
  </si>
  <si>
    <t>Mrs Akinbo</t>
  </si>
  <si>
    <t>Mrs Akinboyo Grace</t>
  </si>
  <si>
    <t>MRS AKINYERA</t>
  </si>
  <si>
    <t>Mrs Amodu</t>
  </si>
  <si>
    <t>Mrs Aremu Ace Medica</t>
  </si>
  <si>
    <t>Mrs Aremu Ace Medical</t>
  </si>
  <si>
    <t>Mrs Ayebatonye Ikoyi</t>
  </si>
  <si>
    <t>Mrs Babalola Ifako</t>
  </si>
  <si>
    <t>Mrs Babalola Ifako Ijaiye</t>
  </si>
  <si>
    <t>Mrs Bello U.C.H Ibad</t>
  </si>
  <si>
    <t>Mrs Bello U.C.H Ibadan</t>
  </si>
  <si>
    <t>Mrs Bidemi Adenariwo</t>
  </si>
  <si>
    <t>Mrs Bilkisu Illo</t>
  </si>
  <si>
    <t>Mrs Bimpe GSK.</t>
  </si>
  <si>
    <t>Mrs Bimpe GSK</t>
  </si>
  <si>
    <t>Mrs Biola Lagoon.</t>
  </si>
  <si>
    <t>Mrs Damilola Adebayo</t>
  </si>
  <si>
    <t>Mrs Davis LASUTH</t>
  </si>
  <si>
    <t>Mrs Daivs LASUTH</t>
  </si>
  <si>
    <t>Mrs Doherty Iberi</t>
  </si>
  <si>
    <t>Mrs Fagbemi</t>
  </si>
  <si>
    <t>Mrs Funke Akinsanmi</t>
  </si>
  <si>
    <t>Mrs Georgina Ekwomad</t>
  </si>
  <si>
    <t>Mrs Georgina Ekwomadu..</t>
  </si>
  <si>
    <t>Mrs Helen Ojo</t>
  </si>
  <si>
    <t>Mrs Jegede.</t>
  </si>
  <si>
    <t>Mrs Jenifer Iberi</t>
  </si>
  <si>
    <t>Mrs Kazeem</t>
  </si>
  <si>
    <t>Mrs Lawal</t>
  </si>
  <si>
    <t>Mrs Lawanson LASUTH</t>
  </si>
  <si>
    <t>Mrs Maina Fatsuma</t>
  </si>
  <si>
    <t>Mrs Mobolanle Owoeye</t>
  </si>
  <si>
    <t>Mrs Nkem.</t>
  </si>
  <si>
    <t>Mrs Nkiru UMEH Okafo</t>
  </si>
  <si>
    <t>Mrs Nkiru UMEH Okafor</t>
  </si>
  <si>
    <t>Mrs Nweke Sylvia</t>
  </si>
  <si>
    <t>Mrs Nweke Sylvia C/O R.Jolad</t>
  </si>
  <si>
    <t>Mrs Okoye c/o Eko Hx</t>
  </si>
  <si>
    <t>Mrs Olabisi Redeem</t>
  </si>
  <si>
    <t>Mrs Olajumoke.</t>
  </si>
  <si>
    <t>Mrs Olatunji Lagoon</t>
  </si>
  <si>
    <t>Mrs Olatunji Lagoon Hx</t>
  </si>
  <si>
    <t>Mrs Omorege LUTH</t>
  </si>
  <si>
    <t>Mrs Onafeko Adebisi.</t>
  </si>
  <si>
    <t>Mrs Onafeko Adebisi</t>
  </si>
  <si>
    <t>Mrs Onisuna</t>
  </si>
  <si>
    <t>Mrs Oyewunmi</t>
  </si>
  <si>
    <t>Mrs Paul Abiola.</t>
  </si>
  <si>
    <t>Mrs Popoola</t>
  </si>
  <si>
    <t>Mrs Prudence MCC</t>
  </si>
  <si>
    <t>Mrs Saka C/O Redeem</t>
  </si>
  <si>
    <t>Mrs Seratu Umar</t>
  </si>
  <si>
    <t>Mrs Shade Oyeleye</t>
  </si>
  <si>
    <t>Mrs Shittu</t>
  </si>
  <si>
    <t>Mrs Sholeye Gloria</t>
  </si>
  <si>
    <t>Mrs Taiwo Adeyemi</t>
  </si>
  <si>
    <t>Mrs Tinuola Falase</t>
  </si>
  <si>
    <t>Mrs Tiwatope</t>
  </si>
  <si>
    <t>Mrs Uba C/O Lekan</t>
  </si>
  <si>
    <t>Mrs Uba C/O Lekan Alabi</t>
  </si>
  <si>
    <t>Mrs Ugochinyere</t>
  </si>
  <si>
    <t>Mrs Ugochinyere Akinyemi</t>
  </si>
  <si>
    <t>Mrs Ugwoke c/o Golde</t>
  </si>
  <si>
    <t>Mrs Ugwoke c/o Golden cross</t>
  </si>
  <si>
    <t>Mrs Wunmi Oladapo</t>
  </si>
  <si>
    <t>Mrs Wunmi Oladapo c/o Sulymon</t>
  </si>
  <si>
    <t>Mrs Yinka c/o Eko HX</t>
  </si>
  <si>
    <t>Mrs Yinka c/o Eko Hospital</t>
  </si>
  <si>
    <t>Mrs Zalihat C/O MCC</t>
  </si>
  <si>
    <t>Mrs Zalihat C/O MCC Amuwo Odofin</t>
  </si>
  <si>
    <t>Mucas Hospital</t>
  </si>
  <si>
    <t>Multi-Care Pharmacy</t>
  </si>
  <si>
    <t>Muyiwa Novo</t>
  </si>
  <si>
    <t>My Shepherd Hospital</t>
  </si>
  <si>
    <t>NAMA Airport</t>
  </si>
  <si>
    <t>Nard Pharmacy</t>
  </si>
  <si>
    <t>Naval Hospital</t>
  </si>
  <si>
    <t>Naval Medical Centre</t>
  </si>
  <si>
    <t>Navy Hospital</t>
  </si>
  <si>
    <t>Navy Sickbay</t>
  </si>
  <si>
    <t>Nebula Care Hospital</t>
  </si>
  <si>
    <t>Nemitt Pharmacy</t>
  </si>
  <si>
    <t>Nephrocare Medical</t>
  </si>
  <si>
    <t>Nephrocare Medical Service</t>
  </si>
  <si>
    <t>NETT PHARMACY</t>
  </si>
  <si>
    <t>NEW BETHSIDER HOSPIT</t>
  </si>
  <si>
    <t>NEW BETHSIDER HOSPITAL</t>
  </si>
  <si>
    <t>New Capstone Special</t>
  </si>
  <si>
    <t>New Capstone Specialist Hospital</t>
  </si>
  <si>
    <t>New Child Care Hospi</t>
  </si>
  <si>
    <t>New Child Care Hospital</t>
  </si>
  <si>
    <t>New Gate Hospital</t>
  </si>
  <si>
    <t>New Ikeja HX</t>
  </si>
  <si>
    <t>New Ikeja Hx</t>
  </si>
  <si>
    <t>NEW NATION</t>
  </si>
  <si>
    <t>NEW NATION BAPTIST CHURCH</t>
  </si>
  <si>
    <t>New World Health Ini</t>
  </si>
  <si>
    <t>New World Health Initiative</t>
  </si>
  <si>
    <t>Newton Pharmacy</t>
  </si>
  <si>
    <t>NHC Pharmacy Ltd</t>
  </si>
  <si>
    <t>Nidus Aquilae Hospit</t>
  </si>
  <si>
    <t>Nidus Aquilae Hospital</t>
  </si>
  <si>
    <t>Nig.Airforce Hospita</t>
  </si>
  <si>
    <t>Nig.Airforce Hospital.</t>
  </si>
  <si>
    <t>Nigeria AirForce Med</t>
  </si>
  <si>
    <t>Nigerian Airforce Medical Centre</t>
  </si>
  <si>
    <t>Nigerian  Breweries</t>
  </si>
  <si>
    <t>Nigeria Breweries Plc</t>
  </si>
  <si>
    <t>Nigerian Army</t>
  </si>
  <si>
    <t>Nigerian Army Med Co</t>
  </si>
  <si>
    <t>Nigerian Army Med Corp</t>
  </si>
  <si>
    <t>Nigerian Customs</t>
  </si>
  <si>
    <t>Nigerian Customs Service</t>
  </si>
  <si>
    <t>Nimbus Hospital</t>
  </si>
  <si>
    <t>Noble Knight Pharma</t>
  </si>
  <si>
    <t>Noble Knight Pharmacy</t>
  </si>
  <si>
    <t>Nu Life Hospital</t>
  </si>
  <si>
    <t>Nuges Pharmacy</t>
  </si>
  <si>
    <t>Nunchimerak Limited</t>
  </si>
  <si>
    <t>Nurse Ademoye</t>
  </si>
  <si>
    <t>Nurse Ademoye Adetola</t>
  </si>
  <si>
    <t>Nurse Ajimati(Royan)</t>
  </si>
  <si>
    <t>Nurse Ajimati c/o Royan</t>
  </si>
  <si>
    <t>Nurse Aremu c/o Ace</t>
  </si>
  <si>
    <t>Nurse Aremu c/o Ace Medicare</t>
  </si>
  <si>
    <t>Nurse Benny</t>
  </si>
  <si>
    <t>Nurse Benny C/O Love world</t>
  </si>
  <si>
    <t>Nurse Eke Emilia</t>
  </si>
  <si>
    <t>Nurse Eyo Lagoon</t>
  </si>
  <si>
    <t>Nurse Eyo C/O Lagoon Hx</t>
  </si>
  <si>
    <t>Nurse Irene Lagoon</t>
  </si>
  <si>
    <t>Nurse Irene C/O Lagoon Adeniyi Jones</t>
  </si>
  <si>
    <t>Nurse Joseph C/O Ace</t>
  </si>
  <si>
    <t>Nurse Joseph C/O Ace Medicare.</t>
  </si>
  <si>
    <t>Nurse Kayode Abiona</t>
  </si>
  <si>
    <t>Nurse Nwaoha Uchechi</t>
  </si>
  <si>
    <t>Nurse Nwaoha Uchechi Esther</t>
  </si>
  <si>
    <t>Nurse Oluchi</t>
  </si>
  <si>
    <t>Nurse Priscilia kupa</t>
  </si>
  <si>
    <t>Nurse Priscillia C/O Kupa</t>
  </si>
  <si>
    <t>Nurse Taiwo Ifako</t>
  </si>
  <si>
    <t>Nwanneka Egu</t>
  </si>
  <si>
    <t>O and G Hospital</t>
  </si>
  <si>
    <t>O'kit Pharmaceutical</t>
  </si>
  <si>
    <t>O'kit Pharmaceuticals Enterprises</t>
  </si>
  <si>
    <t>Oak Healing Hospital</t>
  </si>
  <si>
    <t>Oak Hospital</t>
  </si>
  <si>
    <t>Oak Hospital Ikorodu</t>
  </si>
  <si>
    <t>Oak Hospital Ikorudu</t>
  </si>
  <si>
    <t>Oak Shield Pharmacy</t>
  </si>
  <si>
    <t>Oakstone Hospital</t>
  </si>
  <si>
    <t>OAU Teaching Hospita</t>
  </si>
  <si>
    <t>OAU Teaching Hospital</t>
  </si>
  <si>
    <t>Oba Adeyinka PHC</t>
  </si>
  <si>
    <t>Occuhealth &amp; Welness</t>
  </si>
  <si>
    <t>Occu health &amp; Welness Service Ltd</t>
  </si>
  <si>
    <t>Officer Ewa</t>
  </si>
  <si>
    <t>Ofred Pharmacy</t>
  </si>
  <si>
    <t>Ogun State Hospital</t>
  </si>
  <si>
    <t>Ogun State Hospital Mgt Board</t>
  </si>
  <si>
    <t>Ogunmilua Abidemi</t>
  </si>
  <si>
    <t>Ogunmilua Abidemi Motunrayo</t>
  </si>
  <si>
    <t>Ojodu PHC</t>
  </si>
  <si>
    <t>Ojukwu Hospital</t>
  </si>
  <si>
    <t>Olabisi Onabanjo Uni</t>
  </si>
  <si>
    <t>Olabisi Onabanjo Uni Hospital</t>
  </si>
  <si>
    <t>Oladapo Med. Centre</t>
  </si>
  <si>
    <t>Oladapo Medical Centre</t>
  </si>
  <si>
    <t>Oladipo Mojisola</t>
  </si>
  <si>
    <t>Olagbaju Damilola.</t>
  </si>
  <si>
    <t>Olagbaju Damilola</t>
  </si>
  <si>
    <t>OLAN HOSPITAL</t>
  </si>
  <si>
    <t>OLAN MEDICAL CENTRES</t>
  </si>
  <si>
    <t>OLLIES PHARMACY</t>
  </si>
  <si>
    <t>Olowora Mutual Healt</t>
  </si>
  <si>
    <t>Olowora Mutual Health Care</t>
  </si>
  <si>
    <t>Olukayode Hospital</t>
  </si>
  <si>
    <t>Olumide Sanofi</t>
  </si>
  <si>
    <t>OLUYORO CATHOLIC HX</t>
  </si>
  <si>
    <t>OLUYORO CATHOLIC HOSPITAL</t>
  </si>
  <si>
    <t>Omotola Pharmacy</t>
  </si>
  <si>
    <t>One City of Salvatio</t>
  </si>
  <si>
    <t>One City of Salvation Hosptial</t>
  </si>
  <si>
    <t>Onec Pharmacy</t>
  </si>
  <si>
    <t>Oni Memorial Childre</t>
  </si>
  <si>
    <t>Oni Memorial Children Hospital C/O Dipo</t>
  </si>
  <si>
    <t>Onigbongbo Health Ce</t>
  </si>
  <si>
    <t>Onigbongbo Health Centre</t>
  </si>
  <si>
    <t>Onyeze Chimaenenma</t>
  </si>
  <si>
    <t>Ope LILY</t>
  </si>
  <si>
    <t>Optimal Cancer Care</t>
  </si>
  <si>
    <t>Optimal Cancer Care Foundation</t>
  </si>
  <si>
    <t>Optimal Health Centr</t>
  </si>
  <si>
    <t>Optimal Health Centre</t>
  </si>
  <si>
    <t>Optimal Hosp</t>
  </si>
  <si>
    <t>Optimal Hospital</t>
  </si>
  <si>
    <t>Ordained Covenant Hx</t>
  </si>
  <si>
    <t>Ordained Convenant Hospital</t>
  </si>
  <si>
    <t>Ornan's Field</t>
  </si>
  <si>
    <t>Ornan's Field Children Hospital</t>
  </si>
  <si>
    <t>Oskajay Nig LTD</t>
  </si>
  <si>
    <t>OSKAJAY NIG LTD 2</t>
  </si>
  <si>
    <t>Osuntuyi Hospital</t>
  </si>
  <si>
    <t>Otunba Tayo Ajayi</t>
  </si>
  <si>
    <t>Our Friend Hospital</t>
  </si>
  <si>
    <t>outreach</t>
  </si>
  <si>
    <t>Outreach Children Hospital, Fagba</t>
  </si>
  <si>
    <t>Outreach Hospital</t>
  </si>
  <si>
    <t>Oyinlola Hospital</t>
  </si>
  <si>
    <t>Oyo Messi Hospital</t>
  </si>
  <si>
    <t>P &amp; G Hospital</t>
  </si>
  <si>
    <t>Pacific Hospital</t>
  </si>
  <si>
    <t>Paediatrics Dept Lut</t>
  </si>
  <si>
    <t>Paediatric Dept Luth</t>
  </si>
  <si>
    <t>Panacea Pharmacy</t>
  </si>
  <si>
    <t>Panacea  Pharmacy</t>
  </si>
  <si>
    <t>Parkland Hospital</t>
  </si>
  <si>
    <t>Pax Medical Centre</t>
  </si>
  <si>
    <t>PeaceMaker Pharmacy</t>
  </si>
  <si>
    <t>Peace Maker Pharmacy</t>
  </si>
  <si>
    <t>Peachcare Hospital</t>
  </si>
  <si>
    <t>Peak Health Hospital</t>
  </si>
  <si>
    <t>Pealon  Memoria Hosp</t>
  </si>
  <si>
    <t>Pealon Memoria Hospital</t>
  </si>
  <si>
    <t>PECULIAR HOSPITAL</t>
  </si>
  <si>
    <t>Pentecost Med Centre</t>
  </si>
  <si>
    <t>Pentecost Medical Centre</t>
  </si>
  <si>
    <t>Pereneli Pharmacy.</t>
  </si>
  <si>
    <t>Pereneli Pharmacy</t>
  </si>
  <si>
    <t>Perfect Joy Clinic</t>
  </si>
  <si>
    <t>Perfection Motors Co</t>
  </si>
  <si>
    <t>Perfection Motors Company</t>
  </si>
  <si>
    <t>Pero Pharmacy</t>
  </si>
  <si>
    <t>PETCARE</t>
  </si>
  <si>
    <t>Pfizer Staff  Innoce</t>
  </si>
  <si>
    <t>Pfizer Staff Innocent</t>
  </si>
  <si>
    <t>Pharm Biola</t>
  </si>
  <si>
    <t>Pharm Biola C/O Lagoon Adeniyi Jones</t>
  </si>
  <si>
    <t>Pharm Blessing Kaaf</t>
  </si>
  <si>
    <t>Pharm Blessing C/O KAAF Hospital</t>
  </si>
  <si>
    <t>Pharm Bolaji Onadoja</t>
  </si>
  <si>
    <t>Pharm Idowu Adeyinka</t>
  </si>
  <si>
    <t>Pharm Idowu Adeyinka Adedayo</t>
  </si>
  <si>
    <t>Pharm Orakwelu</t>
  </si>
  <si>
    <t>Pharm Orakwelu Salamatu</t>
  </si>
  <si>
    <t>Pharmacare Pharmacy</t>
  </si>
  <si>
    <t>Pharmacist Blue Cros</t>
  </si>
  <si>
    <t>Pharmacist Blue Cros Hospital.</t>
  </si>
  <si>
    <t>PharmaHealth Pharma</t>
  </si>
  <si>
    <t>PharmaHealth Pharmacy</t>
  </si>
  <si>
    <t>Pharmvacc Ltd Abuja</t>
  </si>
  <si>
    <t>PHC Maiden</t>
  </si>
  <si>
    <t>Pill Box</t>
  </si>
  <si>
    <t>Pill Box px.</t>
  </si>
  <si>
    <t>Pillar Medical Centr</t>
  </si>
  <si>
    <t>Pillar Medical Centre</t>
  </si>
  <si>
    <t>Pine Crest Hospital</t>
  </si>
  <si>
    <t>Pine Crest Spec. Hx</t>
  </si>
  <si>
    <t>PineCrest Specialist Hospital</t>
  </si>
  <si>
    <t>PINK CLINIC</t>
  </si>
  <si>
    <t>Pius Med.Centre</t>
  </si>
  <si>
    <t>Pius Med.Centre Ikeja Cantonement</t>
  </si>
  <si>
    <t>PLACEWARE ABUJA</t>
  </si>
  <si>
    <t>Placeware Novotwist</t>
  </si>
  <si>
    <t>Placeware Novotwist Retail</t>
  </si>
  <si>
    <t>Police College Med</t>
  </si>
  <si>
    <t>Police College Medical Centre</t>
  </si>
  <si>
    <t>Police Cottage Hosp</t>
  </si>
  <si>
    <t>Police College, Ikeja</t>
  </si>
  <si>
    <t>Pontisalus Pharmacy</t>
  </si>
  <si>
    <t>Porshah Health Care</t>
  </si>
  <si>
    <t>Port Health Services</t>
  </si>
  <si>
    <t>Portharcourt Spe. Hx</t>
  </si>
  <si>
    <t>Portharcourt Specialist HX</t>
  </si>
  <si>
    <t>Precious Pharmacy</t>
  </si>
  <si>
    <t>Prema Sai Hospital</t>
  </si>
  <si>
    <t>Premier Hospital</t>
  </si>
  <si>
    <t>Pretty Health Care</t>
  </si>
  <si>
    <t>Prev Health Plus</t>
  </si>
  <si>
    <t>Primeah Pharmacy</t>
  </si>
  <si>
    <t>Primex Hospital</t>
  </si>
  <si>
    <t>Primus Hospital</t>
  </si>
  <si>
    <t>Prince &amp; Princess Ho</t>
  </si>
  <si>
    <t>Prince &amp; Princess Hospital</t>
  </si>
  <si>
    <t>PRO-DRUG PHARMACY.</t>
  </si>
  <si>
    <t>PRO-DRUG PHARMACY</t>
  </si>
  <si>
    <t>Proalex Pharmacy</t>
  </si>
  <si>
    <t>Prof. Ivowi</t>
  </si>
  <si>
    <t>Prognosy Pharmacy</t>
  </si>
  <si>
    <t>Prognosy Pharmacy Oko-Oba</t>
  </si>
  <si>
    <t>Prognosy Px Aboru</t>
  </si>
  <si>
    <t>Prognosy Pharmacy Aboru</t>
  </si>
  <si>
    <t>Prognosy PX Gowon</t>
  </si>
  <si>
    <t>Prognosy Pharmacy Gowon Estate</t>
  </si>
  <si>
    <t>Promise Hospital</t>
  </si>
  <si>
    <t>Provita Clinic</t>
  </si>
  <si>
    <t>Public Health Pharma</t>
  </si>
  <si>
    <t>Public Health Pharmacy Lasuth ikeja</t>
  </si>
  <si>
    <t>Pure Heart Wellness</t>
  </si>
  <si>
    <t>Pure Heart Wellness Solution Clinic</t>
  </si>
  <si>
    <t>Q-Life Hospital</t>
  </si>
  <si>
    <t>QDX</t>
  </si>
  <si>
    <t>Queen's Hospital</t>
  </si>
  <si>
    <t>Quick Care Hospital</t>
  </si>
  <si>
    <t>Quick Drugs Hospital</t>
  </si>
  <si>
    <t>Quick Drugs Hospital.</t>
  </si>
  <si>
    <t>Quick Health Clinic</t>
  </si>
  <si>
    <t>Quinta Health Servic</t>
  </si>
  <si>
    <t>Quinta Health Services</t>
  </si>
  <si>
    <t>R.Jolad hosp plus</t>
  </si>
  <si>
    <t>R.JOLAD HOSPITAL PLUS</t>
  </si>
  <si>
    <t>R.Jolad Hosp Staff</t>
  </si>
  <si>
    <t>R.Jolad Hospital</t>
  </si>
  <si>
    <t>R.O.A Hospital</t>
  </si>
  <si>
    <t>RACHEAL &amp; NANA HX</t>
  </si>
  <si>
    <t>RACHEAL &amp; NANA HOSPITAL</t>
  </si>
  <si>
    <t>Rafael Health &amp; Med</t>
  </si>
  <si>
    <t>Rafael Health &amp; Medical Consult</t>
  </si>
  <si>
    <t>Rainbow Specialist</t>
  </si>
  <si>
    <t>Rainbow Specialist.</t>
  </si>
  <si>
    <t>Rams Gate Pharmacy</t>
  </si>
  <si>
    <t>Rapha Amazing Clinic</t>
  </si>
  <si>
    <t>Raphai Hospital</t>
  </si>
  <si>
    <t>Raphai Hospital.</t>
  </si>
  <si>
    <t>RCCG Love Assembly P</t>
  </si>
  <si>
    <t>RCCG Love Assembly Parish</t>
  </si>
  <si>
    <t>RCCG Mat. Shomolu</t>
  </si>
  <si>
    <t>RCCG Maternity Shomolu</t>
  </si>
  <si>
    <t>Redcare HMO</t>
  </si>
  <si>
    <t>Reddington hosp 2.</t>
  </si>
  <si>
    <t>Reddington Hospital 2</t>
  </si>
  <si>
    <t>Reddington Hosp. VI</t>
  </si>
  <si>
    <t>Reddington Hospital VI</t>
  </si>
  <si>
    <t>Reddington Hospital</t>
  </si>
  <si>
    <t>Redeem Health Centre</t>
  </si>
  <si>
    <t>REDEEM HEALTH PHARMA</t>
  </si>
  <si>
    <t>REDEEM HEALTH PHARMACY</t>
  </si>
  <si>
    <t>Redeem Maternity</t>
  </si>
  <si>
    <t>Redeemer's Universit</t>
  </si>
  <si>
    <t>Redeemer's University</t>
  </si>
  <si>
    <t>Redwood Clinic</t>
  </si>
  <si>
    <t>Regina Mondi</t>
  </si>
  <si>
    <t>Rehabilitation Vocat</t>
  </si>
  <si>
    <t>Rehabilitation Vocation &amp; Training Cent</t>
  </si>
  <si>
    <t>REINOMED PHARMACY</t>
  </si>
  <si>
    <t>Reliance Clinic</t>
  </si>
  <si>
    <t>Reliance Family Clin</t>
  </si>
  <si>
    <t>Reliance Family Clinic</t>
  </si>
  <si>
    <t>Remedial Health</t>
  </si>
  <si>
    <t>REMILEKUN HOSPITAL</t>
  </si>
  <si>
    <t>Renew Pharmacy</t>
  </si>
  <si>
    <t>Rhaphai Hospital</t>
  </si>
  <si>
    <t>Rhaphai Hospital.</t>
  </si>
  <si>
    <t>RHOWIL TOTAL CARE ME</t>
  </si>
  <si>
    <t>RHOWIL TOTAL CARE MED CONT</t>
  </si>
  <si>
    <t>Rilmark Specialist</t>
  </si>
  <si>
    <t>Rilmark Specialist Hospital</t>
  </si>
  <si>
    <t>Rio Hospitals.</t>
  </si>
  <si>
    <t>Rio Hospitals</t>
  </si>
  <si>
    <t>Rivet Hospital</t>
  </si>
  <si>
    <t>Robertson Medical Ce</t>
  </si>
  <si>
    <t>Robertson Medical Centre</t>
  </si>
  <si>
    <t>Rock Of Ages Hospita</t>
  </si>
  <si>
    <t>Rock Of Ages Hospital</t>
  </si>
  <si>
    <t>Roding HealthCare</t>
  </si>
  <si>
    <t>Roding HealthCare Services</t>
  </si>
  <si>
    <t>Roding Med. Centre</t>
  </si>
  <si>
    <t>Roding Medical Centre</t>
  </si>
  <si>
    <t>Roding Medical Centr</t>
  </si>
  <si>
    <t>Roli Alaiyemola</t>
  </si>
  <si>
    <t>Rommar Pharmacy</t>
  </si>
  <si>
    <t>Rosemus Pharmacy</t>
  </si>
  <si>
    <t>Rotor Maternity Home</t>
  </si>
  <si>
    <t>Royal Specialist HX</t>
  </si>
  <si>
    <t>Royal Specialist Hospital</t>
  </si>
  <si>
    <t>Royan Hospital</t>
  </si>
  <si>
    <t>Royan Hospital PX</t>
  </si>
  <si>
    <t>Royan Hospital Px</t>
  </si>
  <si>
    <t>Rubee Medical</t>
  </si>
  <si>
    <t>Rubee Medical centre</t>
  </si>
  <si>
    <t>Sabet Pharmacy</t>
  </si>
  <si>
    <t>Sacred Heart Hosp</t>
  </si>
  <si>
    <t>Safari Pharmacy</t>
  </si>
  <si>
    <t>Safeway Dermatology</t>
  </si>
  <si>
    <t>SAFURE CLINIC</t>
  </si>
  <si>
    <t>Sakus Pharmacy</t>
  </si>
  <si>
    <t>Samaria Hospital</t>
  </si>
  <si>
    <t>Sango PHC</t>
  </si>
  <si>
    <t>Sango Primary Health Centre</t>
  </si>
  <si>
    <t>Sanor Medical Centre</t>
  </si>
  <si>
    <t>Santa Antonio Medica</t>
  </si>
  <si>
    <t>Santa Antonio Medical Centre c/o Muyiwa</t>
  </si>
  <si>
    <t>Santefort Pharmacy</t>
  </si>
  <si>
    <t>Satelite Health Cent</t>
  </si>
  <si>
    <t>Satelite Health Centre.</t>
  </si>
  <si>
    <t>SAVAN  PHARMACY..</t>
  </si>
  <si>
    <t>SAVAN PHARMACY</t>
  </si>
  <si>
    <t>Saviour De-Rock Hosp</t>
  </si>
  <si>
    <t>Saviour De-Rock Hospital</t>
  </si>
  <si>
    <t>Seadone Pharmaceauti</t>
  </si>
  <si>
    <t>Seadone Pharmaceutical ltd.</t>
  </si>
  <si>
    <t>Sebeccly Cancer Care</t>
  </si>
  <si>
    <t>SEHAM DIAGNOSTICS.</t>
  </si>
  <si>
    <t>Semper Pharmacy</t>
  </si>
  <si>
    <t>Semper Pharmacy &amp; Drugs</t>
  </si>
  <si>
    <t>Seraphic Hospital</t>
  </si>
  <si>
    <t>Seraphic Hospital.</t>
  </si>
  <si>
    <t>Setz Pharmacy</t>
  </si>
  <si>
    <t>Shaanu Clinic</t>
  </si>
  <si>
    <t>Shekinah Specialist</t>
  </si>
  <si>
    <t>Shekinah Specialist Pharmacy</t>
  </si>
  <si>
    <t>Shepherd</t>
  </si>
  <si>
    <t>Shepherd Hospital</t>
  </si>
  <si>
    <t>Shepherd Medical Cen</t>
  </si>
  <si>
    <t>Shepherd Medical Centre</t>
  </si>
  <si>
    <t>Shiela Medical Centr</t>
  </si>
  <si>
    <t>Shiela Medical Centre</t>
  </si>
  <si>
    <t>Shitta Amidat</t>
  </si>
  <si>
    <t>Silkin Hospital</t>
  </si>
  <si>
    <t>Silver Line Hospital</t>
  </si>
  <si>
    <t>Silver Line Pharmacy</t>
  </si>
  <si>
    <t>Simeon Hospital</t>
  </si>
  <si>
    <t>Simpson Primary</t>
  </si>
  <si>
    <t>Simpson Primary Health Centre</t>
  </si>
  <si>
    <t>Simstel Pharmacy</t>
  </si>
  <si>
    <t>Simstel Pharmacy&amp; Health Care</t>
  </si>
  <si>
    <t>Singapoo Global</t>
  </si>
  <si>
    <t>Singapoo Global Concept.</t>
  </si>
  <si>
    <t>Sirona Hospital</t>
  </si>
  <si>
    <t>Sisters of Jannah</t>
  </si>
  <si>
    <t>Sisters of Jannah Association</t>
  </si>
  <si>
    <t>Sky Pharmacy</t>
  </si>
  <si>
    <t>SkyHigh Medical Cent</t>
  </si>
  <si>
    <t>SkyHigh Medical Centre</t>
  </si>
  <si>
    <t>Soladel Pharm</t>
  </si>
  <si>
    <t>Solid Rock Hospital</t>
  </si>
  <si>
    <t>Soteria Mat. &amp; Hosp</t>
  </si>
  <si>
    <t>Soteria Maternity &amp; Hospital</t>
  </si>
  <si>
    <t>SouthShore Women</t>
  </si>
  <si>
    <t>SouthShore Women &amp; Children Hospital</t>
  </si>
  <si>
    <t>Southwest Medicals</t>
  </si>
  <si>
    <t>Southwest Medicals Ltd</t>
  </si>
  <si>
    <t>Spark Light Hospital</t>
  </si>
  <si>
    <t>Spark View Hospital</t>
  </si>
  <si>
    <t>Spring Care Pharmacy</t>
  </si>
  <si>
    <t>Spring Worth Spe. Hx</t>
  </si>
  <si>
    <t>Spring Worth Spec. Hospital</t>
  </si>
  <si>
    <t>St Agnes Hospital</t>
  </si>
  <si>
    <t>St Augustine Hospita</t>
  </si>
  <si>
    <t>St Augustine Hospital</t>
  </si>
  <si>
    <t>St Benjamine Catholi</t>
  </si>
  <si>
    <t>St Benjamine Catholic HX</t>
  </si>
  <si>
    <t>St Claire Specialist</t>
  </si>
  <si>
    <t>St Claire Specialist Clinic</t>
  </si>
  <si>
    <t>St Claver Hospital</t>
  </si>
  <si>
    <t>St Daniel Hospital</t>
  </si>
  <si>
    <t>ST DAVID PHARMACY</t>
  </si>
  <si>
    <t>St Emmanuel Hospital</t>
  </si>
  <si>
    <t>St Joseph Cath. Clin</t>
  </si>
  <si>
    <t>St Joseph Cath. Clinic, Kirikiri</t>
  </si>
  <si>
    <t>St Joseph Egbeda</t>
  </si>
  <si>
    <t>St Leo</t>
  </si>
  <si>
    <t>St Louis Medical Apa</t>
  </si>
  <si>
    <t>St Louis Medical Apapa</t>
  </si>
  <si>
    <t>St Mary's Hospital</t>
  </si>
  <si>
    <t>St Philomina Cath.HX</t>
  </si>
  <si>
    <t>St Philomina Catholic Hospital</t>
  </si>
  <si>
    <t>St Rapheal Ago</t>
  </si>
  <si>
    <t>St Rapheal Ago palace</t>
  </si>
  <si>
    <t>St Rapheal Hospital</t>
  </si>
  <si>
    <t>St Raphel Hospital</t>
  </si>
  <si>
    <t>St Timothy Hospital</t>
  </si>
  <si>
    <t>St. Ives Specialist</t>
  </si>
  <si>
    <t>St Ives Specialist Hospital</t>
  </si>
  <si>
    <t>St. Kizito Hospital</t>
  </si>
  <si>
    <t>St Kizito Hospital</t>
  </si>
  <si>
    <t>St. Matthew Catholic</t>
  </si>
  <si>
    <t>St. Matthew Catholic church amukoko</t>
  </si>
  <si>
    <t>St. Nicholas Hospita</t>
  </si>
  <si>
    <t>St. Nicholas Hospital</t>
  </si>
  <si>
    <t>Staff Ajimati Royan</t>
  </si>
  <si>
    <t>Standard Life Care H</t>
  </si>
  <si>
    <t>Standard Life Care Hospital</t>
  </si>
  <si>
    <t>STAR CARE HOSPITAL</t>
  </si>
  <si>
    <t>STARWAY PHARMACY</t>
  </si>
  <si>
    <t>State Hospital Abeok</t>
  </si>
  <si>
    <t>State Hospital Ijaiye Abeokuta</t>
  </si>
  <si>
    <t>STEF-NITA Mat. Centr</t>
  </si>
  <si>
    <t>STEF-NITA Mat. Centre</t>
  </si>
  <si>
    <t>Stefnita Clinic&amp; Mat</t>
  </si>
  <si>
    <t>Stefnita Clinic &amp; Mat</t>
  </si>
  <si>
    <t>Stella Charles Pharm</t>
  </si>
  <si>
    <t>Stella Charles Pharmacy</t>
  </si>
  <si>
    <t>Still Waters Hospita</t>
  </si>
  <si>
    <t>Still Waters Hospital.</t>
  </si>
  <si>
    <t>Subol Hospital</t>
  </si>
  <si>
    <t>Summit Orthopedic Hx</t>
  </si>
  <si>
    <t>Summit Orthopedic hospital</t>
  </si>
  <si>
    <t>Sundry</t>
  </si>
  <si>
    <t>Supply Medical.</t>
  </si>
  <si>
    <t>Supply Medical</t>
  </si>
  <si>
    <t>Switz Pharmacy</t>
  </si>
  <si>
    <t>Symbiotica</t>
  </si>
  <si>
    <t>T &amp; S HX OUTREACH</t>
  </si>
  <si>
    <t>Tabade Pharmacy</t>
  </si>
  <si>
    <t>Talent Specialist Ho</t>
  </si>
  <si>
    <t>Talent Specialist Hosp.</t>
  </si>
  <si>
    <t>TEE MED PHARMACY</t>
  </si>
  <si>
    <t>Tee Med Pharmacy..</t>
  </si>
  <si>
    <t>Teju Specialist Hosp</t>
  </si>
  <si>
    <t>Teju Specialist Hospital</t>
  </si>
  <si>
    <t>Temef Pharmacy</t>
  </si>
  <si>
    <t>Temmat Pharmacy</t>
  </si>
  <si>
    <t>TENDA LIFE  HOSPITAL</t>
  </si>
  <si>
    <t>TENDA LIFE HOSPITAL</t>
  </si>
  <si>
    <t>Teo Pharamacy</t>
  </si>
  <si>
    <t>Teo Pharmacy</t>
  </si>
  <si>
    <t>Teres Clinic</t>
  </si>
  <si>
    <t>Teres Clinic &amp; Maternity Home</t>
  </si>
  <si>
    <t>Thambimex Pharmacy</t>
  </si>
  <si>
    <t>The Alpha Assisted</t>
  </si>
  <si>
    <t>The Alpha Assisted Reproductive Klinic</t>
  </si>
  <si>
    <t>The bridge hospital</t>
  </si>
  <si>
    <t>The Bridge Hospital</t>
  </si>
  <si>
    <t>The Bridge Medical S</t>
  </si>
  <si>
    <t>The Bridge Medical Services</t>
  </si>
  <si>
    <t>The Excellence Hospi</t>
  </si>
  <si>
    <t>The Excellence Hospital</t>
  </si>
  <si>
    <t>The Female Doctor</t>
  </si>
  <si>
    <t>The Female Doctor Limited</t>
  </si>
  <si>
    <t>The Great Ark Hosp</t>
  </si>
  <si>
    <t>The Great Ark Hospital</t>
  </si>
  <si>
    <t>The Hospital</t>
  </si>
  <si>
    <t>The Vine Medical</t>
  </si>
  <si>
    <t>The Vine Medical Centre</t>
  </si>
  <si>
    <t>The Word Med. Centre</t>
  </si>
  <si>
    <t>The Word Medical Centre</t>
  </si>
  <si>
    <t>Theolad Hospital</t>
  </si>
  <si>
    <t>THH Health centre.</t>
  </si>
  <si>
    <t>THH Health centre</t>
  </si>
  <si>
    <t>Tiltak Nigeria Ltd</t>
  </si>
  <si>
    <t>Tiltak Nigeria Limited</t>
  </si>
  <si>
    <t>Tim Unity Specialist</t>
  </si>
  <si>
    <t>Tim Unity Specialist Hospital.</t>
  </si>
  <si>
    <t>Timmy Hospital</t>
  </si>
  <si>
    <t>Timoteik Pharmacy</t>
  </si>
  <si>
    <t>TITO  Pharmacy</t>
  </si>
  <si>
    <t>Titobi Pharmacy</t>
  </si>
  <si>
    <t>TLC Clinic</t>
  </si>
  <si>
    <t>Tobiloba Hospital</t>
  </si>
  <si>
    <t>Topaz Clinic</t>
  </si>
  <si>
    <t>Tope Sanofi</t>
  </si>
  <si>
    <t>Total Care Pharmacy</t>
  </si>
  <si>
    <t>Total Family Special</t>
  </si>
  <si>
    <t>Total Family Specialist</t>
  </si>
  <si>
    <t>Total Health Hospita</t>
  </si>
  <si>
    <t>Total Health Hospital</t>
  </si>
  <si>
    <t>Total Health Trust</t>
  </si>
  <si>
    <t>Touchgood Healthcare</t>
  </si>
  <si>
    <t>Touchgood Healthcare 360 ltd</t>
  </si>
  <si>
    <t>Trican Hospital</t>
  </si>
  <si>
    <t>Trinity Medix Pharma</t>
  </si>
  <si>
    <t>Trinity Medix Pharmacy</t>
  </si>
  <si>
    <t>Triple A Medical Cli</t>
  </si>
  <si>
    <t>Triple A Medical Clinic</t>
  </si>
  <si>
    <t>TRIUMPH MEDICAL</t>
  </si>
  <si>
    <t>TRIUMPH MEDICAL CENTRE</t>
  </si>
  <si>
    <t>Truimph Medical Cent</t>
  </si>
  <si>
    <t>Truimph Medical Center</t>
  </si>
  <si>
    <t>Tunslam Scienific</t>
  </si>
  <si>
    <t>TUNSLAM SCIENIFIC CONSULTING LTD</t>
  </si>
  <si>
    <t>Turmeric Pharmacy</t>
  </si>
  <si>
    <t>U.C.H</t>
  </si>
  <si>
    <t>UBA PHARMACY</t>
  </si>
  <si>
    <t>Uche Zolon</t>
  </si>
  <si>
    <t>Uni Osun Teaching</t>
  </si>
  <si>
    <t>Uni Osun Teaching Hospital</t>
  </si>
  <si>
    <t>Unilag Medical Centr</t>
  </si>
  <si>
    <t>Unilag Medical Centre</t>
  </si>
  <si>
    <t>Unita Hospital</t>
  </si>
  <si>
    <t>United Heart Hospita</t>
  </si>
  <si>
    <t>United Heart Hospital.</t>
  </si>
  <si>
    <t>Unity Hospital</t>
  </si>
  <si>
    <t>Unity HospitaL Ikeja</t>
  </si>
  <si>
    <t>Urban Comprehensive</t>
  </si>
  <si>
    <t>Urban Comprehensive health centre</t>
  </si>
  <si>
    <t>Urbane Med. Centre</t>
  </si>
  <si>
    <t>Uyoyo Novo Nordisk</t>
  </si>
  <si>
    <t>Vaccination Centre</t>
  </si>
  <si>
    <t>Vaccines Place</t>
  </si>
  <si>
    <t>Vaccipharm Nig Ltd</t>
  </si>
  <si>
    <t>Valentina Marinze</t>
  </si>
  <si>
    <t>Valley Oak Hospital</t>
  </si>
  <si>
    <t>VALLEY OAK HOSPITAL</t>
  </si>
  <si>
    <t>Vantagemed Pharmacy</t>
  </si>
  <si>
    <t>Vatican Bells</t>
  </si>
  <si>
    <t>Vatican Bells Pharmacy</t>
  </si>
  <si>
    <t>Vedick Health Care</t>
  </si>
  <si>
    <t>Victory Drugs Pharma</t>
  </si>
  <si>
    <t>Victory Drugs Pharmacy</t>
  </si>
  <si>
    <t>Victory Life</t>
  </si>
  <si>
    <t>Victory Life Specialist Hosptial</t>
  </si>
  <si>
    <t>VICTORY VACCINE CLIN</t>
  </si>
  <si>
    <t>VICTORY VACCINE CLINIC</t>
  </si>
  <si>
    <t>Vine Branch Med.Cent</t>
  </si>
  <si>
    <t>Vine Branch Med Centre</t>
  </si>
  <si>
    <t>Vine Yard Hospital</t>
  </si>
  <si>
    <t>VINE YARD HOSPITAL</t>
  </si>
  <si>
    <t>Viral Hepatitis</t>
  </si>
  <si>
    <t>VIRAL HEPATITIS</t>
  </si>
  <si>
    <t>Vita Chemist</t>
  </si>
  <si>
    <t>WATS Ipaja</t>
  </si>
  <si>
    <t>We-Care Hospital</t>
  </si>
  <si>
    <t>Wealthy Lily Pharma</t>
  </si>
  <si>
    <t>Wealthy Lily Pharmacy</t>
  </si>
  <si>
    <t>Welfort Pharmacy</t>
  </si>
  <si>
    <t>Well Berth Pharmacy</t>
  </si>
  <si>
    <t>Wellness HMO</t>
  </si>
  <si>
    <t>Wellness Pharmacy</t>
  </si>
  <si>
    <t>West Africa Theologi</t>
  </si>
  <si>
    <t>West Africa Theological Security clinic</t>
  </si>
  <si>
    <t>West Care Hospital</t>
  </si>
  <si>
    <t>WEST CARE HX EJIGBO</t>
  </si>
  <si>
    <t>WEST CARE HX EJIGBO.</t>
  </si>
  <si>
    <t>Winan Hospital</t>
  </si>
  <si>
    <t>Wise Consultant</t>
  </si>
  <si>
    <t>Witcom Clinic</t>
  </si>
  <si>
    <t>Women's Health Point</t>
  </si>
  <si>
    <t>Working Together Hea</t>
  </si>
  <si>
    <t>Working Together Health Foundation</t>
  </si>
  <si>
    <t>Wunmi c/o Elvis</t>
  </si>
  <si>
    <t>X-Serve Children's</t>
  </si>
  <si>
    <t>X-Serve Children's Hospital</t>
  </si>
  <si>
    <t>X-Serve Clinics 0704</t>
  </si>
  <si>
    <t>X-Serve Clinics 07046236098</t>
  </si>
  <si>
    <t>Xthetix Medical</t>
  </si>
  <si>
    <t>Xthetix Medical Consumables</t>
  </si>
  <si>
    <t>Yankee Pharmacy</t>
  </si>
  <si>
    <t>YEMISI WILLIAMS.</t>
  </si>
  <si>
    <t>Yombo Hospital</t>
  </si>
  <si>
    <t>Yombo Hospitals</t>
  </si>
  <si>
    <t>You And Lord Phamacy</t>
  </si>
  <si>
    <t>Zicron Pharmacy</t>
  </si>
  <si>
    <t>ZIon Citizen Special</t>
  </si>
  <si>
    <t>Zion Citizen Specialist Hosp</t>
  </si>
  <si>
    <t>Report Totals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</si>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</sst>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F091-E66E-4EAB-9C06-D078DDB527F5}">
  <dimension ref="A1:F1097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9.6328125" style="2" customWidth="1"/>
    <col min="2" max="2" width="24.6328125" style="2" customWidth="1"/>
    <col min="3" max="3" width="9.6328125" style="6" customWidth="1"/>
    <col min="4" max="4" width="14.6328125" style="6" customWidth="1"/>
    <col min="5" max="5" width="12.6328125" style="6" customWidth="1"/>
    <col min="6" max="6" width="11.6328125" style="6" customWidth="1"/>
    <col min="7" max="16384" width="8.7265625" style="1"/>
  </cols>
  <sheetData>
    <row r="1" spans="1:6" s="9" customFormat="1" x14ac:dyDescent="0.25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25">
      <c r="A2" s="2" t="s">
        <v>6</v>
      </c>
      <c r="B2" s="2" t="s">
        <v>7</v>
      </c>
      <c r="C2" s="6">
        <v>194358</v>
      </c>
      <c r="D2" s="6">
        <v>166532.23000000001</v>
      </c>
      <c r="E2" s="6">
        <f>C2-D2</f>
        <v>27825.76999999999</v>
      </c>
      <c r="F2" s="6">
        <f>IF(C2&lt;&gt;0, ((C2-D2)/C2)*100, 0)</f>
        <v>14.316760822811508</v>
      </c>
    </row>
    <row r="3" spans="1:6" x14ac:dyDescent="0.25">
      <c r="A3" s="2" t="s">
        <v>8</v>
      </c>
      <c r="B3" s="2" t="s">
        <v>8</v>
      </c>
      <c r="C3" s="6">
        <v>309413</v>
      </c>
      <c r="D3" s="6">
        <v>275338</v>
      </c>
      <c r="E3" s="6">
        <f>C3-D3</f>
        <v>34075</v>
      </c>
      <c r="F3" s="6">
        <f>IF(C3&lt;&gt;0, ((C3-D3)/C3)*100, 0)</f>
        <v>11.012788732212286</v>
      </c>
    </row>
    <row r="4" spans="1:6" x14ac:dyDescent="0.25">
      <c r="A4" s="2" t="s">
        <v>9</v>
      </c>
      <c r="B4" s="2" t="s">
        <v>10</v>
      </c>
      <c r="C4" s="6">
        <v>802663.67</v>
      </c>
      <c r="D4" s="6">
        <v>658085.5</v>
      </c>
      <c r="E4" s="6">
        <f>C4-D4</f>
        <v>144578.17000000004</v>
      </c>
      <c r="F4" s="6">
        <f>IF(C4&lt;&gt;0, ((C4-D4)/C4)*100, 0)</f>
        <v>18.012297728636458</v>
      </c>
    </row>
    <row r="5" spans="1:6" x14ac:dyDescent="0.25">
      <c r="A5" s="2" t="s">
        <v>11</v>
      </c>
      <c r="B5" s="2" t="s">
        <v>11</v>
      </c>
      <c r="C5" s="6">
        <v>12581299.08</v>
      </c>
      <c r="D5" s="6">
        <v>9646475.0099999998</v>
      </c>
      <c r="E5" s="6">
        <f>C5-D5</f>
        <v>2934824.0700000003</v>
      </c>
      <c r="F5" s="6">
        <f>IF(C5&lt;&gt;0, ((C5-D5)/C5)*100, 0)</f>
        <v>23.326876273574765</v>
      </c>
    </row>
    <row r="6" spans="1:6" x14ac:dyDescent="0.25">
      <c r="A6" s="2" t="s">
        <v>12</v>
      </c>
      <c r="B6" s="2" t="s">
        <v>12</v>
      </c>
      <c r="C6" s="6">
        <v>4757721</v>
      </c>
      <c r="D6" s="6">
        <v>3456844.51</v>
      </c>
      <c r="E6" s="6">
        <f>C6-D6</f>
        <v>1300876.4900000002</v>
      </c>
      <c r="F6" s="6">
        <f>IF(C6&lt;&gt;0, ((C6-D6)/C6)*100, 0)</f>
        <v>27.342429074760798</v>
      </c>
    </row>
    <row r="7" spans="1:6" x14ac:dyDescent="0.25">
      <c r="A7" s="2" t="s">
        <v>13</v>
      </c>
      <c r="B7" s="2" t="s">
        <v>14</v>
      </c>
      <c r="C7" s="6">
        <v>14520</v>
      </c>
      <c r="D7" s="6">
        <v>13200</v>
      </c>
      <c r="E7" s="6">
        <f>C7-D7</f>
        <v>1320</v>
      </c>
      <c r="F7" s="6">
        <f>IF(C7&lt;&gt;0, ((C7-D7)/C7)*100, 0)</f>
        <v>9.0909090909090917</v>
      </c>
    </row>
    <row r="8" spans="1:6" x14ac:dyDescent="0.25">
      <c r="A8" s="2" t="s">
        <v>15</v>
      </c>
      <c r="B8" s="2" t="s">
        <v>15</v>
      </c>
      <c r="C8" s="6">
        <v>14249400</v>
      </c>
      <c r="D8" s="6">
        <v>16233582</v>
      </c>
      <c r="E8" s="6">
        <f>C8-D8</f>
        <v>-1984182</v>
      </c>
      <c r="F8" s="6">
        <f>IF(C8&lt;&gt;0, ((C8-D8)/C8)*100, 0)</f>
        <v>-13.92467051244263</v>
      </c>
    </row>
    <row r="9" spans="1:6" x14ac:dyDescent="0.25">
      <c r="A9" s="2" t="s">
        <v>16</v>
      </c>
      <c r="B9" s="2" t="s">
        <v>16</v>
      </c>
      <c r="C9" s="6">
        <v>1015240</v>
      </c>
      <c r="D9" s="6">
        <v>883500</v>
      </c>
      <c r="E9" s="6">
        <f>C9-D9</f>
        <v>131740</v>
      </c>
      <c r="F9" s="6">
        <f>IF(C9&lt;&gt;0, ((C9-D9)/C9)*100, 0)</f>
        <v>12.976242070840394</v>
      </c>
    </row>
    <row r="10" spans="1:6" x14ac:dyDescent="0.25">
      <c r="A10" s="2" t="s">
        <v>17</v>
      </c>
      <c r="B10" s="2" t="s">
        <v>17</v>
      </c>
      <c r="C10" s="6">
        <v>-46260</v>
      </c>
      <c r="D10" s="6">
        <v>-14600</v>
      </c>
      <c r="E10" s="6">
        <f>C10-D10</f>
        <v>-31660</v>
      </c>
      <c r="F10" s="6">
        <f>IF(C10&lt;&gt;0, ((C10-D10)/C10)*100, 0)</f>
        <v>68.439256376999566</v>
      </c>
    </row>
    <row r="11" spans="1:6" x14ac:dyDescent="0.25">
      <c r="A11" s="2" t="s">
        <v>18</v>
      </c>
      <c r="B11" s="2" t="s">
        <v>18</v>
      </c>
      <c r="C11" s="6">
        <v>26875719.699999999</v>
      </c>
      <c r="D11" s="6">
        <v>21084447.57</v>
      </c>
      <c r="E11" s="6">
        <f>C11-D11</f>
        <v>5791272.129999999</v>
      </c>
      <c r="F11" s="6">
        <f>IF(C11&lt;&gt;0, ((C11-D11)/C11)*100, 0)</f>
        <v>21.548342498898734</v>
      </c>
    </row>
    <row r="12" spans="1:6" x14ac:dyDescent="0.25">
      <c r="A12" s="2" t="s">
        <v>19</v>
      </c>
      <c r="B12" s="2" t="s">
        <v>19</v>
      </c>
      <c r="C12" s="6">
        <v>5600</v>
      </c>
      <c r="D12" s="6">
        <v>4645</v>
      </c>
      <c r="E12" s="6">
        <f>C12-D12</f>
        <v>955</v>
      </c>
      <c r="F12" s="6">
        <f>IF(C12&lt;&gt;0, ((C12-D12)/C12)*100, 0)</f>
        <v>17.053571428571431</v>
      </c>
    </row>
    <row r="13" spans="1:6" x14ac:dyDescent="0.25">
      <c r="A13" s="2" t="s">
        <v>20</v>
      </c>
      <c r="B13" s="2" t="s">
        <v>20</v>
      </c>
      <c r="C13" s="6">
        <v>21370</v>
      </c>
      <c r="D13" s="6">
        <v>16835</v>
      </c>
      <c r="E13" s="6">
        <f>C13-D13</f>
        <v>4535</v>
      </c>
      <c r="F13" s="6">
        <f>IF(C13&lt;&gt;0, ((C13-D13)/C13)*100, 0)</f>
        <v>21.221338324754331</v>
      </c>
    </row>
    <row r="14" spans="1:6" x14ac:dyDescent="0.25">
      <c r="A14" s="2" t="s">
        <v>21</v>
      </c>
      <c r="B14" s="2" t="s">
        <v>21</v>
      </c>
      <c r="C14" s="6">
        <v>22559</v>
      </c>
      <c r="D14" s="6">
        <v>18025.16</v>
      </c>
      <c r="E14" s="6">
        <f>C14-D14</f>
        <v>4533.84</v>
      </c>
      <c r="F14" s="6">
        <f>IF(C14&lt;&gt;0, ((C14-D14)/C14)*100, 0)</f>
        <v>20.097699366106657</v>
      </c>
    </row>
    <row r="15" spans="1:6" x14ac:dyDescent="0.25">
      <c r="A15" s="2" t="s">
        <v>22</v>
      </c>
      <c r="B15" s="2" t="s">
        <v>22</v>
      </c>
      <c r="C15" s="6">
        <v>91120</v>
      </c>
      <c r="D15" s="6">
        <v>69204.160000000003</v>
      </c>
      <c r="E15" s="6">
        <f>C15-D15</f>
        <v>21915.839999999997</v>
      </c>
      <c r="F15" s="6">
        <f>IF(C15&lt;&gt;0, ((C15-D15)/C15)*100, 0)</f>
        <v>24.051624231782263</v>
      </c>
    </row>
    <row r="16" spans="1:6" x14ac:dyDescent="0.25">
      <c r="A16" s="2" t="s">
        <v>23</v>
      </c>
      <c r="B16" s="2" t="s">
        <v>24</v>
      </c>
      <c r="C16" s="6">
        <v>29116.6</v>
      </c>
      <c r="D16" s="6">
        <v>24906</v>
      </c>
      <c r="E16" s="6">
        <f>C16-D16</f>
        <v>4210.5999999999985</v>
      </c>
      <c r="F16" s="6">
        <f>IF(C16&lt;&gt;0, ((C16-D16)/C16)*100, 0)</f>
        <v>14.46116648235027</v>
      </c>
    </row>
    <row r="17" spans="1:6" x14ac:dyDescent="0.25">
      <c r="A17" s="2" t="s">
        <v>25</v>
      </c>
      <c r="B17" s="2" t="s">
        <v>25</v>
      </c>
      <c r="C17" s="6">
        <v>647135</v>
      </c>
      <c r="D17" s="6">
        <v>533180</v>
      </c>
      <c r="E17" s="6">
        <f>C17-D17</f>
        <v>113955</v>
      </c>
      <c r="F17" s="6">
        <f>IF(C17&lt;&gt;0, ((C17-D17)/C17)*100, 0)</f>
        <v>17.609154195028857</v>
      </c>
    </row>
    <row r="18" spans="1:6" x14ac:dyDescent="0.25">
      <c r="A18" s="2" t="s">
        <v>26</v>
      </c>
      <c r="B18" s="2" t="s">
        <v>27</v>
      </c>
      <c r="C18" s="6">
        <v>28950</v>
      </c>
      <c r="D18" s="6">
        <v>26930</v>
      </c>
      <c r="E18" s="6">
        <f>C18-D18</f>
        <v>2020</v>
      </c>
      <c r="F18" s="6">
        <f>IF(C18&lt;&gt;0, ((C18-D18)/C18)*100, 0)</f>
        <v>6.9775474956822112</v>
      </c>
    </row>
    <row r="19" spans="1:6" x14ac:dyDescent="0.25">
      <c r="A19" s="2" t="s">
        <v>28</v>
      </c>
      <c r="B19" s="2" t="s">
        <v>28</v>
      </c>
      <c r="C19" s="6">
        <v>1584661</v>
      </c>
      <c r="D19" s="6">
        <v>1371887.91</v>
      </c>
      <c r="E19" s="6">
        <f>C19-D19</f>
        <v>212773.09000000008</v>
      </c>
      <c r="F19" s="6">
        <f>IF(C19&lt;&gt;0, ((C19-D19)/C19)*100, 0)</f>
        <v>13.42704149341721</v>
      </c>
    </row>
    <row r="20" spans="1:6" x14ac:dyDescent="0.25">
      <c r="A20" s="2" t="s">
        <v>29</v>
      </c>
      <c r="B20" s="2" t="s">
        <v>29</v>
      </c>
      <c r="C20" s="6">
        <v>5600</v>
      </c>
      <c r="D20" s="6">
        <v>4645</v>
      </c>
      <c r="E20" s="6">
        <f>C20-D20</f>
        <v>955</v>
      </c>
      <c r="F20" s="6">
        <f>IF(C20&lt;&gt;0, ((C20-D20)/C20)*100, 0)</f>
        <v>17.053571428571431</v>
      </c>
    </row>
    <row r="21" spans="1:6" x14ac:dyDescent="0.25">
      <c r="A21" s="2" t="s">
        <v>30</v>
      </c>
      <c r="B21" s="2" t="s">
        <v>30</v>
      </c>
      <c r="C21" s="6">
        <v>16000</v>
      </c>
      <c r="D21" s="6">
        <v>13236.8</v>
      </c>
      <c r="E21" s="6">
        <f>C21-D21</f>
        <v>2763.2000000000007</v>
      </c>
      <c r="F21" s="6">
        <f>IF(C21&lt;&gt;0, ((C21-D21)/C21)*100, 0)</f>
        <v>17.270000000000003</v>
      </c>
    </row>
    <row r="22" spans="1:6" x14ac:dyDescent="0.25">
      <c r="A22" s="2" t="s">
        <v>31</v>
      </c>
      <c r="B22" s="2" t="s">
        <v>32</v>
      </c>
      <c r="C22" s="6">
        <v>26420</v>
      </c>
      <c r="D22" s="6">
        <v>22354.6</v>
      </c>
      <c r="E22" s="6">
        <f>C22-D22</f>
        <v>4065.4000000000015</v>
      </c>
      <c r="F22" s="6">
        <f>IF(C22&lt;&gt;0, ((C22-D22)/C22)*100, 0)</f>
        <v>15.387585162755494</v>
      </c>
    </row>
    <row r="23" spans="1:6" x14ac:dyDescent="0.25">
      <c r="A23" s="2" t="s">
        <v>33</v>
      </c>
      <c r="B23" s="2" t="s">
        <v>34</v>
      </c>
      <c r="C23" s="6">
        <v>-25</v>
      </c>
      <c r="E23" s="6">
        <f>C23-D23</f>
        <v>-25</v>
      </c>
      <c r="F23" s="6">
        <f>IF(C23&lt;&gt;0, ((C23-D23)/C23)*100, 0)</f>
        <v>100</v>
      </c>
    </row>
    <row r="24" spans="1:6" x14ac:dyDescent="0.25">
      <c r="A24" s="2" t="s">
        <v>35</v>
      </c>
      <c r="B24" s="2" t="s">
        <v>35</v>
      </c>
      <c r="C24" s="6">
        <v>150620</v>
      </c>
      <c r="D24" s="6">
        <v>119760.49</v>
      </c>
      <c r="E24" s="6">
        <f>C24-D24</f>
        <v>30859.509999999995</v>
      </c>
      <c r="F24" s="6">
        <f>IF(C24&lt;&gt;0, ((C24-D24)/C24)*100, 0)</f>
        <v>20.488321604036646</v>
      </c>
    </row>
    <row r="25" spans="1:6" x14ac:dyDescent="0.25">
      <c r="A25" s="2" t="s">
        <v>36</v>
      </c>
      <c r="B25" s="2" t="s">
        <v>36</v>
      </c>
      <c r="C25" s="6">
        <v>37741390.979999997</v>
      </c>
      <c r="D25" s="6">
        <v>29994392.370000001</v>
      </c>
      <c r="E25" s="6">
        <f>C25-D25</f>
        <v>7746998.6099999957</v>
      </c>
      <c r="F25" s="6">
        <f>IF(C25&lt;&gt;0, ((C25-D25)/C25)*100, 0)</f>
        <v>20.526531770133495</v>
      </c>
    </row>
    <row r="26" spans="1:6" x14ac:dyDescent="0.25">
      <c r="A26" s="2" t="s">
        <v>37</v>
      </c>
      <c r="B26" s="2" t="s">
        <v>37</v>
      </c>
      <c r="C26" s="6">
        <v>39146</v>
      </c>
      <c r="E26" s="6">
        <f>C26-D26</f>
        <v>39146</v>
      </c>
      <c r="F26" s="6">
        <f>IF(C26&lt;&gt;0, ((C26-D26)/C26)*100, 0)</f>
        <v>100</v>
      </c>
    </row>
    <row r="27" spans="1:6" x14ac:dyDescent="0.25">
      <c r="A27" s="2" t="s">
        <v>38</v>
      </c>
      <c r="B27" s="2" t="s">
        <v>38</v>
      </c>
      <c r="C27" s="6">
        <v>24140</v>
      </c>
      <c r="D27" s="6">
        <v>-60947</v>
      </c>
      <c r="E27" s="6">
        <f>C27-D27</f>
        <v>85087</v>
      </c>
      <c r="F27" s="6">
        <f>IF(C27&lt;&gt;0, ((C27-D27)/C27)*100, 0)</f>
        <v>352.47307373653689</v>
      </c>
    </row>
    <row r="28" spans="1:6" x14ac:dyDescent="0.25">
      <c r="A28" s="2" t="s">
        <v>39</v>
      </c>
      <c r="B28" s="2" t="s">
        <v>40</v>
      </c>
      <c r="C28" s="6">
        <v>117680</v>
      </c>
      <c r="D28" s="6">
        <v>84020</v>
      </c>
      <c r="E28" s="6">
        <f>C28-D28</f>
        <v>33660</v>
      </c>
      <c r="F28" s="6">
        <f>IF(C28&lt;&gt;0, ((C28-D28)/C28)*100, 0)</f>
        <v>28.602991162474506</v>
      </c>
    </row>
    <row r="29" spans="1:6" x14ac:dyDescent="0.25">
      <c r="A29" s="2" t="s">
        <v>41</v>
      </c>
      <c r="B29" s="2" t="s">
        <v>42</v>
      </c>
      <c r="C29" s="6">
        <v>960</v>
      </c>
      <c r="E29" s="6">
        <f>C29-D29</f>
        <v>960</v>
      </c>
      <c r="F29" s="6">
        <f>IF(C29&lt;&gt;0, ((C29-D29)/C29)*100, 0)</f>
        <v>100</v>
      </c>
    </row>
    <row r="30" spans="1:6" x14ac:dyDescent="0.25">
      <c r="A30" s="2" t="s">
        <v>43</v>
      </c>
      <c r="B30" s="2" t="s">
        <v>44</v>
      </c>
      <c r="C30" s="6">
        <v>970805</v>
      </c>
      <c r="D30" s="6">
        <v>800655.15</v>
      </c>
      <c r="E30" s="6">
        <f>C30-D30</f>
        <v>170149.84999999998</v>
      </c>
      <c r="F30" s="6">
        <f>IF(C30&lt;&gt;0, ((C30-D30)/C30)*100, 0)</f>
        <v>17.526676315016918</v>
      </c>
    </row>
    <row r="31" spans="1:6" x14ac:dyDescent="0.25">
      <c r="A31" s="2" t="s">
        <v>45</v>
      </c>
      <c r="B31" s="2" t="s">
        <v>45</v>
      </c>
      <c r="C31" s="6">
        <v>842765</v>
      </c>
      <c r="D31" s="6">
        <v>693450</v>
      </c>
      <c r="E31" s="6">
        <f>C31-D31</f>
        <v>149315</v>
      </c>
      <c r="F31" s="6">
        <f>IF(C31&lt;&gt;0, ((C31-D31)/C31)*100, 0)</f>
        <v>17.717275871684276</v>
      </c>
    </row>
    <row r="32" spans="1:6" x14ac:dyDescent="0.25">
      <c r="A32" s="2" t="s">
        <v>46</v>
      </c>
      <c r="B32" s="2" t="s">
        <v>46</v>
      </c>
      <c r="C32" s="6">
        <v>-25</v>
      </c>
      <c r="E32" s="6">
        <f>C32-D32</f>
        <v>-25</v>
      </c>
      <c r="F32" s="6">
        <f>IF(C32&lt;&gt;0, ((C32-D32)/C32)*100, 0)</f>
        <v>100</v>
      </c>
    </row>
    <row r="33" spans="1:6" x14ac:dyDescent="0.25">
      <c r="A33" s="2" t="s">
        <v>47</v>
      </c>
      <c r="B33" s="2" t="s">
        <v>47</v>
      </c>
      <c r="C33" s="6">
        <v>103384</v>
      </c>
      <c r="D33" s="6">
        <v>72787.63</v>
      </c>
      <c r="E33" s="6">
        <f>C33-D33</f>
        <v>30596.369999999995</v>
      </c>
      <c r="F33" s="6">
        <f>IF(C33&lt;&gt;0, ((C33-D33)/C33)*100, 0)</f>
        <v>29.594879284995741</v>
      </c>
    </row>
    <row r="34" spans="1:6" x14ac:dyDescent="0.25">
      <c r="A34" s="2" t="s">
        <v>48</v>
      </c>
      <c r="B34" s="2" t="s">
        <v>48</v>
      </c>
      <c r="C34" s="6">
        <v>348205</v>
      </c>
      <c r="D34" s="6">
        <v>281562.28000000003</v>
      </c>
      <c r="E34" s="6">
        <f>C34-D34</f>
        <v>66642.719999999972</v>
      </c>
      <c r="F34" s="6">
        <f>IF(C34&lt;&gt;0, ((C34-D34)/C34)*100, 0)</f>
        <v>19.138932525380156</v>
      </c>
    </row>
    <row r="35" spans="1:6" x14ac:dyDescent="0.25">
      <c r="A35" s="2" t="s">
        <v>49</v>
      </c>
      <c r="B35" s="2" t="s">
        <v>49</v>
      </c>
      <c r="C35" s="6">
        <v>5600</v>
      </c>
      <c r="D35" s="6">
        <v>4645</v>
      </c>
      <c r="E35" s="6">
        <f>C35-D35</f>
        <v>955</v>
      </c>
      <c r="F35" s="6">
        <f>IF(C35&lt;&gt;0, ((C35-D35)/C35)*100, 0)</f>
        <v>17.053571428571431</v>
      </c>
    </row>
    <row r="36" spans="1:6" x14ac:dyDescent="0.25">
      <c r="A36" s="2" t="s">
        <v>50</v>
      </c>
      <c r="B36" s="2" t="s">
        <v>50</v>
      </c>
      <c r="C36" s="6">
        <v>-6</v>
      </c>
      <c r="E36" s="6">
        <f>C36-D36</f>
        <v>-6</v>
      </c>
      <c r="F36" s="6">
        <f>IF(C36&lt;&gt;0, ((C36-D36)/C36)*100, 0)</f>
        <v>100</v>
      </c>
    </row>
    <row r="37" spans="1:6" x14ac:dyDescent="0.25">
      <c r="A37" s="2" t="s">
        <v>51</v>
      </c>
      <c r="B37" s="2" t="s">
        <v>52</v>
      </c>
      <c r="C37" s="6">
        <v>222760</v>
      </c>
      <c r="D37" s="6">
        <v>193720</v>
      </c>
      <c r="E37" s="6">
        <f>C37-D37</f>
        <v>29040</v>
      </c>
      <c r="F37" s="6">
        <f>IF(C37&lt;&gt;0, ((C37-D37)/C37)*100, 0)</f>
        <v>13.036451786676242</v>
      </c>
    </row>
    <row r="38" spans="1:6" x14ac:dyDescent="0.25">
      <c r="A38" s="2" t="s">
        <v>53</v>
      </c>
      <c r="B38" s="2" t="s">
        <v>54</v>
      </c>
      <c r="C38" s="6">
        <v>7590</v>
      </c>
      <c r="D38" s="6">
        <v>7224</v>
      </c>
      <c r="E38" s="6">
        <f>C38-D38</f>
        <v>366</v>
      </c>
      <c r="F38" s="6">
        <f>IF(C38&lt;&gt;0, ((C38-D38)/C38)*100, 0)</f>
        <v>4.8221343873517784</v>
      </c>
    </row>
    <row r="39" spans="1:6" x14ac:dyDescent="0.25">
      <c r="A39" s="2" t="s">
        <v>55</v>
      </c>
      <c r="B39" s="2" t="s">
        <v>55</v>
      </c>
      <c r="C39" s="6">
        <v>236430</v>
      </c>
      <c r="D39" s="6">
        <v>183917.16</v>
      </c>
      <c r="E39" s="6">
        <f>C39-D39</f>
        <v>52512.84</v>
      </c>
      <c r="F39" s="6">
        <f>IF(C39&lt;&gt;0, ((C39-D39)/C39)*100, 0)</f>
        <v>22.210734678340309</v>
      </c>
    </row>
    <row r="40" spans="1:6" x14ac:dyDescent="0.25">
      <c r="A40" s="2" t="s">
        <v>56</v>
      </c>
      <c r="B40" s="2" t="s">
        <v>56</v>
      </c>
      <c r="C40" s="6">
        <v>-3</v>
      </c>
      <c r="E40" s="6">
        <f>C40-D40</f>
        <v>-3</v>
      </c>
      <c r="F40" s="6">
        <f>IF(C40&lt;&gt;0, ((C40-D40)/C40)*100, 0)</f>
        <v>100</v>
      </c>
    </row>
    <row r="41" spans="1:6" x14ac:dyDescent="0.25">
      <c r="A41" s="2" t="s">
        <v>57</v>
      </c>
      <c r="B41" s="2" t="s">
        <v>57</v>
      </c>
      <c r="C41" s="6">
        <v>2</v>
      </c>
      <c r="E41" s="6">
        <f>C41-D41</f>
        <v>2</v>
      </c>
      <c r="F41" s="6">
        <f>IF(C41&lt;&gt;0, ((C41-D41)/C41)*100, 0)</f>
        <v>100</v>
      </c>
    </row>
    <row r="42" spans="1:6" x14ac:dyDescent="0.25">
      <c r="A42" s="2" t="s">
        <v>58</v>
      </c>
      <c r="B42" s="2" t="s">
        <v>58</v>
      </c>
      <c r="C42" s="6">
        <v>347271</v>
      </c>
      <c r="D42" s="6">
        <v>300803</v>
      </c>
      <c r="E42" s="6">
        <f>C42-D42</f>
        <v>46468</v>
      </c>
      <c r="F42" s="6">
        <f>IF(C42&lt;&gt;0, ((C42-D42)/C42)*100, 0)</f>
        <v>13.380904250570879</v>
      </c>
    </row>
    <row r="43" spans="1:6" x14ac:dyDescent="0.25">
      <c r="A43" s="2" t="s">
        <v>59</v>
      </c>
      <c r="B43" s="2" t="s">
        <v>59</v>
      </c>
      <c r="C43" s="6">
        <v>3373005.38</v>
      </c>
      <c r="D43" s="6">
        <v>2752259.48</v>
      </c>
      <c r="E43" s="6">
        <f>C43-D43</f>
        <v>620745.89999999991</v>
      </c>
      <c r="F43" s="6">
        <f>IF(C43&lt;&gt;0, ((C43-D43)/C43)*100, 0)</f>
        <v>18.403347462197047</v>
      </c>
    </row>
    <row r="44" spans="1:6" x14ac:dyDescent="0.25">
      <c r="A44" s="2" t="s">
        <v>60</v>
      </c>
      <c r="B44" s="2" t="s">
        <v>61</v>
      </c>
      <c r="C44" s="6">
        <v>206400</v>
      </c>
      <c r="D44" s="6">
        <v>156580</v>
      </c>
      <c r="E44" s="6">
        <f>C44-D44</f>
        <v>49820</v>
      </c>
      <c r="F44" s="6">
        <f>IF(C44&lt;&gt;0, ((C44-D44)/C44)*100, 0)</f>
        <v>24.137596899224807</v>
      </c>
    </row>
    <row r="45" spans="1:6" x14ac:dyDescent="0.25">
      <c r="A45" s="2" t="s">
        <v>62</v>
      </c>
      <c r="B45" s="2" t="s">
        <v>62</v>
      </c>
      <c r="C45" s="6">
        <v>21433540.68</v>
      </c>
      <c r="D45" s="6">
        <v>16149566.42</v>
      </c>
      <c r="E45" s="6">
        <f>C45-D45</f>
        <v>5283974.26</v>
      </c>
      <c r="F45" s="6">
        <f>IF(C45&lt;&gt;0, ((C45-D45)/C45)*100, 0)</f>
        <v>24.652829594928129</v>
      </c>
    </row>
    <row r="46" spans="1:6" x14ac:dyDescent="0.25">
      <c r="A46" s="2" t="s">
        <v>63</v>
      </c>
      <c r="B46" s="2" t="s">
        <v>64</v>
      </c>
      <c r="C46" s="6">
        <v>115094.84</v>
      </c>
      <c r="D46" s="6">
        <v>95447.9</v>
      </c>
      <c r="E46" s="6">
        <f>C46-D46</f>
        <v>19646.940000000002</v>
      </c>
      <c r="F46" s="6">
        <f>IF(C46&lt;&gt;0, ((C46-D46)/C46)*100, 0)</f>
        <v>17.070217917675549</v>
      </c>
    </row>
    <row r="47" spans="1:6" x14ac:dyDescent="0.25">
      <c r="A47" s="2" t="s">
        <v>65</v>
      </c>
      <c r="B47" s="2" t="s">
        <v>65</v>
      </c>
      <c r="C47" s="6">
        <v>42645</v>
      </c>
      <c r="D47" s="6">
        <v>28181.67</v>
      </c>
      <c r="E47" s="6">
        <f>C47-D47</f>
        <v>14463.330000000002</v>
      </c>
      <c r="F47" s="6">
        <f>IF(C47&lt;&gt;0, ((C47-D47)/C47)*100, 0)</f>
        <v>33.915652479774892</v>
      </c>
    </row>
    <row r="48" spans="1:6" x14ac:dyDescent="0.25">
      <c r="A48" s="2" t="s">
        <v>66</v>
      </c>
      <c r="B48" s="2" t="s">
        <v>67</v>
      </c>
      <c r="C48" s="6">
        <v>10380</v>
      </c>
      <c r="D48" s="6">
        <v>8495</v>
      </c>
      <c r="E48" s="6">
        <f>C48-D48</f>
        <v>1885</v>
      </c>
      <c r="F48" s="6">
        <f>IF(C48&lt;&gt;0, ((C48-D48)/C48)*100, 0)</f>
        <v>18.159922928709054</v>
      </c>
    </row>
    <row r="49" spans="1:6" x14ac:dyDescent="0.25">
      <c r="A49" s="2" t="s">
        <v>68</v>
      </c>
      <c r="B49" s="2" t="s">
        <v>69</v>
      </c>
      <c r="C49" s="6">
        <v>344666.75</v>
      </c>
      <c r="D49" s="6">
        <v>253990</v>
      </c>
      <c r="E49" s="6">
        <f>C49-D49</f>
        <v>90676.75</v>
      </c>
      <c r="F49" s="6">
        <f>IF(C49&lt;&gt;0, ((C49-D49)/C49)*100, 0)</f>
        <v>26.308528455384806</v>
      </c>
    </row>
    <row r="50" spans="1:6" x14ac:dyDescent="0.25">
      <c r="A50" s="2" t="s">
        <v>70</v>
      </c>
      <c r="B50" s="2" t="s">
        <v>70</v>
      </c>
      <c r="C50" s="6">
        <v>2323910</v>
      </c>
      <c r="D50" s="6">
        <v>1881535.5</v>
      </c>
      <c r="E50" s="6">
        <f>C50-D50</f>
        <v>442374.5</v>
      </c>
      <c r="F50" s="6">
        <f>IF(C50&lt;&gt;0, ((C50-D50)/C50)*100, 0)</f>
        <v>19.035784518333326</v>
      </c>
    </row>
    <row r="51" spans="1:6" x14ac:dyDescent="0.25">
      <c r="A51" s="2" t="s">
        <v>71</v>
      </c>
      <c r="B51" s="2" t="s">
        <v>71</v>
      </c>
      <c r="C51" s="6">
        <v>10682645.220000001</v>
      </c>
      <c r="D51" s="6">
        <v>8196343.79</v>
      </c>
      <c r="E51" s="6">
        <f>C51-D51</f>
        <v>2486301.4300000006</v>
      </c>
      <c r="F51" s="6">
        <f>IF(C51&lt;&gt;0, ((C51-D51)/C51)*100, 0)</f>
        <v>23.274211384883944</v>
      </c>
    </row>
    <row r="52" spans="1:6" x14ac:dyDescent="0.25">
      <c r="A52" s="2" t="s">
        <v>72</v>
      </c>
      <c r="B52" s="2" t="s">
        <v>72</v>
      </c>
      <c r="C52" s="6">
        <v>1262822.72</v>
      </c>
      <c r="D52" s="6">
        <v>967284.32</v>
      </c>
      <c r="E52" s="6">
        <f>C52-D52</f>
        <v>295538.40000000002</v>
      </c>
      <c r="F52" s="6">
        <f>IF(C52&lt;&gt;0, ((C52-D52)/C52)*100, 0)</f>
        <v>23.402999908015595</v>
      </c>
    </row>
    <row r="53" spans="1:6" x14ac:dyDescent="0.25">
      <c r="A53" s="2" t="s">
        <v>73</v>
      </c>
      <c r="B53" s="2" t="s">
        <v>74</v>
      </c>
      <c r="C53" s="6">
        <v>489461474.80000001</v>
      </c>
      <c r="D53" s="6">
        <v>419278303.23000002</v>
      </c>
      <c r="E53" s="6">
        <f>C53-D53</f>
        <v>70183171.569999993</v>
      </c>
      <c r="F53" s="6">
        <f>IF(C53&lt;&gt;0, ((C53-D53)/C53)*100, 0)</f>
        <v>14.338855085311403</v>
      </c>
    </row>
    <row r="54" spans="1:6" x14ac:dyDescent="0.25">
      <c r="A54" s="2" t="s">
        <v>75</v>
      </c>
      <c r="B54" s="2" t="s">
        <v>75</v>
      </c>
      <c r="C54" s="6">
        <v>647525.5</v>
      </c>
      <c r="D54" s="6">
        <v>530593.96</v>
      </c>
      <c r="E54" s="6">
        <f>C54-D54</f>
        <v>116931.54000000004</v>
      </c>
      <c r="F54" s="6">
        <f>IF(C54&lt;&gt;0, ((C54-D54)/C54)*100, 0)</f>
        <v>18.058213923621548</v>
      </c>
    </row>
    <row r="55" spans="1:6" x14ac:dyDescent="0.25">
      <c r="A55" s="2" t="s">
        <v>76</v>
      </c>
      <c r="B55" s="2" t="s">
        <v>76</v>
      </c>
      <c r="C55" s="6">
        <v>309500</v>
      </c>
      <c r="D55" s="6">
        <v>242500</v>
      </c>
      <c r="E55" s="6">
        <f>C55-D55</f>
        <v>67000</v>
      </c>
      <c r="F55" s="6">
        <f>IF(C55&lt;&gt;0, ((C55-D55)/C55)*100, 0)</f>
        <v>21.647819063004846</v>
      </c>
    </row>
    <row r="56" spans="1:6" x14ac:dyDescent="0.25">
      <c r="A56" s="2" t="s">
        <v>77</v>
      </c>
      <c r="B56" s="2" t="s">
        <v>77</v>
      </c>
      <c r="C56" s="6">
        <v>3500</v>
      </c>
      <c r="D56" s="6">
        <v>2090</v>
      </c>
      <c r="E56" s="6">
        <f>C56-D56</f>
        <v>1410</v>
      </c>
      <c r="F56" s="6">
        <f>IF(C56&lt;&gt;0, ((C56-D56)/C56)*100, 0)</f>
        <v>40.285714285714285</v>
      </c>
    </row>
    <row r="57" spans="1:6" x14ac:dyDescent="0.25">
      <c r="A57" s="2" t="s">
        <v>78</v>
      </c>
      <c r="B57" s="2" t="s">
        <v>79</v>
      </c>
      <c r="C57" s="6">
        <v>504831</v>
      </c>
      <c r="D57" s="6">
        <v>435572</v>
      </c>
      <c r="E57" s="6">
        <f>C57-D57</f>
        <v>69259</v>
      </c>
      <c r="F57" s="6">
        <f>IF(C57&lt;&gt;0, ((C57-D57)/C57)*100, 0)</f>
        <v>13.719244658113308</v>
      </c>
    </row>
    <row r="58" spans="1:6" x14ac:dyDescent="0.25">
      <c r="A58" s="2" t="s">
        <v>80</v>
      </c>
      <c r="B58" s="2" t="s">
        <v>80</v>
      </c>
      <c r="C58" s="6">
        <v>510745</v>
      </c>
      <c r="D58" s="6">
        <v>429722.99</v>
      </c>
      <c r="E58" s="6">
        <f>C58-D58</f>
        <v>81022.010000000009</v>
      </c>
      <c r="F58" s="6">
        <f>IF(C58&lt;&gt;0, ((C58-D58)/C58)*100, 0)</f>
        <v>15.86349548208989</v>
      </c>
    </row>
    <row r="59" spans="1:6" x14ac:dyDescent="0.25">
      <c r="A59" s="2" t="s">
        <v>81</v>
      </c>
      <c r="B59" s="2" t="s">
        <v>82</v>
      </c>
      <c r="C59" s="6">
        <v>-266</v>
      </c>
      <c r="E59" s="6">
        <f>C59-D59</f>
        <v>-266</v>
      </c>
      <c r="F59" s="6">
        <f>IF(C59&lt;&gt;0, ((C59-D59)/C59)*100, 0)</f>
        <v>100</v>
      </c>
    </row>
    <row r="60" spans="1:6" x14ac:dyDescent="0.25">
      <c r="A60" s="2" t="s">
        <v>83</v>
      </c>
      <c r="B60" s="2" t="s">
        <v>84</v>
      </c>
      <c r="C60" s="6">
        <v>3175</v>
      </c>
      <c r="D60" s="6">
        <v>2688</v>
      </c>
      <c r="E60" s="6">
        <f>C60-D60</f>
        <v>487</v>
      </c>
      <c r="F60" s="6">
        <f>IF(C60&lt;&gt;0, ((C60-D60)/C60)*100, 0)</f>
        <v>15.338582677165356</v>
      </c>
    </row>
    <row r="61" spans="1:6" x14ac:dyDescent="0.25">
      <c r="A61" s="2" t="s">
        <v>85</v>
      </c>
      <c r="B61" s="2" t="s">
        <v>85</v>
      </c>
      <c r="C61" s="6">
        <v>122560.68</v>
      </c>
      <c r="D61" s="6">
        <v>103032.14</v>
      </c>
      <c r="E61" s="6">
        <f>C61-D61</f>
        <v>19528.539999999994</v>
      </c>
      <c r="F61" s="6">
        <f>IF(C61&lt;&gt;0, ((C61-D61)/C61)*100, 0)</f>
        <v>15.933772560661374</v>
      </c>
    </row>
    <row r="62" spans="1:6" x14ac:dyDescent="0.25">
      <c r="A62" s="2" t="s">
        <v>86</v>
      </c>
      <c r="B62" s="2" t="s">
        <v>87</v>
      </c>
      <c r="C62" s="6">
        <v>493006</v>
      </c>
      <c r="D62" s="6">
        <v>418144</v>
      </c>
      <c r="E62" s="6">
        <f>C62-D62</f>
        <v>74862</v>
      </c>
      <c r="F62" s="6">
        <f>IF(C62&lt;&gt;0, ((C62-D62)/C62)*100, 0)</f>
        <v>15.184805053082517</v>
      </c>
    </row>
    <row r="63" spans="1:6" x14ac:dyDescent="0.25">
      <c r="A63" s="2" t="s">
        <v>88</v>
      </c>
      <c r="B63" s="2" t="s">
        <v>89</v>
      </c>
      <c r="C63" s="6">
        <v>534000</v>
      </c>
      <c r="D63" s="6">
        <v>414000</v>
      </c>
      <c r="E63" s="6">
        <f>C63-D63</f>
        <v>120000</v>
      </c>
      <c r="F63" s="6">
        <f>IF(C63&lt;&gt;0, ((C63-D63)/C63)*100, 0)</f>
        <v>22.471910112359549</v>
      </c>
    </row>
    <row r="64" spans="1:6" x14ac:dyDescent="0.25">
      <c r="A64" s="2" t="s">
        <v>90</v>
      </c>
      <c r="B64" s="2" t="s">
        <v>90</v>
      </c>
      <c r="C64" s="6">
        <v>23330</v>
      </c>
      <c r="D64" s="6">
        <v>19695</v>
      </c>
      <c r="E64" s="6">
        <f>C64-D64</f>
        <v>3635</v>
      </c>
      <c r="F64" s="6">
        <f>IF(C64&lt;&gt;0, ((C64-D64)/C64)*100, 0)</f>
        <v>15.580797256750964</v>
      </c>
    </row>
    <row r="65" spans="1:6" x14ac:dyDescent="0.25">
      <c r="A65" s="2" t="s">
        <v>91</v>
      </c>
      <c r="B65" s="2" t="s">
        <v>91</v>
      </c>
      <c r="C65" s="6">
        <v>247974</v>
      </c>
      <c r="D65" s="6">
        <v>174544.04</v>
      </c>
      <c r="E65" s="6">
        <f>C65-D65</f>
        <v>73429.959999999992</v>
      </c>
      <c r="F65" s="6">
        <f>IF(C65&lt;&gt;0, ((C65-D65)/C65)*100, 0)</f>
        <v>29.611959318315627</v>
      </c>
    </row>
    <row r="66" spans="1:6" x14ac:dyDescent="0.25">
      <c r="A66" s="2" t="s">
        <v>92</v>
      </c>
      <c r="B66" s="2" t="s">
        <v>93</v>
      </c>
      <c r="C66" s="6">
        <v>1649166</v>
      </c>
      <c r="D66" s="6">
        <v>1288208.27</v>
      </c>
      <c r="E66" s="6">
        <f>C66-D66</f>
        <v>360957.73</v>
      </c>
      <c r="F66" s="6">
        <f>IF(C66&lt;&gt;0, ((C66-D66)/C66)*100, 0)</f>
        <v>21.887289090364462</v>
      </c>
    </row>
    <row r="67" spans="1:6" x14ac:dyDescent="0.25">
      <c r="A67" s="2" t="s">
        <v>94</v>
      </c>
      <c r="B67" s="2" t="s">
        <v>95</v>
      </c>
      <c r="C67" s="6">
        <v>2362620</v>
      </c>
      <c r="D67" s="6">
        <v>2063300.8</v>
      </c>
      <c r="E67" s="6">
        <f>C67-D67</f>
        <v>299319.19999999995</v>
      </c>
      <c r="F67" s="6">
        <f>IF(C67&lt;&gt;0, ((C67-D67)/C67)*100, 0)</f>
        <v>12.668952264858502</v>
      </c>
    </row>
    <row r="68" spans="1:6" x14ac:dyDescent="0.25">
      <c r="A68" s="2" t="s">
        <v>96</v>
      </c>
      <c r="B68" s="2" t="s">
        <v>97</v>
      </c>
      <c r="C68" s="6">
        <v>22426</v>
      </c>
      <c r="D68" s="6">
        <v>17940</v>
      </c>
      <c r="E68" s="6">
        <f>C68-D68</f>
        <v>4486</v>
      </c>
      <c r="F68" s="6">
        <f>IF(C68&lt;&gt;0, ((C68-D68)/C68)*100, 0)</f>
        <v>20.003567287969322</v>
      </c>
    </row>
    <row r="69" spans="1:6" x14ac:dyDescent="0.25">
      <c r="A69" s="2" t="s">
        <v>98</v>
      </c>
      <c r="B69" s="2" t="s">
        <v>98</v>
      </c>
      <c r="C69" s="6">
        <v>5410000</v>
      </c>
      <c r="D69" s="6">
        <v>4953000</v>
      </c>
      <c r="E69" s="6">
        <f>C69-D69</f>
        <v>457000</v>
      </c>
      <c r="F69" s="6">
        <f>IF(C69&lt;&gt;0, ((C69-D69)/C69)*100, 0)</f>
        <v>8.4473197781885396</v>
      </c>
    </row>
    <row r="70" spans="1:6" x14ac:dyDescent="0.25">
      <c r="A70" s="2" t="s">
        <v>99</v>
      </c>
      <c r="B70" s="2" t="s">
        <v>99</v>
      </c>
      <c r="C70" s="6">
        <v>356541</v>
      </c>
      <c r="D70" s="6">
        <v>277815.21999999997</v>
      </c>
      <c r="E70" s="6">
        <f>C70-D70</f>
        <v>78725.780000000028</v>
      </c>
      <c r="F70" s="6">
        <f>IF(C70&lt;&gt;0, ((C70-D70)/C70)*100, 0)</f>
        <v>22.080428337834928</v>
      </c>
    </row>
    <row r="71" spans="1:6" x14ac:dyDescent="0.25">
      <c r="A71" s="2" t="s">
        <v>100</v>
      </c>
      <c r="B71" s="2" t="s">
        <v>101</v>
      </c>
      <c r="C71" s="6">
        <v>24196810.399999999</v>
      </c>
      <c r="D71" s="6">
        <v>19337635.539999999</v>
      </c>
      <c r="E71" s="6">
        <f>C71-D71</f>
        <v>4859174.8599999994</v>
      </c>
      <c r="F71" s="6">
        <f>IF(C71&lt;&gt;0, ((C71-D71)/C71)*100, 0)</f>
        <v>20.081881783889994</v>
      </c>
    </row>
    <row r="72" spans="1:6" x14ac:dyDescent="0.25">
      <c r="A72" s="2" t="s">
        <v>102</v>
      </c>
      <c r="B72" s="2" t="s">
        <v>102</v>
      </c>
      <c r="C72" s="6">
        <v>76350</v>
      </c>
      <c r="D72" s="6">
        <v>64881</v>
      </c>
      <c r="E72" s="6">
        <f>C72-D72</f>
        <v>11469</v>
      </c>
      <c r="F72" s="6">
        <f>IF(C72&lt;&gt;0, ((C72-D72)/C72)*100, 0)</f>
        <v>15.021611001964635</v>
      </c>
    </row>
    <row r="73" spans="1:6" x14ac:dyDescent="0.25">
      <c r="A73" s="2" t="s">
        <v>103</v>
      </c>
      <c r="B73" s="2" t="s">
        <v>104</v>
      </c>
      <c r="C73" s="6">
        <v>9749604</v>
      </c>
      <c r="D73" s="6">
        <v>7501748.4900000002</v>
      </c>
      <c r="E73" s="6">
        <f>C73-D73</f>
        <v>2247855.5099999998</v>
      </c>
      <c r="F73" s="6">
        <f>IF(C73&lt;&gt;0, ((C73-D73)/C73)*100, 0)</f>
        <v>23.055864730505977</v>
      </c>
    </row>
    <row r="74" spans="1:6" x14ac:dyDescent="0.25">
      <c r="A74" s="2" t="s">
        <v>105</v>
      </c>
      <c r="B74" s="2" t="s">
        <v>105</v>
      </c>
      <c r="C74" s="6">
        <v>48657217</v>
      </c>
      <c r="D74" s="6">
        <v>39574682.859999999</v>
      </c>
      <c r="E74" s="6">
        <f>C74-D74</f>
        <v>9082534.1400000006</v>
      </c>
      <c r="F74" s="6">
        <f>IF(C74&lt;&gt;0, ((C74-D74)/C74)*100, 0)</f>
        <v>18.666365854833007</v>
      </c>
    </row>
    <row r="75" spans="1:6" x14ac:dyDescent="0.25">
      <c r="A75" s="2" t="s">
        <v>106</v>
      </c>
      <c r="B75" s="2" t="s">
        <v>107</v>
      </c>
      <c r="C75" s="6">
        <v>3707</v>
      </c>
      <c r="D75" s="6">
        <v>3150.9</v>
      </c>
      <c r="E75" s="6">
        <f>C75-D75</f>
        <v>556.09999999999991</v>
      </c>
      <c r="F75" s="6">
        <f>IF(C75&lt;&gt;0, ((C75-D75)/C75)*100, 0)</f>
        <v>15.001348799568381</v>
      </c>
    </row>
    <row r="76" spans="1:6" x14ac:dyDescent="0.25">
      <c r="A76" s="2" t="s">
        <v>108</v>
      </c>
      <c r="B76" s="2" t="s">
        <v>109</v>
      </c>
      <c r="C76" s="6">
        <v>295235</v>
      </c>
      <c r="D76" s="6">
        <v>245083.59</v>
      </c>
      <c r="E76" s="6">
        <f>C76-D76</f>
        <v>50151.41</v>
      </c>
      <c r="F76" s="6">
        <f>IF(C76&lt;&gt;0, ((C76-D76)/C76)*100, 0)</f>
        <v>16.986945992175727</v>
      </c>
    </row>
    <row r="77" spans="1:6" x14ac:dyDescent="0.25">
      <c r="A77" s="2" t="s">
        <v>110</v>
      </c>
      <c r="B77" s="2" t="s">
        <v>110</v>
      </c>
      <c r="C77" s="6">
        <v>20276184.050000001</v>
      </c>
      <c r="D77" s="6">
        <v>15702863.310000001</v>
      </c>
      <c r="E77" s="6">
        <f>C77-D77</f>
        <v>4573320.74</v>
      </c>
      <c r="F77" s="6">
        <f>IF(C77&lt;&gt;0, ((C77-D77)/C77)*100, 0)</f>
        <v>22.555135269646559</v>
      </c>
    </row>
    <row r="78" spans="1:6" x14ac:dyDescent="0.25">
      <c r="A78" s="2" t="s">
        <v>111</v>
      </c>
      <c r="B78" s="2" t="s">
        <v>111</v>
      </c>
      <c r="C78" s="6">
        <v>404200</v>
      </c>
      <c r="D78" s="6">
        <v>258790</v>
      </c>
      <c r="E78" s="6">
        <f>C78-D78</f>
        <v>145410</v>
      </c>
      <c r="F78" s="6">
        <f>IF(C78&lt;&gt;0, ((C78-D78)/C78)*100, 0)</f>
        <v>35.9747649678377</v>
      </c>
    </row>
    <row r="79" spans="1:6" x14ac:dyDescent="0.25">
      <c r="A79" s="2" t="s">
        <v>112</v>
      </c>
      <c r="B79" s="2" t="s">
        <v>112</v>
      </c>
      <c r="C79" s="6">
        <v>47364133.469999999</v>
      </c>
      <c r="D79" s="6">
        <v>40049067.149999999</v>
      </c>
      <c r="E79" s="6">
        <f>C79-D79</f>
        <v>7315066.3200000003</v>
      </c>
      <c r="F79" s="6">
        <f>IF(C79&lt;&gt;0, ((C79-D79)/C79)*100, 0)</f>
        <v>15.444315738687155</v>
      </c>
    </row>
    <row r="80" spans="1:6" x14ac:dyDescent="0.25">
      <c r="A80" s="2" t="s">
        <v>113</v>
      </c>
      <c r="B80" s="2" t="s">
        <v>113</v>
      </c>
      <c r="C80" s="6">
        <v>104834867.12</v>
      </c>
      <c r="D80" s="6">
        <v>81798670.420000002</v>
      </c>
      <c r="E80" s="6">
        <f>C80-D80</f>
        <v>23036196.700000003</v>
      </c>
      <c r="F80" s="6">
        <f>IF(C80&lt;&gt;0, ((C80-D80)/C80)*100, 0)</f>
        <v>21.973793006892876</v>
      </c>
    </row>
    <row r="81" spans="1:6" x14ac:dyDescent="0.25">
      <c r="A81" s="2" t="s">
        <v>114</v>
      </c>
      <c r="B81" s="2" t="s">
        <v>115</v>
      </c>
      <c r="C81" s="6">
        <v>888.62</v>
      </c>
      <c r="E81" s="6">
        <f>C81-D81</f>
        <v>888.62</v>
      </c>
      <c r="F81" s="6">
        <f>IF(C81&lt;&gt;0, ((C81-D81)/C81)*100, 0)</f>
        <v>100</v>
      </c>
    </row>
    <row r="82" spans="1:6" x14ac:dyDescent="0.25">
      <c r="A82" s="2" t="s">
        <v>116</v>
      </c>
      <c r="B82" s="2" t="s">
        <v>116</v>
      </c>
      <c r="C82" s="6">
        <v>-951</v>
      </c>
      <c r="E82" s="6">
        <f>C82-D82</f>
        <v>-951</v>
      </c>
      <c r="F82" s="6">
        <f>IF(C82&lt;&gt;0, ((C82-D82)/C82)*100, 0)</f>
        <v>100</v>
      </c>
    </row>
    <row r="83" spans="1:6" x14ac:dyDescent="0.25">
      <c r="A83" s="2" t="s">
        <v>117</v>
      </c>
      <c r="B83" s="2" t="s">
        <v>117</v>
      </c>
      <c r="C83" s="6">
        <v>130793</v>
      </c>
      <c r="E83" s="6">
        <f>C83-D83</f>
        <v>130793</v>
      </c>
      <c r="F83" s="6">
        <f>IF(C83&lt;&gt;0, ((C83-D83)/C83)*100, 0)</f>
        <v>100</v>
      </c>
    </row>
    <row r="84" spans="1:6" x14ac:dyDescent="0.25">
      <c r="A84" s="2" t="s">
        <v>118</v>
      </c>
      <c r="B84" s="2" t="s">
        <v>119</v>
      </c>
      <c r="C84" s="6">
        <v>3402000</v>
      </c>
      <c r="D84" s="6">
        <v>3015144</v>
      </c>
      <c r="E84" s="6">
        <f>C84-D84</f>
        <v>386856</v>
      </c>
      <c r="F84" s="6">
        <f>IF(C84&lt;&gt;0, ((C84-D84)/C84)*100, 0)</f>
        <v>11.371428571428572</v>
      </c>
    </row>
    <row r="85" spans="1:6" x14ac:dyDescent="0.25">
      <c r="A85" s="2" t="s">
        <v>120</v>
      </c>
      <c r="B85" s="2" t="s">
        <v>121</v>
      </c>
      <c r="C85" s="6">
        <v>72795774.730000004</v>
      </c>
      <c r="D85" s="6">
        <v>58455726.68</v>
      </c>
      <c r="E85" s="6">
        <f>C85-D85</f>
        <v>14340048.050000004</v>
      </c>
      <c r="F85" s="6">
        <f>IF(C85&lt;&gt;0, ((C85-D85)/C85)*100, 0)</f>
        <v>19.699011519813251</v>
      </c>
    </row>
    <row r="86" spans="1:6" x14ac:dyDescent="0.25">
      <c r="A86" s="2" t="s">
        <v>122</v>
      </c>
      <c r="B86" s="2" t="s">
        <v>122</v>
      </c>
      <c r="C86" s="6">
        <v>2409718.7999999998</v>
      </c>
      <c r="D86" s="6">
        <v>2005666.33</v>
      </c>
      <c r="E86" s="6">
        <f>C86-D86</f>
        <v>404052.46999999974</v>
      </c>
      <c r="F86" s="6">
        <f>IF(C86&lt;&gt;0, ((C86-D86)/C86)*100, 0)</f>
        <v>16.767619109748395</v>
      </c>
    </row>
    <row r="87" spans="1:6" x14ac:dyDescent="0.25">
      <c r="A87" s="2" t="s">
        <v>123</v>
      </c>
      <c r="B87" s="2" t="s">
        <v>124</v>
      </c>
      <c r="C87" s="6">
        <v>1060524</v>
      </c>
      <c r="D87" s="6">
        <v>933370</v>
      </c>
      <c r="E87" s="6">
        <f>C87-D87</f>
        <v>127154</v>
      </c>
      <c r="F87" s="6">
        <f>IF(C87&lt;&gt;0, ((C87-D87)/C87)*100, 0)</f>
        <v>11.98973337708529</v>
      </c>
    </row>
    <row r="88" spans="1:6" x14ac:dyDescent="0.25">
      <c r="A88" s="2" t="s">
        <v>125</v>
      </c>
      <c r="B88" s="2" t="s">
        <v>125</v>
      </c>
      <c r="C88" s="6">
        <v>178200</v>
      </c>
      <c r="D88" s="6">
        <v>154285.79999999999</v>
      </c>
      <c r="E88" s="6">
        <f>C88-D88</f>
        <v>23914.200000000012</v>
      </c>
      <c r="F88" s="6">
        <f>IF(C88&lt;&gt;0, ((C88-D88)/C88)*100, 0)</f>
        <v>13.419865319865327</v>
      </c>
    </row>
    <row r="89" spans="1:6" x14ac:dyDescent="0.25">
      <c r="A89" s="2" t="s">
        <v>126</v>
      </c>
      <c r="B89" s="2" t="s">
        <v>127</v>
      </c>
      <c r="C89" s="6">
        <v>9250</v>
      </c>
      <c r="D89" s="6">
        <v>7509.2</v>
      </c>
      <c r="E89" s="6">
        <f>C89-D89</f>
        <v>1740.8000000000002</v>
      </c>
      <c r="F89" s="6">
        <f>IF(C89&lt;&gt;0, ((C89-D89)/C89)*100, 0)</f>
        <v>18.819459459459463</v>
      </c>
    </row>
    <row r="90" spans="1:6" x14ac:dyDescent="0.25">
      <c r="A90" s="2" t="s">
        <v>128</v>
      </c>
      <c r="B90" s="2" t="s">
        <v>129</v>
      </c>
      <c r="C90" s="6">
        <v>131400</v>
      </c>
      <c r="D90" s="6">
        <v>115581.4</v>
      </c>
      <c r="E90" s="6">
        <f>C90-D90</f>
        <v>15818.600000000006</v>
      </c>
      <c r="F90" s="6">
        <f>IF(C90&lt;&gt;0, ((C90-D90)/C90)*100, 0)</f>
        <v>12.038508371385088</v>
      </c>
    </row>
    <row r="91" spans="1:6" x14ac:dyDescent="0.25">
      <c r="A91" s="2" t="s">
        <v>130</v>
      </c>
      <c r="B91" s="2" t="s">
        <v>130</v>
      </c>
      <c r="C91" s="6">
        <v>13965</v>
      </c>
      <c r="D91" s="6">
        <v>11685.24</v>
      </c>
      <c r="E91" s="6">
        <f>C91-D91</f>
        <v>2279.7600000000002</v>
      </c>
      <c r="F91" s="6">
        <f>IF(C91&lt;&gt;0, ((C91-D91)/C91)*100, 0)</f>
        <v>16.32481203007519</v>
      </c>
    </row>
    <row r="92" spans="1:6" x14ac:dyDescent="0.25">
      <c r="A92" s="2" t="s">
        <v>131</v>
      </c>
      <c r="B92" s="2" t="s">
        <v>132</v>
      </c>
      <c r="C92" s="6">
        <v>393584</v>
      </c>
      <c r="D92" s="6">
        <v>317507.84000000003</v>
      </c>
      <c r="E92" s="6">
        <f>C92-D92</f>
        <v>76076.159999999974</v>
      </c>
      <c r="F92" s="6">
        <f>IF(C92&lt;&gt;0, ((C92-D92)/C92)*100, 0)</f>
        <v>19.329078417821858</v>
      </c>
    </row>
    <row r="93" spans="1:6" x14ac:dyDescent="0.25">
      <c r="A93" s="2" t="s">
        <v>133</v>
      </c>
      <c r="B93" s="2" t="s">
        <v>133</v>
      </c>
      <c r="C93" s="6">
        <v>19610</v>
      </c>
      <c r="D93" s="6">
        <v>16446.599999999999</v>
      </c>
      <c r="E93" s="6">
        <f>C93-D93</f>
        <v>3163.4000000000015</v>
      </c>
      <c r="F93" s="6">
        <f>IF(C93&lt;&gt;0, ((C93-D93)/C93)*100, 0)</f>
        <v>16.131565527791949</v>
      </c>
    </row>
    <row r="94" spans="1:6" x14ac:dyDescent="0.25">
      <c r="A94" s="2" t="s">
        <v>134</v>
      </c>
      <c r="B94" s="2" t="s">
        <v>135</v>
      </c>
      <c r="C94" s="6">
        <v>3707</v>
      </c>
      <c r="D94" s="6">
        <v>3150.9</v>
      </c>
      <c r="E94" s="6">
        <f>C94-D94</f>
        <v>556.09999999999991</v>
      </c>
      <c r="F94" s="6">
        <f>IF(C94&lt;&gt;0, ((C94-D94)/C94)*100, 0)</f>
        <v>15.001348799568381</v>
      </c>
    </row>
    <row r="95" spans="1:6" x14ac:dyDescent="0.25">
      <c r="A95" s="2" t="s">
        <v>136</v>
      </c>
      <c r="B95" s="2" t="s">
        <v>137</v>
      </c>
      <c r="C95" s="6">
        <v>78716</v>
      </c>
      <c r="D95" s="6">
        <v>65087.5</v>
      </c>
      <c r="E95" s="6">
        <f>C95-D95</f>
        <v>13628.5</v>
      </c>
      <c r="F95" s="6">
        <f>IF(C95&lt;&gt;0, ((C95-D95)/C95)*100, 0)</f>
        <v>17.313506783881294</v>
      </c>
    </row>
    <row r="96" spans="1:6" x14ac:dyDescent="0.25">
      <c r="A96" s="2" t="s">
        <v>138</v>
      </c>
      <c r="B96" s="2" t="s">
        <v>138</v>
      </c>
      <c r="C96" s="6">
        <v>147478.04999999999</v>
      </c>
      <c r="D96" s="6">
        <v>114750</v>
      </c>
      <c r="E96" s="6">
        <f>C96-D96</f>
        <v>32728.049999999988</v>
      </c>
      <c r="F96" s="6">
        <f>IF(C96&lt;&gt;0, ((C96-D96)/C96)*100, 0)</f>
        <v>22.191810916946615</v>
      </c>
    </row>
    <row r="97" spans="1:6" x14ac:dyDescent="0.25">
      <c r="A97" s="2" t="s">
        <v>139</v>
      </c>
      <c r="B97" s="2" t="s">
        <v>139</v>
      </c>
      <c r="C97" s="6">
        <v>67435</v>
      </c>
      <c r="D97" s="6">
        <v>55991.93</v>
      </c>
      <c r="E97" s="6">
        <f>C97-D97</f>
        <v>11443.07</v>
      </c>
      <c r="F97" s="6">
        <f>IF(C97&lt;&gt;0, ((C97-D97)/C97)*100, 0)</f>
        <v>16.969036850300292</v>
      </c>
    </row>
    <row r="98" spans="1:6" x14ac:dyDescent="0.25">
      <c r="A98" s="2" t="s">
        <v>140</v>
      </c>
      <c r="B98" s="2" t="s">
        <v>140</v>
      </c>
      <c r="C98" s="6">
        <v>-4</v>
      </c>
      <c r="E98" s="6">
        <f>C98-D98</f>
        <v>-4</v>
      </c>
      <c r="F98" s="6">
        <f>IF(C98&lt;&gt;0, ((C98-D98)/C98)*100, 0)</f>
        <v>100</v>
      </c>
    </row>
    <row r="99" spans="1:6" x14ac:dyDescent="0.25">
      <c r="A99" s="2" t="s">
        <v>141</v>
      </c>
      <c r="B99" s="2" t="s">
        <v>141</v>
      </c>
      <c r="C99" s="6">
        <v>1156490</v>
      </c>
      <c r="D99" s="6">
        <v>1002270</v>
      </c>
      <c r="E99" s="6">
        <f>C99-D99</f>
        <v>154220</v>
      </c>
      <c r="F99" s="6">
        <f>IF(C99&lt;&gt;0, ((C99-D99)/C99)*100, 0)</f>
        <v>13.335177995486342</v>
      </c>
    </row>
    <row r="100" spans="1:6" x14ac:dyDescent="0.25">
      <c r="A100" s="2" t="s">
        <v>142</v>
      </c>
      <c r="B100" s="2" t="s">
        <v>142</v>
      </c>
      <c r="C100" s="6">
        <v>146100</v>
      </c>
      <c r="D100" s="6">
        <v>132804</v>
      </c>
      <c r="E100" s="6">
        <f>C100-D100</f>
        <v>13296</v>
      </c>
      <c r="F100" s="6">
        <f>IF(C100&lt;&gt;0, ((C100-D100)/C100)*100, 0)</f>
        <v>9.1006160164271037</v>
      </c>
    </row>
    <row r="101" spans="1:6" x14ac:dyDescent="0.25">
      <c r="A101" s="2" t="s">
        <v>143</v>
      </c>
      <c r="B101" s="2" t="s">
        <v>143</v>
      </c>
      <c r="C101" s="6">
        <v>412562</v>
      </c>
      <c r="D101" s="6">
        <v>345769.14</v>
      </c>
      <c r="E101" s="6">
        <f>C101-D101</f>
        <v>66792.859999999986</v>
      </c>
      <c r="F101" s="6">
        <f>IF(C101&lt;&gt;0, ((C101-D101)/C101)*100, 0)</f>
        <v>16.189775112589135</v>
      </c>
    </row>
    <row r="102" spans="1:6" x14ac:dyDescent="0.25">
      <c r="A102" s="2" t="s">
        <v>144</v>
      </c>
      <c r="B102" s="2" t="s">
        <v>145</v>
      </c>
      <c r="C102" s="6">
        <v>-6</v>
      </c>
      <c r="E102" s="6">
        <f>C102-D102</f>
        <v>-6</v>
      </c>
      <c r="F102" s="6">
        <f>IF(C102&lt;&gt;0, ((C102-D102)/C102)*100, 0)</f>
        <v>100</v>
      </c>
    </row>
    <row r="103" spans="1:6" x14ac:dyDescent="0.25">
      <c r="A103" s="2" t="s">
        <v>146</v>
      </c>
      <c r="B103" s="2" t="s">
        <v>146</v>
      </c>
      <c r="C103" s="6">
        <v>14000</v>
      </c>
      <c r="D103" s="6">
        <v>7000</v>
      </c>
      <c r="E103" s="6">
        <f>C103-D103</f>
        <v>7000</v>
      </c>
      <c r="F103" s="6">
        <f>IF(C103&lt;&gt;0, ((C103-D103)/C103)*100, 0)</f>
        <v>50</v>
      </c>
    </row>
    <row r="104" spans="1:6" x14ac:dyDescent="0.25">
      <c r="A104" s="2" t="s">
        <v>147</v>
      </c>
      <c r="B104" s="2" t="s">
        <v>148</v>
      </c>
      <c r="C104" s="6">
        <v>11631947.550000001</v>
      </c>
      <c r="D104" s="6">
        <v>9244510.1699999999</v>
      </c>
      <c r="E104" s="6">
        <f>C104-D104</f>
        <v>2387437.3800000008</v>
      </c>
      <c r="F104" s="6">
        <f>IF(C104&lt;&gt;0, ((C104-D104)/C104)*100, 0)</f>
        <v>20.524829309430654</v>
      </c>
    </row>
    <row r="105" spans="1:6" x14ac:dyDescent="0.25">
      <c r="A105" s="2" t="s">
        <v>149</v>
      </c>
      <c r="B105" s="2" t="s">
        <v>150</v>
      </c>
      <c r="C105" s="6">
        <v>2144458.6</v>
      </c>
      <c r="D105" s="6">
        <v>1513309.34</v>
      </c>
      <c r="E105" s="6">
        <f>C105-D105</f>
        <v>631149.26</v>
      </c>
      <c r="F105" s="6">
        <f>IF(C105&lt;&gt;0, ((C105-D105)/C105)*100, 0)</f>
        <v>29.43163649790208</v>
      </c>
    </row>
    <row r="106" spans="1:6" x14ac:dyDescent="0.25">
      <c r="A106" s="2" t="s">
        <v>151</v>
      </c>
      <c r="B106" s="2" t="s">
        <v>152</v>
      </c>
      <c r="C106" s="6">
        <v>445000</v>
      </c>
      <c r="D106" s="6">
        <v>345000</v>
      </c>
      <c r="E106" s="6">
        <f>C106-D106</f>
        <v>100000</v>
      </c>
      <c r="F106" s="6">
        <f>IF(C106&lt;&gt;0, ((C106-D106)/C106)*100, 0)</f>
        <v>22.471910112359549</v>
      </c>
    </row>
    <row r="107" spans="1:6" x14ac:dyDescent="0.25">
      <c r="A107" s="2" t="s">
        <v>153</v>
      </c>
      <c r="B107" s="2" t="s">
        <v>153</v>
      </c>
      <c r="C107" s="6">
        <v>15962979.390000001</v>
      </c>
      <c r="D107" s="6">
        <v>12624770.02</v>
      </c>
      <c r="E107" s="6">
        <f>C107-D107</f>
        <v>3338209.370000001</v>
      </c>
      <c r="F107" s="6">
        <f>IF(C107&lt;&gt;0, ((C107-D107)/C107)*100, 0)</f>
        <v>20.912194950844956</v>
      </c>
    </row>
    <row r="108" spans="1:6" x14ac:dyDescent="0.25">
      <c r="A108" s="2" t="s">
        <v>154</v>
      </c>
      <c r="B108" s="2" t="s">
        <v>154</v>
      </c>
      <c r="C108" s="6">
        <v>52944.800000000003</v>
      </c>
      <c r="D108" s="6">
        <v>43780</v>
      </c>
      <c r="E108" s="6">
        <f>C108-D108</f>
        <v>9164.8000000000029</v>
      </c>
      <c r="F108" s="6">
        <f>IF(C108&lt;&gt;0, ((C108-D108)/C108)*100, 0)</f>
        <v>17.310104108429915</v>
      </c>
    </row>
    <row r="109" spans="1:6" x14ac:dyDescent="0.25">
      <c r="A109" s="2" t="s">
        <v>155</v>
      </c>
      <c r="B109" s="2" t="s">
        <v>155</v>
      </c>
      <c r="C109" s="6">
        <v>59643780.469999999</v>
      </c>
      <c r="D109" s="6">
        <v>52693956.700000003</v>
      </c>
      <c r="E109" s="6">
        <f>C109-D109</f>
        <v>6949823.7699999958</v>
      </c>
      <c r="F109" s="6">
        <f>IF(C109&lt;&gt;0, ((C109-D109)/C109)*100, 0)</f>
        <v>11.652218748098408</v>
      </c>
    </row>
    <row r="110" spans="1:6" x14ac:dyDescent="0.25">
      <c r="A110" s="2" t="s">
        <v>156</v>
      </c>
      <c r="B110" s="2" t="s">
        <v>157</v>
      </c>
      <c r="C110" s="6">
        <v>298900</v>
      </c>
      <c r="D110" s="6">
        <v>282000</v>
      </c>
      <c r="E110" s="6">
        <f>C110-D110</f>
        <v>16900</v>
      </c>
      <c r="F110" s="6">
        <f>IF(C110&lt;&gt;0, ((C110-D110)/C110)*100, 0)</f>
        <v>5.6540649046503848</v>
      </c>
    </row>
    <row r="111" spans="1:6" x14ac:dyDescent="0.25">
      <c r="A111" s="2" t="s">
        <v>158</v>
      </c>
      <c r="B111" s="2" t="s">
        <v>158</v>
      </c>
      <c r="C111" s="6">
        <v>7060</v>
      </c>
      <c r="D111" s="6">
        <v>5807</v>
      </c>
      <c r="E111" s="6">
        <f>C111-D111</f>
        <v>1253</v>
      </c>
      <c r="F111" s="6">
        <f>IF(C111&lt;&gt;0, ((C111-D111)/C111)*100, 0)</f>
        <v>17.747875354107649</v>
      </c>
    </row>
    <row r="112" spans="1:6" x14ac:dyDescent="0.25">
      <c r="A112" s="2" t="s">
        <v>159</v>
      </c>
      <c r="B112" s="2" t="s">
        <v>159</v>
      </c>
      <c r="C112" s="6">
        <v>680577.2</v>
      </c>
      <c r="D112" s="6">
        <v>521333.23</v>
      </c>
      <c r="E112" s="6">
        <f>C112-D112</f>
        <v>159243.96999999997</v>
      </c>
      <c r="F112" s="6">
        <f>IF(C112&lt;&gt;0, ((C112-D112)/C112)*100, 0)</f>
        <v>23.398369795520622</v>
      </c>
    </row>
    <row r="113" spans="1:6" x14ac:dyDescent="0.25">
      <c r="A113" s="2" t="s">
        <v>160</v>
      </c>
      <c r="B113" s="2" t="s">
        <v>160</v>
      </c>
      <c r="C113" s="6">
        <v>6350</v>
      </c>
      <c r="D113" s="6">
        <v>5376</v>
      </c>
      <c r="E113" s="6">
        <f>C113-D113</f>
        <v>974</v>
      </c>
      <c r="F113" s="6">
        <f>IF(C113&lt;&gt;0, ((C113-D113)/C113)*100, 0)</f>
        <v>15.338582677165356</v>
      </c>
    </row>
    <row r="114" spans="1:6" x14ac:dyDescent="0.25">
      <c r="A114" s="2" t="s">
        <v>161</v>
      </c>
      <c r="B114" s="2" t="s">
        <v>161</v>
      </c>
      <c r="C114" s="6">
        <v>151</v>
      </c>
      <c r="E114" s="6">
        <f>C114-D114</f>
        <v>151</v>
      </c>
      <c r="F114" s="6">
        <f>IF(C114&lt;&gt;0, ((C114-D114)/C114)*100, 0)</f>
        <v>100</v>
      </c>
    </row>
    <row r="115" spans="1:6" x14ac:dyDescent="0.25">
      <c r="A115" s="2" t="s">
        <v>162</v>
      </c>
      <c r="B115" s="2" t="s">
        <v>162</v>
      </c>
      <c r="C115" s="6">
        <v>3083343</v>
      </c>
      <c r="D115" s="6">
        <v>2449667</v>
      </c>
      <c r="E115" s="6">
        <f>C115-D115</f>
        <v>633676</v>
      </c>
      <c r="F115" s="6">
        <f>IF(C115&lt;&gt;0, ((C115-D115)/C115)*100, 0)</f>
        <v>20.551589622043348</v>
      </c>
    </row>
    <row r="116" spans="1:6" x14ac:dyDescent="0.25">
      <c r="A116" s="2" t="s">
        <v>163</v>
      </c>
      <c r="B116" s="2" t="s">
        <v>163</v>
      </c>
      <c r="C116" s="6">
        <v>12047810.060000001</v>
      </c>
      <c r="D116" s="6">
        <v>9547851.9600000009</v>
      </c>
      <c r="E116" s="6">
        <f>C116-D116</f>
        <v>2499958.0999999996</v>
      </c>
      <c r="F116" s="6">
        <f>IF(C116&lt;&gt;0, ((C116-D116)/C116)*100, 0)</f>
        <v>20.750311364055481</v>
      </c>
    </row>
    <row r="117" spans="1:6" x14ac:dyDescent="0.25">
      <c r="A117" s="2" t="s">
        <v>164</v>
      </c>
      <c r="B117" s="2" t="s">
        <v>165</v>
      </c>
      <c r="C117" s="6">
        <v>3773279</v>
      </c>
      <c r="D117" s="6">
        <v>3112282.11</v>
      </c>
      <c r="E117" s="6">
        <f>C117-D117</f>
        <v>660996.89000000013</v>
      </c>
      <c r="F117" s="6">
        <f>IF(C117&lt;&gt;0, ((C117-D117)/C117)*100, 0)</f>
        <v>17.517837668510602</v>
      </c>
    </row>
    <row r="118" spans="1:6" x14ac:dyDescent="0.25">
      <c r="A118" s="2" t="s">
        <v>166</v>
      </c>
      <c r="B118" s="2" t="s">
        <v>167</v>
      </c>
      <c r="C118" s="6">
        <v>42465</v>
      </c>
      <c r="D118" s="6">
        <v>23895</v>
      </c>
      <c r="E118" s="6">
        <f>C118-D118</f>
        <v>18570</v>
      </c>
      <c r="F118" s="6">
        <f>IF(C118&lt;&gt;0, ((C118-D118)/C118)*100, 0)</f>
        <v>43.730130695867189</v>
      </c>
    </row>
    <row r="119" spans="1:6" x14ac:dyDescent="0.25">
      <c r="A119" s="2" t="s">
        <v>168</v>
      </c>
      <c r="B119" s="2" t="s">
        <v>169</v>
      </c>
      <c r="C119" s="6">
        <v>499635</v>
      </c>
      <c r="D119" s="6">
        <v>284887.82</v>
      </c>
      <c r="E119" s="6">
        <f>C119-D119</f>
        <v>214747.18</v>
      </c>
      <c r="F119" s="6">
        <f>IF(C119&lt;&gt;0, ((C119-D119)/C119)*100, 0)</f>
        <v>42.98081199275471</v>
      </c>
    </row>
    <row r="120" spans="1:6" x14ac:dyDescent="0.25">
      <c r="A120" s="2" t="s">
        <v>170</v>
      </c>
      <c r="B120" s="2" t="s">
        <v>170</v>
      </c>
      <c r="C120" s="6">
        <v>1</v>
      </c>
      <c r="E120" s="6">
        <f>C120-D120</f>
        <v>1</v>
      </c>
      <c r="F120" s="6">
        <f>IF(C120&lt;&gt;0, ((C120-D120)/C120)*100, 0)</f>
        <v>100</v>
      </c>
    </row>
    <row r="121" spans="1:6" x14ac:dyDescent="0.25">
      <c r="A121" s="2" t="s">
        <v>171</v>
      </c>
      <c r="B121" s="2" t="s">
        <v>171</v>
      </c>
      <c r="C121" s="6">
        <v>1326600</v>
      </c>
      <c r="D121" s="6">
        <v>1021453.29</v>
      </c>
      <c r="E121" s="6">
        <f>C121-D121</f>
        <v>305146.70999999996</v>
      </c>
      <c r="F121" s="6">
        <f>IF(C121&lt;&gt;0, ((C121-D121)/C121)*100, 0)</f>
        <v>23.002164179104476</v>
      </c>
    </row>
    <row r="122" spans="1:6" x14ac:dyDescent="0.25">
      <c r="A122" s="2" t="s">
        <v>172</v>
      </c>
      <c r="B122" s="2" t="s">
        <v>172</v>
      </c>
      <c r="C122" s="6">
        <v>16800</v>
      </c>
      <c r="D122" s="6">
        <v>13935</v>
      </c>
      <c r="E122" s="6">
        <f>C122-D122</f>
        <v>2865</v>
      </c>
      <c r="F122" s="6">
        <f>IF(C122&lt;&gt;0, ((C122-D122)/C122)*100, 0)</f>
        <v>17.053571428571431</v>
      </c>
    </row>
    <row r="123" spans="1:6" x14ac:dyDescent="0.25">
      <c r="A123" s="2" t="s">
        <v>173</v>
      </c>
      <c r="B123" s="2" t="s">
        <v>174</v>
      </c>
      <c r="C123" s="6">
        <v>162152</v>
      </c>
      <c r="D123" s="6">
        <v>129548.8</v>
      </c>
      <c r="E123" s="6">
        <f>C123-D123</f>
        <v>32603.199999999997</v>
      </c>
      <c r="F123" s="6">
        <f>IF(C123&lt;&gt;0, ((C123-D123)/C123)*100, 0)</f>
        <v>20.106566678178499</v>
      </c>
    </row>
    <row r="124" spans="1:6" x14ac:dyDescent="0.25">
      <c r="A124" s="2" t="s">
        <v>175</v>
      </c>
      <c r="B124" s="2" t="s">
        <v>176</v>
      </c>
      <c r="C124" s="6">
        <v>24500</v>
      </c>
      <c r="D124" s="6">
        <v>7500</v>
      </c>
      <c r="E124" s="6">
        <f>C124-D124</f>
        <v>17000</v>
      </c>
      <c r="F124" s="6">
        <f>IF(C124&lt;&gt;0, ((C124-D124)/C124)*100, 0)</f>
        <v>69.387755102040813</v>
      </c>
    </row>
    <row r="125" spans="1:6" x14ac:dyDescent="0.25">
      <c r="A125" s="2" t="s">
        <v>177</v>
      </c>
      <c r="B125" s="2" t="s">
        <v>177</v>
      </c>
      <c r="C125" s="6">
        <v>23695</v>
      </c>
      <c r="D125" s="6">
        <v>11748</v>
      </c>
      <c r="E125" s="6">
        <f>C125-D125</f>
        <v>11947</v>
      </c>
      <c r="F125" s="6">
        <f>IF(C125&lt;&gt;0, ((C125-D125)/C125)*100, 0)</f>
        <v>50.419919814306816</v>
      </c>
    </row>
    <row r="126" spans="1:6" x14ac:dyDescent="0.25">
      <c r="A126" s="2" t="s">
        <v>178</v>
      </c>
      <c r="B126" s="2" t="s">
        <v>179</v>
      </c>
      <c r="C126" s="6">
        <v>750300</v>
      </c>
      <c r="D126" s="6">
        <v>2718000</v>
      </c>
      <c r="E126" s="6">
        <f>C126-D126</f>
        <v>-1967700</v>
      </c>
      <c r="F126" s="6">
        <f>IF(C126&lt;&gt;0, ((C126-D126)/C126)*100, 0)</f>
        <v>-262.25509796081565</v>
      </c>
    </row>
    <row r="127" spans="1:6" x14ac:dyDescent="0.25">
      <c r="A127" s="2" t="s">
        <v>180</v>
      </c>
      <c r="B127" s="2" t="s">
        <v>181</v>
      </c>
      <c r="C127" s="6">
        <v>399378</v>
      </c>
      <c r="D127" s="6">
        <v>327900</v>
      </c>
      <c r="E127" s="6">
        <f>C127-D127</f>
        <v>71478</v>
      </c>
      <c r="F127" s="6">
        <f>IF(C127&lt;&gt;0, ((C127-D127)/C127)*100, 0)</f>
        <v>17.897330348692218</v>
      </c>
    </row>
    <row r="128" spans="1:6" x14ac:dyDescent="0.25">
      <c r="A128" s="2" t="s">
        <v>182</v>
      </c>
      <c r="B128" s="2" t="s">
        <v>183</v>
      </c>
      <c r="C128" s="6">
        <v>200879.85</v>
      </c>
      <c r="E128" s="6">
        <f>C128-D128</f>
        <v>200879.85</v>
      </c>
      <c r="F128" s="6">
        <f>IF(C128&lt;&gt;0, ((C128-D128)/C128)*100, 0)</f>
        <v>100</v>
      </c>
    </row>
    <row r="129" spans="1:6" x14ac:dyDescent="0.25">
      <c r="A129" s="2" t="s">
        <v>184</v>
      </c>
      <c r="B129" s="2" t="s">
        <v>184</v>
      </c>
      <c r="C129" s="6">
        <v>44580</v>
      </c>
      <c r="D129" s="6">
        <v>18420</v>
      </c>
      <c r="E129" s="6">
        <f>C129-D129</f>
        <v>26160</v>
      </c>
      <c r="F129" s="6">
        <f>IF(C129&lt;&gt;0, ((C129-D129)/C129)*100, 0)</f>
        <v>58.681022880215338</v>
      </c>
    </row>
    <row r="130" spans="1:6" x14ac:dyDescent="0.25">
      <c r="A130" s="2" t="s">
        <v>185</v>
      </c>
      <c r="B130" s="2" t="s">
        <v>185</v>
      </c>
      <c r="C130" s="6">
        <v>31863001.5</v>
      </c>
      <c r="D130" s="6">
        <v>24521714.100000001</v>
      </c>
      <c r="E130" s="6">
        <f>C130-D130</f>
        <v>7341287.3999999985</v>
      </c>
      <c r="F130" s="6">
        <f>IF(C130&lt;&gt;0, ((C130-D130)/C130)*100, 0)</f>
        <v>23.040162741730398</v>
      </c>
    </row>
    <row r="131" spans="1:6" x14ac:dyDescent="0.25">
      <c r="A131" s="2" t="s">
        <v>186</v>
      </c>
      <c r="B131" s="2" t="s">
        <v>186</v>
      </c>
      <c r="C131" s="6">
        <v>75085</v>
      </c>
      <c r="E131" s="6">
        <f>C131-D131</f>
        <v>75085</v>
      </c>
      <c r="F131" s="6">
        <f>IF(C131&lt;&gt;0, ((C131-D131)/C131)*100, 0)</f>
        <v>100</v>
      </c>
    </row>
    <row r="132" spans="1:6" x14ac:dyDescent="0.25">
      <c r="A132" s="2" t="s">
        <v>187</v>
      </c>
      <c r="B132" s="2" t="s">
        <v>187</v>
      </c>
      <c r="C132" s="6">
        <v>4636490</v>
      </c>
      <c r="D132" s="6">
        <v>4134522</v>
      </c>
      <c r="E132" s="6">
        <f>C132-D132</f>
        <v>501968</v>
      </c>
      <c r="F132" s="6">
        <f>IF(C132&lt;&gt;0, ((C132-D132)/C132)*100, 0)</f>
        <v>10.826465710052217</v>
      </c>
    </row>
    <row r="133" spans="1:6" x14ac:dyDescent="0.25">
      <c r="A133" s="2" t="s">
        <v>188</v>
      </c>
      <c r="B133" s="2" t="s">
        <v>189</v>
      </c>
      <c r="C133" s="6">
        <v>-826</v>
      </c>
      <c r="E133" s="6">
        <f>C133-D133</f>
        <v>-826</v>
      </c>
      <c r="F133" s="6">
        <f>IF(C133&lt;&gt;0, ((C133-D133)/C133)*100, 0)</f>
        <v>100</v>
      </c>
    </row>
    <row r="134" spans="1:6" x14ac:dyDescent="0.25">
      <c r="A134" s="2" t="s">
        <v>190</v>
      </c>
      <c r="B134" s="2" t="s">
        <v>190</v>
      </c>
      <c r="C134" s="6">
        <v>8140</v>
      </c>
      <c r="D134" s="6">
        <v>6900</v>
      </c>
      <c r="E134" s="6">
        <f>C134-D134</f>
        <v>1240</v>
      </c>
      <c r="F134" s="6">
        <f>IF(C134&lt;&gt;0, ((C134-D134)/C134)*100, 0)</f>
        <v>15.233415233415235</v>
      </c>
    </row>
    <row r="135" spans="1:6" x14ac:dyDescent="0.25">
      <c r="A135" s="2" t="s">
        <v>191</v>
      </c>
      <c r="B135" s="2" t="s">
        <v>191</v>
      </c>
      <c r="C135" s="6">
        <v>500</v>
      </c>
      <c r="E135" s="6">
        <f>C135-D135</f>
        <v>500</v>
      </c>
      <c r="F135" s="6">
        <f>IF(C135&lt;&gt;0, ((C135-D135)/C135)*100, 0)</f>
        <v>100</v>
      </c>
    </row>
    <row r="136" spans="1:6" x14ac:dyDescent="0.25">
      <c r="A136" s="2" t="s">
        <v>192</v>
      </c>
      <c r="B136" s="2" t="s">
        <v>192</v>
      </c>
      <c r="C136" s="6">
        <v>105216</v>
      </c>
      <c r="D136" s="6">
        <v>82481.2</v>
      </c>
      <c r="E136" s="6">
        <f>C136-D136</f>
        <v>22734.800000000003</v>
      </c>
      <c r="F136" s="6">
        <f>IF(C136&lt;&gt;0, ((C136-D136)/C136)*100, 0)</f>
        <v>21.607740267639905</v>
      </c>
    </row>
    <row r="137" spans="1:6" x14ac:dyDescent="0.25">
      <c r="A137" s="2" t="s">
        <v>193</v>
      </c>
      <c r="B137" s="2" t="s">
        <v>193</v>
      </c>
      <c r="C137" s="6">
        <v>1718508</v>
      </c>
      <c r="D137" s="6">
        <v>1402345.64</v>
      </c>
      <c r="E137" s="6">
        <f>C137-D137</f>
        <v>316162.3600000001</v>
      </c>
      <c r="F137" s="6">
        <f>IF(C137&lt;&gt;0, ((C137-D137)/C137)*100, 0)</f>
        <v>18.397491312231313</v>
      </c>
    </row>
    <row r="138" spans="1:6" x14ac:dyDescent="0.25">
      <c r="A138" s="2" t="s">
        <v>194</v>
      </c>
      <c r="B138" s="2" t="s">
        <v>194</v>
      </c>
      <c r="C138" s="6">
        <v>65735</v>
      </c>
      <c r="D138" s="6">
        <v>45182.63</v>
      </c>
      <c r="E138" s="6">
        <f>C138-D138</f>
        <v>20552.370000000003</v>
      </c>
      <c r="F138" s="6">
        <f>IF(C138&lt;&gt;0, ((C138-D138)/C138)*100, 0)</f>
        <v>31.265490225907055</v>
      </c>
    </row>
    <row r="139" spans="1:6" x14ac:dyDescent="0.25">
      <c r="A139" s="2" t="s">
        <v>195</v>
      </c>
      <c r="B139" s="2" t="s">
        <v>196</v>
      </c>
      <c r="C139" s="6">
        <v>324519</v>
      </c>
      <c r="D139" s="6">
        <v>238787.15</v>
      </c>
      <c r="E139" s="6">
        <f>C139-D139</f>
        <v>85731.85</v>
      </c>
      <c r="F139" s="6">
        <f>IF(C139&lt;&gt;0, ((C139-D139)/C139)*100, 0)</f>
        <v>26.418129601040313</v>
      </c>
    </row>
    <row r="140" spans="1:6" x14ac:dyDescent="0.25">
      <c r="A140" s="2" t="s">
        <v>197</v>
      </c>
      <c r="B140" s="2" t="s">
        <v>197</v>
      </c>
      <c r="C140" s="6">
        <v>-70</v>
      </c>
      <c r="E140" s="6">
        <f>C140-D140</f>
        <v>-70</v>
      </c>
      <c r="F140" s="6">
        <f>IF(C140&lt;&gt;0, ((C140-D140)/C140)*100, 0)</f>
        <v>100</v>
      </c>
    </row>
    <row r="141" spans="1:6" x14ac:dyDescent="0.25">
      <c r="A141" s="2" t="s">
        <v>198</v>
      </c>
      <c r="B141" s="2" t="s">
        <v>199</v>
      </c>
      <c r="C141" s="6">
        <v>28535</v>
      </c>
      <c r="D141" s="6">
        <v>24522</v>
      </c>
      <c r="E141" s="6">
        <f>C141-D141</f>
        <v>4013</v>
      </c>
      <c r="F141" s="6">
        <f>IF(C141&lt;&gt;0, ((C141-D141)/C141)*100, 0)</f>
        <v>14.063430874364816</v>
      </c>
    </row>
    <row r="142" spans="1:6" x14ac:dyDescent="0.25">
      <c r="A142" s="2" t="s">
        <v>200</v>
      </c>
      <c r="B142" s="2" t="s">
        <v>201</v>
      </c>
      <c r="C142" s="6">
        <v>173700</v>
      </c>
      <c r="D142" s="6">
        <v>140242</v>
      </c>
      <c r="E142" s="6">
        <f>C142-D142</f>
        <v>33458</v>
      </c>
      <c r="F142" s="6">
        <f>IF(C142&lt;&gt;0, ((C142-D142)/C142)*100, 0)</f>
        <v>19.261945883707543</v>
      </c>
    </row>
    <row r="143" spans="1:6" x14ac:dyDescent="0.25">
      <c r="A143" s="2" t="s">
        <v>202</v>
      </c>
      <c r="B143" s="2" t="s">
        <v>203</v>
      </c>
      <c r="C143" s="6">
        <v>169570</v>
      </c>
      <c r="D143" s="6">
        <v>134523.6</v>
      </c>
      <c r="E143" s="6">
        <f>C143-D143</f>
        <v>35046.399999999994</v>
      </c>
      <c r="F143" s="6">
        <f>IF(C143&lt;&gt;0, ((C143-D143)/C143)*100, 0)</f>
        <v>20.667806805449075</v>
      </c>
    </row>
    <row r="144" spans="1:6" x14ac:dyDescent="0.25">
      <c r="A144" s="2" t="s">
        <v>204</v>
      </c>
      <c r="B144" s="2" t="s">
        <v>204</v>
      </c>
      <c r="C144" s="6">
        <v>77060</v>
      </c>
      <c r="D144" s="6">
        <v>65027.62</v>
      </c>
      <c r="E144" s="6">
        <f>C144-D144</f>
        <v>12032.379999999997</v>
      </c>
      <c r="F144" s="6">
        <f>IF(C144&lt;&gt;0, ((C144-D144)/C144)*100, 0)</f>
        <v>15.614300545029844</v>
      </c>
    </row>
    <row r="145" spans="1:6" x14ac:dyDescent="0.25">
      <c r="A145" s="2" t="s">
        <v>205</v>
      </c>
      <c r="B145" s="2" t="s">
        <v>206</v>
      </c>
      <c r="C145" s="6">
        <v>1995</v>
      </c>
      <c r="D145" s="6">
        <v>1654.6</v>
      </c>
      <c r="E145" s="6">
        <f>C145-D145</f>
        <v>340.40000000000009</v>
      </c>
      <c r="F145" s="6">
        <f>IF(C145&lt;&gt;0, ((C145-D145)/C145)*100, 0)</f>
        <v>17.062656641604015</v>
      </c>
    </row>
    <row r="146" spans="1:6" x14ac:dyDescent="0.25">
      <c r="A146" s="2" t="s">
        <v>207</v>
      </c>
      <c r="B146" s="2" t="s">
        <v>208</v>
      </c>
      <c r="C146" s="6">
        <v>266180</v>
      </c>
      <c r="D146" s="6">
        <v>229843</v>
      </c>
      <c r="E146" s="6">
        <f>C146-D146</f>
        <v>36337</v>
      </c>
      <c r="F146" s="6">
        <f>IF(C146&lt;&gt;0, ((C146-D146)/C146)*100, 0)</f>
        <v>13.6512886016981</v>
      </c>
    </row>
    <row r="147" spans="1:6" x14ac:dyDescent="0.25">
      <c r="A147" s="2" t="s">
        <v>209</v>
      </c>
      <c r="B147" s="2" t="s">
        <v>209</v>
      </c>
      <c r="C147" s="6">
        <v>142710</v>
      </c>
      <c r="D147" s="6">
        <v>125713</v>
      </c>
      <c r="E147" s="6">
        <f>C147-D147</f>
        <v>16997</v>
      </c>
      <c r="F147" s="6">
        <f>IF(C147&lt;&gt;0, ((C147-D147)/C147)*100, 0)</f>
        <v>11.910167472496672</v>
      </c>
    </row>
    <row r="148" spans="1:6" x14ac:dyDescent="0.25">
      <c r="A148" s="2" t="s">
        <v>210</v>
      </c>
      <c r="B148" s="2" t="s">
        <v>210</v>
      </c>
      <c r="C148" s="6">
        <v>800</v>
      </c>
      <c r="E148" s="6">
        <f>C148-D148</f>
        <v>800</v>
      </c>
      <c r="F148" s="6">
        <f>IF(C148&lt;&gt;0, ((C148-D148)/C148)*100, 0)</f>
        <v>100</v>
      </c>
    </row>
    <row r="149" spans="1:6" x14ac:dyDescent="0.25">
      <c r="A149" s="2" t="s">
        <v>211</v>
      </c>
      <c r="B149" s="2" t="s">
        <v>211</v>
      </c>
      <c r="C149" s="6">
        <v>2375975</v>
      </c>
      <c r="D149" s="6">
        <v>2084886.06</v>
      </c>
      <c r="E149" s="6">
        <f>C149-D149</f>
        <v>291088.93999999994</v>
      </c>
      <c r="F149" s="6">
        <f>IF(C149&lt;&gt;0, ((C149-D149)/C149)*100, 0)</f>
        <v>12.251346920737801</v>
      </c>
    </row>
    <row r="150" spans="1:6" x14ac:dyDescent="0.25">
      <c r="A150" s="2" t="s">
        <v>212</v>
      </c>
      <c r="B150" s="2" t="s">
        <v>213</v>
      </c>
      <c r="C150" s="6">
        <v>28035</v>
      </c>
      <c r="D150" s="6">
        <v>23052.67</v>
      </c>
      <c r="E150" s="6">
        <f>C150-D150</f>
        <v>4982.3300000000017</v>
      </c>
      <c r="F150" s="6">
        <f>IF(C150&lt;&gt;0, ((C150-D150)/C150)*100, 0)</f>
        <v>17.771820938113077</v>
      </c>
    </row>
    <row r="151" spans="1:6" x14ac:dyDescent="0.25">
      <c r="A151" s="2" t="s">
        <v>214</v>
      </c>
      <c r="B151" s="2" t="s">
        <v>214</v>
      </c>
      <c r="C151" s="6">
        <v>30440</v>
      </c>
      <c r="D151" s="6">
        <v>26199</v>
      </c>
      <c r="E151" s="6">
        <f>C151-D151</f>
        <v>4241</v>
      </c>
      <c r="F151" s="6">
        <f>IF(C151&lt;&gt;0, ((C151-D151)/C151)*100, 0)</f>
        <v>13.932325886990801</v>
      </c>
    </row>
    <row r="152" spans="1:6" x14ac:dyDescent="0.25">
      <c r="A152" s="2" t="s">
        <v>215</v>
      </c>
      <c r="B152" s="2" t="s">
        <v>215</v>
      </c>
      <c r="C152" s="6">
        <v>29800</v>
      </c>
      <c r="D152" s="6">
        <v>25890</v>
      </c>
      <c r="E152" s="6">
        <f>C152-D152</f>
        <v>3910</v>
      </c>
      <c r="F152" s="6">
        <f>IF(C152&lt;&gt;0, ((C152-D152)/C152)*100, 0)</f>
        <v>13.120805369127517</v>
      </c>
    </row>
    <row r="153" spans="1:6" x14ac:dyDescent="0.25">
      <c r="A153" s="2" t="s">
        <v>216</v>
      </c>
      <c r="B153" s="2" t="s">
        <v>216</v>
      </c>
      <c r="C153" s="6">
        <v>5940</v>
      </c>
      <c r="D153" s="6">
        <v>5078.3500000000004</v>
      </c>
      <c r="E153" s="6">
        <f>C153-D153</f>
        <v>861.64999999999964</v>
      </c>
      <c r="F153" s="6">
        <f>IF(C153&lt;&gt;0, ((C153-D153)/C153)*100, 0)</f>
        <v>14.505892255892249</v>
      </c>
    </row>
    <row r="154" spans="1:6" x14ac:dyDescent="0.25">
      <c r="A154" s="2" t="s">
        <v>217</v>
      </c>
      <c r="B154" s="2" t="s">
        <v>218</v>
      </c>
      <c r="C154" s="6">
        <v>16280</v>
      </c>
      <c r="D154" s="6">
        <v>13800</v>
      </c>
      <c r="E154" s="6">
        <f>C154-D154</f>
        <v>2480</v>
      </c>
      <c r="F154" s="6">
        <f>IF(C154&lt;&gt;0, ((C154-D154)/C154)*100, 0)</f>
        <v>15.233415233415235</v>
      </c>
    </row>
    <row r="155" spans="1:6" x14ac:dyDescent="0.25">
      <c r="A155" s="2" t="s">
        <v>219</v>
      </c>
      <c r="B155" s="2" t="s">
        <v>220</v>
      </c>
      <c r="C155" s="6">
        <v>1063900.2</v>
      </c>
      <c r="D155" s="6">
        <v>804756.75</v>
      </c>
      <c r="E155" s="6">
        <f>C155-D155</f>
        <v>259143.44999999995</v>
      </c>
      <c r="F155" s="6">
        <f>IF(C155&lt;&gt;0, ((C155-D155)/C155)*100, 0)</f>
        <v>24.357872101161366</v>
      </c>
    </row>
    <row r="156" spans="1:6" x14ac:dyDescent="0.25">
      <c r="A156" s="2" t="s">
        <v>221</v>
      </c>
      <c r="B156" s="2" t="s">
        <v>222</v>
      </c>
      <c r="C156" s="6">
        <v>30220</v>
      </c>
      <c r="D156" s="6">
        <v>25215.77</v>
      </c>
      <c r="E156" s="6">
        <f>C156-D156</f>
        <v>5004.2299999999996</v>
      </c>
      <c r="F156" s="6">
        <f>IF(C156&lt;&gt;0, ((C156-D156)/C156)*100, 0)</f>
        <v>16.559331568497683</v>
      </c>
    </row>
    <row r="157" spans="1:6" x14ac:dyDescent="0.25">
      <c r="A157" s="2" t="s">
        <v>223</v>
      </c>
      <c r="B157" s="2" t="s">
        <v>223</v>
      </c>
      <c r="C157" s="6">
        <v>-2500</v>
      </c>
      <c r="E157" s="6">
        <f>C157-D157</f>
        <v>-2500</v>
      </c>
      <c r="F157" s="6">
        <f>IF(C157&lt;&gt;0, ((C157-D157)/C157)*100, 0)</f>
        <v>100</v>
      </c>
    </row>
    <row r="158" spans="1:6" x14ac:dyDescent="0.25">
      <c r="A158" s="2" t="s">
        <v>224</v>
      </c>
      <c r="B158" s="2" t="s">
        <v>224</v>
      </c>
      <c r="C158" s="6">
        <v>483000</v>
      </c>
      <c r="D158" s="6">
        <v>420000</v>
      </c>
      <c r="E158" s="6">
        <f>C158-D158</f>
        <v>63000</v>
      </c>
      <c r="F158" s="6">
        <f>IF(C158&lt;&gt;0, ((C158-D158)/C158)*100, 0)</f>
        <v>13.043478260869565</v>
      </c>
    </row>
    <row r="159" spans="1:6" x14ac:dyDescent="0.25">
      <c r="A159" s="2" t="s">
        <v>225</v>
      </c>
      <c r="B159" s="2" t="s">
        <v>226</v>
      </c>
      <c r="C159" s="6">
        <v>720140</v>
      </c>
      <c r="D159" s="6">
        <v>640554.84</v>
      </c>
      <c r="E159" s="6">
        <f>C159-D159</f>
        <v>79585.160000000033</v>
      </c>
      <c r="F159" s="6">
        <f>IF(C159&lt;&gt;0, ((C159-D159)/C159)*100, 0)</f>
        <v>11.051345571694398</v>
      </c>
    </row>
    <row r="160" spans="1:6" x14ac:dyDescent="0.25">
      <c r="A160" s="2" t="s">
        <v>227</v>
      </c>
      <c r="B160" s="2" t="s">
        <v>227</v>
      </c>
      <c r="C160" s="6">
        <v>103200</v>
      </c>
      <c r="D160" s="6">
        <v>110400</v>
      </c>
      <c r="E160" s="6">
        <f>C160-D160</f>
        <v>-7200</v>
      </c>
      <c r="F160" s="6">
        <f>IF(C160&lt;&gt;0, ((C160-D160)/C160)*100, 0)</f>
        <v>-6.9767441860465116</v>
      </c>
    </row>
    <row r="161" spans="1:6" x14ac:dyDescent="0.25">
      <c r="A161" s="2" t="s">
        <v>228</v>
      </c>
      <c r="B161" s="2" t="s">
        <v>229</v>
      </c>
      <c r="C161" s="6">
        <v>1439845</v>
      </c>
      <c r="D161" s="6">
        <v>1276001.72</v>
      </c>
      <c r="E161" s="6">
        <f>C161-D161</f>
        <v>163843.28000000003</v>
      </c>
      <c r="F161" s="6">
        <f>IF(C161&lt;&gt;0, ((C161-D161)/C161)*100, 0)</f>
        <v>11.379230403272576</v>
      </c>
    </row>
    <row r="162" spans="1:6" x14ac:dyDescent="0.25">
      <c r="A162" s="2" t="s">
        <v>230</v>
      </c>
      <c r="B162" s="2" t="s">
        <v>231</v>
      </c>
      <c r="C162" s="6">
        <v>1033577</v>
      </c>
      <c r="D162" s="6">
        <v>861715.2</v>
      </c>
      <c r="E162" s="6">
        <f>C162-D162</f>
        <v>171861.80000000005</v>
      </c>
      <c r="F162" s="6">
        <f>IF(C162&lt;&gt;0, ((C162-D162)/C162)*100, 0)</f>
        <v>16.627866138662146</v>
      </c>
    </row>
    <row r="163" spans="1:6" x14ac:dyDescent="0.25">
      <c r="A163" s="2" t="s">
        <v>232</v>
      </c>
      <c r="B163" s="2" t="s">
        <v>233</v>
      </c>
      <c r="C163" s="6">
        <v>406240</v>
      </c>
      <c r="D163" s="6">
        <v>360450</v>
      </c>
      <c r="E163" s="6">
        <f>C163-D163</f>
        <v>45790</v>
      </c>
      <c r="F163" s="6">
        <f>IF(C163&lt;&gt;0, ((C163-D163)/C163)*100, 0)</f>
        <v>11.271662071681765</v>
      </c>
    </row>
    <row r="164" spans="1:6" x14ac:dyDescent="0.25">
      <c r="A164" s="2" t="s">
        <v>234</v>
      </c>
      <c r="B164" s="2" t="s">
        <v>234</v>
      </c>
      <c r="C164" s="6">
        <v>92553088.819999993</v>
      </c>
      <c r="D164" s="6">
        <v>113921981.95999999</v>
      </c>
      <c r="E164" s="6">
        <f>C164-D164</f>
        <v>-21368893.140000001</v>
      </c>
      <c r="F164" s="6">
        <f>IF(C164&lt;&gt;0, ((C164-D164)/C164)*100, 0)</f>
        <v>-23.088254981482965</v>
      </c>
    </row>
    <row r="165" spans="1:6" x14ac:dyDescent="0.25">
      <c r="A165" s="2" t="s">
        <v>235</v>
      </c>
      <c r="B165" s="2" t="s">
        <v>235</v>
      </c>
      <c r="C165" s="6">
        <v>834682</v>
      </c>
      <c r="D165" s="6">
        <v>618802.54</v>
      </c>
      <c r="E165" s="6">
        <f>C165-D165</f>
        <v>215879.45999999996</v>
      </c>
      <c r="F165" s="6">
        <f>IF(C165&lt;&gt;0, ((C165-D165)/C165)*100, 0)</f>
        <v>25.863677424456256</v>
      </c>
    </row>
    <row r="166" spans="1:6" x14ac:dyDescent="0.25">
      <c r="A166" s="2" t="s">
        <v>236</v>
      </c>
      <c r="B166" s="2" t="s">
        <v>237</v>
      </c>
      <c r="C166" s="6">
        <v>8633</v>
      </c>
      <c r="D166" s="6">
        <v>7070</v>
      </c>
      <c r="E166" s="6">
        <f>C166-D166</f>
        <v>1563</v>
      </c>
      <c r="F166" s="6">
        <f>IF(C166&lt;&gt;0, ((C166-D166)/C166)*100, 0)</f>
        <v>18.104946136916482</v>
      </c>
    </row>
    <row r="167" spans="1:6" x14ac:dyDescent="0.25">
      <c r="A167" s="2" t="s">
        <v>238</v>
      </c>
      <c r="B167" s="2" t="s">
        <v>239</v>
      </c>
      <c r="C167" s="6">
        <v>6249244</v>
      </c>
      <c r="D167" s="6">
        <v>5418639.5999999996</v>
      </c>
      <c r="E167" s="6">
        <f>C167-D167</f>
        <v>830604.40000000037</v>
      </c>
      <c r="F167" s="6">
        <f>IF(C167&lt;&gt;0, ((C167-D167)/C167)*100, 0)</f>
        <v>13.291278113000555</v>
      </c>
    </row>
    <row r="168" spans="1:6" x14ac:dyDescent="0.25">
      <c r="A168" s="2" t="s">
        <v>240</v>
      </c>
      <c r="B168" s="2" t="s">
        <v>240</v>
      </c>
      <c r="C168" s="6">
        <v>557180</v>
      </c>
      <c r="D168" s="6">
        <v>254683.84</v>
      </c>
      <c r="E168" s="6">
        <f>C168-D168</f>
        <v>302496.16000000003</v>
      </c>
      <c r="F168" s="6">
        <f>IF(C168&lt;&gt;0, ((C168-D168)/C168)*100, 0)</f>
        <v>54.290563193223015</v>
      </c>
    </row>
    <row r="169" spans="1:6" x14ac:dyDescent="0.25">
      <c r="A169" s="2" t="s">
        <v>241</v>
      </c>
      <c r="B169" s="2" t="s">
        <v>242</v>
      </c>
      <c r="C169" s="6">
        <v>68254</v>
      </c>
      <c r="D169" s="6">
        <v>55120</v>
      </c>
      <c r="E169" s="6">
        <f>C169-D169</f>
        <v>13134</v>
      </c>
      <c r="F169" s="6">
        <f>IF(C169&lt;&gt;0, ((C169-D169)/C169)*100, 0)</f>
        <v>19.242828259149647</v>
      </c>
    </row>
    <row r="170" spans="1:6" x14ac:dyDescent="0.25">
      <c r="A170" s="2" t="s">
        <v>243</v>
      </c>
      <c r="B170" s="2" t="s">
        <v>243</v>
      </c>
      <c r="C170" s="6">
        <v>26450</v>
      </c>
      <c r="D170" s="6">
        <v>20825</v>
      </c>
      <c r="E170" s="6">
        <f>C170-D170</f>
        <v>5625</v>
      </c>
      <c r="F170" s="6">
        <f>IF(C170&lt;&gt;0, ((C170-D170)/C170)*100, 0)</f>
        <v>21.266540642722116</v>
      </c>
    </row>
    <row r="171" spans="1:6" x14ac:dyDescent="0.25">
      <c r="A171" s="2" t="s">
        <v>244</v>
      </c>
      <c r="B171" s="2" t="s">
        <v>245</v>
      </c>
      <c r="C171" s="6">
        <v>236400</v>
      </c>
      <c r="E171" s="6">
        <f>C171-D171</f>
        <v>236400</v>
      </c>
      <c r="F171" s="6">
        <f>IF(C171&lt;&gt;0, ((C171-D171)/C171)*100, 0)</f>
        <v>100</v>
      </c>
    </row>
    <row r="172" spans="1:6" x14ac:dyDescent="0.25">
      <c r="A172" s="2" t="s">
        <v>246</v>
      </c>
      <c r="B172" s="2" t="s">
        <v>247</v>
      </c>
      <c r="C172" s="6">
        <v>1230350</v>
      </c>
      <c r="D172" s="6">
        <v>960750</v>
      </c>
      <c r="E172" s="6">
        <f>C172-D172</f>
        <v>269600</v>
      </c>
      <c r="F172" s="6">
        <f>IF(C172&lt;&gt;0, ((C172-D172)/C172)*100, 0)</f>
        <v>21.912463933027187</v>
      </c>
    </row>
    <row r="173" spans="1:6" x14ac:dyDescent="0.25">
      <c r="A173" s="2" t="s">
        <v>248</v>
      </c>
      <c r="B173" s="2" t="s">
        <v>248</v>
      </c>
      <c r="C173" s="6">
        <v>187200</v>
      </c>
      <c r="D173" s="6">
        <v>159915</v>
      </c>
      <c r="E173" s="6">
        <f>C173-D173</f>
        <v>27285</v>
      </c>
      <c r="F173" s="6">
        <f>IF(C173&lt;&gt;0, ((C173-D173)/C173)*100, 0)</f>
        <v>14.575320512820515</v>
      </c>
    </row>
    <row r="174" spans="1:6" x14ac:dyDescent="0.25">
      <c r="A174" s="2" t="s">
        <v>249</v>
      </c>
      <c r="B174" s="2" t="s">
        <v>249</v>
      </c>
      <c r="C174" s="6">
        <v>408593</v>
      </c>
      <c r="D174" s="6">
        <v>345865.22</v>
      </c>
      <c r="E174" s="6">
        <f>C174-D174</f>
        <v>62727.780000000028</v>
      </c>
      <c r="F174" s="6">
        <f>IF(C174&lt;&gt;0, ((C174-D174)/C174)*100, 0)</f>
        <v>15.352142596667107</v>
      </c>
    </row>
    <row r="175" spans="1:6" x14ac:dyDescent="0.25">
      <c r="A175" s="2" t="s">
        <v>250</v>
      </c>
      <c r="B175" s="2" t="s">
        <v>250</v>
      </c>
      <c r="C175" s="6">
        <v>424748</v>
      </c>
      <c r="D175" s="6">
        <v>346510.71</v>
      </c>
      <c r="E175" s="6">
        <f>C175-D175</f>
        <v>78237.289999999979</v>
      </c>
      <c r="F175" s="6">
        <f>IF(C175&lt;&gt;0, ((C175-D175)/C175)*100, 0)</f>
        <v>18.419695913812419</v>
      </c>
    </row>
    <row r="176" spans="1:6" x14ac:dyDescent="0.25">
      <c r="A176" s="2" t="s">
        <v>251</v>
      </c>
      <c r="B176" s="2" t="s">
        <v>251</v>
      </c>
      <c r="C176" s="6">
        <v>53388.5</v>
      </c>
      <c r="D176" s="6">
        <v>48535</v>
      </c>
      <c r="E176" s="6">
        <f>C176-D176</f>
        <v>4853.5</v>
      </c>
      <c r="F176" s="6">
        <f>IF(C176&lt;&gt;0, ((C176-D176)/C176)*100, 0)</f>
        <v>9.0909090909090917</v>
      </c>
    </row>
    <row r="177" spans="1:6" x14ac:dyDescent="0.25">
      <c r="A177" s="2" t="s">
        <v>252</v>
      </c>
      <c r="B177" s="2" t="s">
        <v>252</v>
      </c>
      <c r="C177" s="6">
        <v>45870</v>
      </c>
      <c r="D177" s="6">
        <v>32877.800000000003</v>
      </c>
      <c r="E177" s="6">
        <f>C177-D177</f>
        <v>12992.199999999997</v>
      </c>
      <c r="F177" s="6">
        <f>IF(C177&lt;&gt;0, ((C177-D177)/C177)*100, 0)</f>
        <v>28.323959014606494</v>
      </c>
    </row>
    <row r="178" spans="1:6" x14ac:dyDescent="0.25">
      <c r="A178" s="2" t="s">
        <v>253</v>
      </c>
      <c r="B178" s="2" t="s">
        <v>254</v>
      </c>
      <c r="C178" s="6">
        <v>39960</v>
      </c>
      <c r="D178" s="6">
        <v>33307.199999999997</v>
      </c>
      <c r="E178" s="6">
        <f>C178-D178</f>
        <v>6652.8000000000029</v>
      </c>
      <c r="F178" s="6">
        <f>IF(C178&lt;&gt;0, ((C178-D178)/C178)*100, 0)</f>
        <v>16.648648648648656</v>
      </c>
    </row>
    <row r="179" spans="1:6" x14ac:dyDescent="0.25">
      <c r="A179" s="2" t="s">
        <v>255</v>
      </c>
      <c r="B179" s="2" t="s">
        <v>255</v>
      </c>
      <c r="C179" s="6">
        <v>17236109.16</v>
      </c>
      <c r="D179" s="6">
        <v>13474312.33</v>
      </c>
      <c r="E179" s="6">
        <f>C179-D179</f>
        <v>3761796.83</v>
      </c>
      <c r="F179" s="6">
        <f>IF(C179&lt;&gt;0, ((C179-D179)/C179)*100, 0)</f>
        <v>21.825092862199071</v>
      </c>
    </row>
    <row r="180" spans="1:6" x14ac:dyDescent="0.25">
      <c r="A180" s="2" t="s">
        <v>256</v>
      </c>
      <c r="B180" s="2" t="s">
        <v>257</v>
      </c>
      <c r="C180" s="6">
        <v>6108113</v>
      </c>
      <c r="D180" s="6">
        <v>4477016.4400000004</v>
      </c>
      <c r="E180" s="6">
        <f>C180-D180</f>
        <v>1631096.5599999996</v>
      </c>
      <c r="F180" s="6">
        <f>IF(C180&lt;&gt;0, ((C180-D180)/C180)*100, 0)</f>
        <v>26.703771852288909</v>
      </c>
    </row>
    <row r="181" spans="1:6" x14ac:dyDescent="0.25">
      <c r="A181" s="2" t="s">
        <v>258</v>
      </c>
      <c r="B181" s="2" t="s">
        <v>258</v>
      </c>
      <c r="C181" s="6">
        <v>212500</v>
      </c>
      <c r="D181" s="6">
        <v>148214.32</v>
      </c>
      <c r="E181" s="6">
        <f>C181-D181</f>
        <v>64285.679999999993</v>
      </c>
      <c r="F181" s="6">
        <f>IF(C181&lt;&gt;0, ((C181-D181)/C181)*100, 0)</f>
        <v>30.25208470588235</v>
      </c>
    </row>
    <row r="182" spans="1:6" x14ac:dyDescent="0.25">
      <c r="A182" s="2" t="s">
        <v>259</v>
      </c>
      <c r="B182" s="2" t="s">
        <v>259</v>
      </c>
      <c r="C182" s="6">
        <v>124</v>
      </c>
      <c r="E182" s="6">
        <f>C182-D182</f>
        <v>124</v>
      </c>
      <c r="F182" s="6">
        <f>IF(C182&lt;&gt;0, ((C182-D182)/C182)*100, 0)</f>
        <v>100</v>
      </c>
    </row>
    <row r="183" spans="1:6" x14ac:dyDescent="0.25">
      <c r="A183" s="2" t="s">
        <v>260</v>
      </c>
      <c r="B183" s="2" t="s">
        <v>260</v>
      </c>
      <c r="C183" s="6">
        <v>530270</v>
      </c>
      <c r="D183" s="6">
        <v>474299.71</v>
      </c>
      <c r="E183" s="6">
        <f>C183-D183</f>
        <v>55970.289999999979</v>
      </c>
      <c r="F183" s="6">
        <f>IF(C183&lt;&gt;0, ((C183-D183)/C183)*100, 0)</f>
        <v>10.555054971995395</v>
      </c>
    </row>
    <row r="184" spans="1:6" x14ac:dyDescent="0.25">
      <c r="A184" s="2" t="s">
        <v>261</v>
      </c>
      <c r="B184" s="2" t="s">
        <v>262</v>
      </c>
      <c r="C184" s="6">
        <v>-18</v>
      </c>
      <c r="E184" s="6">
        <f>C184-D184</f>
        <v>-18</v>
      </c>
      <c r="F184" s="6">
        <f>IF(C184&lt;&gt;0, ((C184-D184)/C184)*100, 0)</f>
        <v>100</v>
      </c>
    </row>
    <row r="185" spans="1:6" x14ac:dyDescent="0.25">
      <c r="A185" s="2" t="s">
        <v>263</v>
      </c>
      <c r="B185" s="2" t="s">
        <v>264</v>
      </c>
      <c r="C185" s="6">
        <v>253626</v>
      </c>
      <c r="D185" s="6">
        <v>170474.63</v>
      </c>
      <c r="E185" s="6">
        <f>C185-D185</f>
        <v>83151.37</v>
      </c>
      <c r="F185" s="6">
        <f>IF(C185&lt;&gt;0, ((C185-D185)/C185)*100, 0)</f>
        <v>32.785033868767393</v>
      </c>
    </row>
    <row r="186" spans="1:6" x14ac:dyDescent="0.25">
      <c r="A186" s="2" t="s">
        <v>265</v>
      </c>
      <c r="B186" s="2" t="s">
        <v>266</v>
      </c>
      <c r="C186" s="6">
        <v>12000</v>
      </c>
      <c r="D186" s="6">
        <v>9927.6</v>
      </c>
      <c r="E186" s="6">
        <f>C186-D186</f>
        <v>2072.3999999999996</v>
      </c>
      <c r="F186" s="6">
        <f>IF(C186&lt;&gt;0, ((C186-D186)/C186)*100, 0)</f>
        <v>17.269999999999996</v>
      </c>
    </row>
    <row r="187" spans="1:6" x14ac:dyDescent="0.25">
      <c r="A187" s="2" t="s">
        <v>267</v>
      </c>
      <c r="B187" s="2" t="s">
        <v>267</v>
      </c>
      <c r="C187" s="6">
        <v>58816569.140000001</v>
      </c>
      <c r="D187" s="6">
        <v>47927740.140000001</v>
      </c>
      <c r="E187" s="6">
        <f>C187-D187</f>
        <v>10888829</v>
      </c>
      <c r="F187" s="6">
        <f>IF(C187&lt;&gt;0, ((C187-D187)/C187)*100, 0)</f>
        <v>18.513199867339285</v>
      </c>
    </row>
    <row r="188" spans="1:6" x14ac:dyDescent="0.25">
      <c r="A188" s="2" t="s">
        <v>268</v>
      </c>
      <c r="B188" s="2" t="s">
        <v>269</v>
      </c>
      <c r="C188" s="6">
        <v>732858</v>
      </c>
      <c r="D188" s="6">
        <v>596097</v>
      </c>
      <c r="E188" s="6">
        <f>C188-D188</f>
        <v>136761</v>
      </c>
      <c r="F188" s="6">
        <f>IF(C188&lt;&gt;0, ((C188-D188)/C188)*100, 0)</f>
        <v>18.661323203130756</v>
      </c>
    </row>
    <row r="189" spans="1:6" x14ac:dyDescent="0.25">
      <c r="A189" s="2" t="s">
        <v>270</v>
      </c>
      <c r="B189" s="2" t="s">
        <v>271</v>
      </c>
      <c r="C189" s="6">
        <v>52680</v>
      </c>
      <c r="D189" s="6">
        <v>44272.73</v>
      </c>
      <c r="E189" s="6">
        <f>C189-D189</f>
        <v>8407.2699999999968</v>
      </c>
      <c r="F189" s="6">
        <f>IF(C189&lt;&gt;0, ((C189-D189)/C189)*100, 0)</f>
        <v>15.959130599848134</v>
      </c>
    </row>
    <row r="190" spans="1:6" x14ac:dyDescent="0.25">
      <c r="A190" s="2" t="s">
        <v>272</v>
      </c>
      <c r="B190" s="2" t="s">
        <v>272</v>
      </c>
      <c r="C190" s="6">
        <v>53073</v>
      </c>
      <c r="D190" s="6">
        <v>43618.6</v>
      </c>
      <c r="E190" s="6">
        <f>C190-D190</f>
        <v>9454.4000000000015</v>
      </c>
      <c r="F190" s="6">
        <f>IF(C190&lt;&gt;0, ((C190-D190)/C190)*100, 0)</f>
        <v>17.813954364742905</v>
      </c>
    </row>
    <row r="191" spans="1:6" x14ac:dyDescent="0.25">
      <c r="A191" s="2" t="s">
        <v>273</v>
      </c>
      <c r="B191" s="2" t="s">
        <v>273</v>
      </c>
      <c r="C191" s="6">
        <v>342047.94</v>
      </c>
      <c r="D191" s="6">
        <v>285837.14</v>
      </c>
      <c r="E191" s="6">
        <f>C191-D191</f>
        <v>56210.799999999988</v>
      </c>
      <c r="F191" s="6">
        <f>IF(C191&lt;&gt;0, ((C191-D191)/C191)*100, 0)</f>
        <v>16.43360284526198</v>
      </c>
    </row>
    <row r="192" spans="1:6" x14ac:dyDescent="0.25">
      <c r="A192" s="2" t="s">
        <v>274</v>
      </c>
      <c r="B192" s="2" t="s">
        <v>275</v>
      </c>
      <c r="C192" s="6">
        <v>2019293</v>
      </c>
      <c r="D192" s="6">
        <v>1598787.5</v>
      </c>
      <c r="E192" s="6">
        <f>C192-D192</f>
        <v>420505.5</v>
      </c>
      <c r="F192" s="6">
        <f>IF(C192&lt;&gt;0, ((C192-D192)/C192)*100, 0)</f>
        <v>20.824392497770258</v>
      </c>
    </row>
    <row r="193" spans="1:6" x14ac:dyDescent="0.25">
      <c r="A193" s="2" t="s">
        <v>276</v>
      </c>
      <c r="B193" s="2" t="s">
        <v>276</v>
      </c>
      <c r="C193" s="6">
        <v>993</v>
      </c>
      <c r="E193" s="6">
        <f>C193-D193</f>
        <v>993</v>
      </c>
      <c r="F193" s="6">
        <f>IF(C193&lt;&gt;0, ((C193-D193)/C193)*100, 0)</f>
        <v>100</v>
      </c>
    </row>
    <row r="194" spans="1:6" x14ac:dyDescent="0.25">
      <c r="A194" s="2" t="s">
        <v>277</v>
      </c>
      <c r="B194" s="2" t="s">
        <v>277</v>
      </c>
      <c r="C194" s="6">
        <v>3079443.4</v>
      </c>
      <c r="D194" s="6">
        <v>2489886.4300000002</v>
      </c>
      <c r="E194" s="6">
        <f>C194-D194</f>
        <v>589556.96999999974</v>
      </c>
      <c r="F194" s="6">
        <f>IF(C194&lt;&gt;0, ((C194-D194)/C194)*100, 0)</f>
        <v>19.144919825446369</v>
      </c>
    </row>
    <row r="195" spans="1:6" x14ac:dyDescent="0.25">
      <c r="A195" s="2" t="s">
        <v>278</v>
      </c>
      <c r="B195" s="2" t="s">
        <v>279</v>
      </c>
      <c r="C195" s="6">
        <v>10758073</v>
      </c>
      <c r="D195" s="6">
        <v>9293732</v>
      </c>
      <c r="E195" s="6">
        <f>C195-D195</f>
        <v>1464341</v>
      </c>
      <c r="F195" s="6">
        <f>IF(C195&lt;&gt;0, ((C195-D195)/C195)*100, 0)</f>
        <v>13.611554783091732</v>
      </c>
    </row>
    <row r="196" spans="1:6" x14ac:dyDescent="0.25">
      <c r="A196" s="2" t="s">
        <v>280</v>
      </c>
      <c r="B196" s="2" t="s">
        <v>280</v>
      </c>
      <c r="C196" s="6">
        <v>77487660.829999998</v>
      </c>
      <c r="D196" s="6">
        <v>73933864.200000003</v>
      </c>
      <c r="E196" s="6">
        <f>C196-D196</f>
        <v>3553796.6299999952</v>
      </c>
      <c r="F196" s="6">
        <f>IF(C196&lt;&gt;0, ((C196-D196)/C196)*100, 0)</f>
        <v>4.5862742428070726</v>
      </c>
    </row>
    <row r="197" spans="1:6" x14ac:dyDescent="0.25">
      <c r="A197" s="2" t="s">
        <v>281</v>
      </c>
      <c r="B197" s="2" t="s">
        <v>282</v>
      </c>
      <c r="C197" s="6">
        <v>-864</v>
      </c>
      <c r="D197" s="6">
        <v>13082.78</v>
      </c>
      <c r="E197" s="6">
        <f>C197-D197</f>
        <v>-13946.78</v>
      </c>
      <c r="F197" s="6">
        <f>IF(C197&lt;&gt;0, ((C197-D197)/C197)*100, 0)</f>
        <v>1614.210648148148</v>
      </c>
    </row>
    <row r="198" spans="1:6" x14ac:dyDescent="0.25">
      <c r="A198" s="2" t="s">
        <v>283</v>
      </c>
      <c r="B198" s="2" t="s">
        <v>284</v>
      </c>
      <c r="C198" s="6">
        <v>850950</v>
      </c>
      <c r="D198" s="6">
        <v>1195000</v>
      </c>
      <c r="E198" s="6">
        <f>C198-D198</f>
        <v>-344050</v>
      </c>
      <c r="F198" s="6">
        <f>IF(C198&lt;&gt;0, ((C198-D198)/C198)*100, 0)</f>
        <v>-40.431282684058992</v>
      </c>
    </row>
    <row r="199" spans="1:6" x14ac:dyDescent="0.25">
      <c r="A199" s="2" t="s">
        <v>285</v>
      </c>
      <c r="B199" s="2" t="s">
        <v>285</v>
      </c>
      <c r="C199" s="6">
        <v>33624873.68</v>
      </c>
      <c r="D199" s="6">
        <v>19867398.68</v>
      </c>
      <c r="E199" s="6">
        <f>C199-D199</f>
        <v>13757475</v>
      </c>
      <c r="F199" s="6">
        <f>IF(C199&lt;&gt;0, ((C199-D199)/C199)*100, 0)</f>
        <v>40.914577496786002</v>
      </c>
    </row>
    <row r="200" spans="1:6" x14ac:dyDescent="0.25">
      <c r="A200" s="2" t="s">
        <v>286</v>
      </c>
      <c r="B200" s="2" t="s">
        <v>286</v>
      </c>
      <c r="C200" s="6">
        <v>201533</v>
      </c>
      <c r="D200" s="6">
        <v>178697.72</v>
      </c>
      <c r="E200" s="6">
        <f>C200-D200</f>
        <v>22835.279999999999</v>
      </c>
      <c r="F200" s="6">
        <f>IF(C200&lt;&gt;0, ((C200-D200)/C200)*100, 0)</f>
        <v>11.330789498494042</v>
      </c>
    </row>
    <row r="201" spans="1:6" x14ac:dyDescent="0.25">
      <c r="A201" s="2" t="s">
        <v>287</v>
      </c>
      <c r="B201" s="2" t="s">
        <v>287</v>
      </c>
      <c r="C201" s="6">
        <v>10000</v>
      </c>
      <c r="D201" s="6">
        <v>8273</v>
      </c>
      <c r="E201" s="6">
        <f>C201-D201</f>
        <v>1727</v>
      </c>
      <c r="F201" s="6">
        <f>IF(C201&lt;&gt;0, ((C201-D201)/C201)*100, 0)</f>
        <v>17.27</v>
      </c>
    </row>
    <row r="202" spans="1:6" x14ac:dyDescent="0.25">
      <c r="A202" s="2" t="s">
        <v>288</v>
      </c>
      <c r="B202" s="2" t="s">
        <v>288</v>
      </c>
      <c r="C202" s="6">
        <v>1135900</v>
      </c>
      <c r="D202" s="6">
        <v>1015924.4</v>
      </c>
      <c r="E202" s="6">
        <f>C202-D202</f>
        <v>119975.59999999998</v>
      </c>
      <c r="F202" s="6">
        <f>IF(C202&lt;&gt;0, ((C202-D202)/C202)*100, 0)</f>
        <v>10.56216216216216</v>
      </c>
    </row>
    <row r="203" spans="1:6" x14ac:dyDescent="0.25">
      <c r="A203" s="2" t="s">
        <v>289</v>
      </c>
      <c r="B203" s="2" t="s">
        <v>289</v>
      </c>
      <c r="C203" s="6">
        <v>60900</v>
      </c>
      <c r="D203" s="6">
        <v>58000</v>
      </c>
      <c r="E203" s="6">
        <f>C203-D203</f>
        <v>2900</v>
      </c>
      <c r="F203" s="6">
        <f>IF(C203&lt;&gt;0, ((C203-D203)/C203)*100, 0)</f>
        <v>4.7619047619047619</v>
      </c>
    </row>
    <row r="204" spans="1:6" x14ac:dyDescent="0.25">
      <c r="A204" s="2" t="s">
        <v>290</v>
      </c>
      <c r="B204" s="2" t="s">
        <v>290</v>
      </c>
      <c r="C204" s="6">
        <v>352718</v>
      </c>
      <c r="D204" s="6">
        <v>290450.40000000002</v>
      </c>
      <c r="E204" s="6">
        <f>C204-D204</f>
        <v>62267.599999999977</v>
      </c>
      <c r="F204" s="6">
        <f>IF(C204&lt;&gt;0, ((C204-D204)/C204)*100, 0)</f>
        <v>17.653649657800273</v>
      </c>
    </row>
    <row r="205" spans="1:6" x14ac:dyDescent="0.25">
      <c r="A205" s="2" t="s">
        <v>291</v>
      </c>
      <c r="B205" s="2" t="s">
        <v>292</v>
      </c>
      <c r="C205" s="6">
        <v>4625</v>
      </c>
      <c r="D205" s="6">
        <v>3754.6</v>
      </c>
      <c r="E205" s="6">
        <f>C205-D205</f>
        <v>870.40000000000009</v>
      </c>
      <c r="F205" s="6">
        <f>IF(C205&lt;&gt;0, ((C205-D205)/C205)*100, 0)</f>
        <v>18.819459459459463</v>
      </c>
    </row>
    <row r="206" spans="1:6" x14ac:dyDescent="0.25">
      <c r="A206" s="2" t="s">
        <v>293</v>
      </c>
      <c r="B206" s="2" t="s">
        <v>294</v>
      </c>
      <c r="C206" s="6">
        <v>37070</v>
      </c>
      <c r="D206" s="6">
        <v>31641</v>
      </c>
      <c r="E206" s="6">
        <f>C206-D206</f>
        <v>5429</v>
      </c>
      <c r="F206" s="6">
        <f>IF(C206&lt;&gt;0, ((C206-D206)/C206)*100, 0)</f>
        <v>14.645265713514972</v>
      </c>
    </row>
    <row r="207" spans="1:6" x14ac:dyDescent="0.25">
      <c r="A207" s="2" t="s">
        <v>295</v>
      </c>
      <c r="B207" s="2" t="s">
        <v>295</v>
      </c>
      <c r="C207" s="6">
        <v>764812.72</v>
      </c>
      <c r="D207" s="6">
        <v>637285.86</v>
      </c>
      <c r="E207" s="6">
        <f>C207-D207</f>
        <v>127526.85999999999</v>
      </c>
      <c r="F207" s="6">
        <f>IF(C207&lt;&gt;0, ((C207-D207)/C207)*100, 0)</f>
        <v>16.674259810950844</v>
      </c>
    </row>
    <row r="208" spans="1:6" x14ac:dyDescent="0.25">
      <c r="A208" s="2" t="s">
        <v>296</v>
      </c>
      <c r="B208" s="2" t="s">
        <v>297</v>
      </c>
      <c r="C208" s="6">
        <v>1244814</v>
      </c>
      <c r="D208" s="6">
        <v>903170.06</v>
      </c>
      <c r="E208" s="6">
        <f>C208-D208</f>
        <v>341643.93999999994</v>
      </c>
      <c r="F208" s="6">
        <f>IF(C208&lt;&gt;0, ((C208-D208)/C208)*100, 0)</f>
        <v>27.445380595012587</v>
      </c>
    </row>
    <row r="209" spans="1:6" x14ac:dyDescent="0.25">
      <c r="A209" s="2" t="s">
        <v>298</v>
      </c>
      <c r="B209" s="2" t="s">
        <v>299</v>
      </c>
      <c r="C209" s="6">
        <v>-85</v>
      </c>
      <c r="E209" s="6">
        <f>C209-D209</f>
        <v>-85</v>
      </c>
      <c r="F209" s="6">
        <f>IF(C209&lt;&gt;0, ((C209-D209)/C209)*100, 0)</f>
        <v>100</v>
      </c>
    </row>
    <row r="210" spans="1:6" x14ac:dyDescent="0.25">
      <c r="A210" s="2" t="s">
        <v>300</v>
      </c>
      <c r="B210" s="2" t="s">
        <v>300</v>
      </c>
      <c r="C210" s="6">
        <v>36</v>
      </c>
      <c r="E210" s="6">
        <f>C210-D210</f>
        <v>36</v>
      </c>
      <c r="F210" s="6">
        <f>IF(C210&lt;&gt;0, ((C210-D210)/C210)*100, 0)</f>
        <v>100</v>
      </c>
    </row>
    <row r="211" spans="1:6" x14ac:dyDescent="0.25">
      <c r="A211" s="2" t="s">
        <v>301</v>
      </c>
      <c r="B211" s="2" t="s">
        <v>302</v>
      </c>
      <c r="C211" s="6">
        <v>68000</v>
      </c>
      <c r="D211" s="6">
        <v>58000</v>
      </c>
      <c r="E211" s="6">
        <f>C211-D211</f>
        <v>10000</v>
      </c>
      <c r="F211" s="6">
        <f>IF(C211&lt;&gt;0, ((C211-D211)/C211)*100, 0)</f>
        <v>14.705882352941178</v>
      </c>
    </row>
    <row r="212" spans="1:6" x14ac:dyDescent="0.25">
      <c r="A212" s="2" t="s">
        <v>303</v>
      </c>
      <c r="B212" s="2" t="s">
        <v>303</v>
      </c>
      <c r="C212" s="6">
        <v>19160</v>
      </c>
      <c r="E212" s="6">
        <f>C212-D212</f>
        <v>19160</v>
      </c>
      <c r="F212" s="6">
        <f>IF(C212&lt;&gt;0, ((C212-D212)/C212)*100, 0)</f>
        <v>100</v>
      </c>
    </row>
    <row r="213" spans="1:6" x14ac:dyDescent="0.25">
      <c r="A213" s="2" t="s">
        <v>304</v>
      </c>
      <c r="B213" s="2" t="s">
        <v>304</v>
      </c>
      <c r="C213" s="6">
        <v>14742762.67</v>
      </c>
      <c r="D213" s="6">
        <v>11936910.74</v>
      </c>
      <c r="E213" s="6">
        <f>C213-D213</f>
        <v>2805851.9299999997</v>
      </c>
      <c r="F213" s="6">
        <f>IF(C213&lt;&gt;0, ((C213-D213)/C213)*100, 0)</f>
        <v>19.032063343932265</v>
      </c>
    </row>
    <row r="214" spans="1:6" x14ac:dyDescent="0.25">
      <c r="A214" s="2" t="s">
        <v>305</v>
      </c>
      <c r="B214" s="2" t="s">
        <v>305</v>
      </c>
      <c r="C214" s="6">
        <v>7500</v>
      </c>
      <c r="D214" s="6">
        <v>6109.2</v>
      </c>
      <c r="E214" s="6">
        <f>C214-D214</f>
        <v>1390.8000000000002</v>
      </c>
      <c r="F214" s="6">
        <f>IF(C214&lt;&gt;0, ((C214-D214)/C214)*100, 0)</f>
        <v>18.544</v>
      </c>
    </row>
    <row r="215" spans="1:6" x14ac:dyDescent="0.25">
      <c r="A215" s="2" t="s">
        <v>306</v>
      </c>
      <c r="B215" s="2" t="s">
        <v>307</v>
      </c>
      <c r="C215" s="6">
        <v>109733</v>
      </c>
      <c r="D215" s="6">
        <v>93462.16</v>
      </c>
      <c r="E215" s="6">
        <f>C215-D215</f>
        <v>16270.839999999997</v>
      </c>
      <c r="F215" s="6">
        <f>IF(C215&lt;&gt;0, ((C215-D215)/C215)*100, 0)</f>
        <v>14.827663510520988</v>
      </c>
    </row>
    <row r="216" spans="1:6" x14ac:dyDescent="0.25">
      <c r="A216" s="2" t="s">
        <v>308</v>
      </c>
      <c r="B216" s="2" t="s">
        <v>309</v>
      </c>
      <c r="C216" s="6">
        <v>323646</v>
      </c>
      <c r="D216" s="6">
        <v>286400</v>
      </c>
      <c r="E216" s="6">
        <f>C216-D216</f>
        <v>37246</v>
      </c>
      <c r="F216" s="6">
        <f>IF(C216&lt;&gt;0, ((C216-D216)/C216)*100, 0)</f>
        <v>11.508252844156887</v>
      </c>
    </row>
    <row r="217" spans="1:6" x14ac:dyDescent="0.25">
      <c r="A217" s="2" t="s">
        <v>310</v>
      </c>
      <c r="B217" s="2" t="s">
        <v>311</v>
      </c>
      <c r="C217" s="6">
        <v>1051958</v>
      </c>
      <c r="D217" s="6">
        <v>823045.65</v>
      </c>
      <c r="E217" s="6">
        <f>C217-D217</f>
        <v>228912.34999999998</v>
      </c>
      <c r="F217" s="6">
        <f>IF(C217&lt;&gt;0, ((C217-D217)/C217)*100, 0)</f>
        <v>21.760597856568417</v>
      </c>
    </row>
    <row r="218" spans="1:6" x14ac:dyDescent="0.25">
      <c r="A218" s="2" t="s">
        <v>312</v>
      </c>
      <c r="B218" s="2" t="s">
        <v>313</v>
      </c>
      <c r="C218" s="6">
        <v>-1</v>
      </c>
      <c r="E218" s="6">
        <f>C218-D218</f>
        <v>-1</v>
      </c>
      <c r="F218" s="6">
        <f>IF(C218&lt;&gt;0, ((C218-D218)/C218)*100, 0)</f>
        <v>100</v>
      </c>
    </row>
    <row r="219" spans="1:6" x14ac:dyDescent="0.25">
      <c r="A219" s="2" t="s">
        <v>314</v>
      </c>
      <c r="B219" s="2" t="s">
        <v>315</v>
      </c>
      <c r="C219" s="6">
        <v>29068</v>
      </c>
      <c r="D219" s="6">
        <v>28870.799999999999</v>
      </c>
      <c r="E219" s="6">
        <f>C219-D219</f>
        <v>197.20000000000073</v>
      </c>
      <c r="F219" s="6">
        <f>IF(C219&lt;&gt;0, ((C219-D219)/C219)*100, 0)</f>
        <v>0.67840924728223728</v>
      </c>
    </row>
    <row r="220" spans="1:6" x14ac:dyDescent="0.25">
      <c r="A220" s="2" t="s">
        <v>316</v>
      </c>
      <c r="B220" s="2" t="s">
        <v>317</v>
      </c>
      <c r="C220" s="6">
        <v>1605750</v>
      </c>
      <c r="D220" s="6">
        <v>1194365</v>
      </c>
      <c r="E220" s="6">
        <f>C220-D220</f>
        <v>411385</v>
      </c>
      <c r="F220" s="6">
        <f>IF(C220&lt;&gt;0, ((C220-D220)/C220)*100, 0)</f>
        <v>25.619492449011368</v>
      </c>
    </row>
    <row r="221" spans="1:6" x14ac:dyDescent="0.25">
      <c r="A221" s="2" t="s">
        <v>318</v>
      </c>
      <c r="B221" s="2" t="s">
        <v>319</v>
      </c>
      <c r="E221" s="6">
        <f>C221-D221</f>
        <v>0</v>
      </c>
      <c r="F221" s="6">
        <f>IF(C221&lt;&gt;0, ((C221-D221)/C221)*100, 0)</f>
        <v>0</v>
      </c>
    </row>
    <row r="222" spans="1:6" x14ac:dyDescent="0.25">
      <c r="A222" s="2" t="s">
        <v>320</v>
      </c>
      <c r="B222" s="2" t="s">
        <v>320</v>
      </c>
      <c r="C222" s="6">
        <v>-355</v>
      </c>
      <c r="E222" s="6">
        <f>C222-D222</f>
        <v>-355</v>
      </c>
      <c r="F222" s="6">
        <f>IF(C222&lt;&gt;0, ((C222-D222)/C222)*100, 0)</f>
        <v>100</v>
      </c>
    </row>
    <row r="223" spans="1:6" x14ac:dyDescent="0.25">
      <c r="A223" s="2" t="s">
        <v>321</v>
      </c>
      <c r="B223" s="2" t="s">
        <v>321</v>
      </c>
      <c r="C223" s="6">
        <v>-35</v>
      </c>
      <c r="E223" s="6">
        <f>C223-D223</f>
        <v>-35</v>
      </c>
      <c r="F223" s="6">
        <f>IF(C223&lt;&gt;0, ((C223-D223)/C223)*100, 0)</f>
        <v>100</v>
      </c>
    </row>
    <row r="224" spans="1:6" x14ac:dyDescent="0.25">
      <c r="A224" s="2" t="s">
        <v>322</v>
      </c>
      <c r="B224" s="2" t="s">
        <v>322</v>
      </c>
      <c r="C224" s="6">
        <v>37680</v>
      </c>
      <c r="D224" s="6">
        <v>17940</v>
      </c>
      <c r="E224" s="6">
        <f>C224-D224</f>
        <v>19740</v>
      </c>
      <c r="F224" s="6">
        <f>IF(C224&lt;&gt;0, ((C224-D224)/C224)*100, 0)</f>
        <v>52.388535031847141</v>
      </c>
    </row>
    <row r="225" spans="1:6" x14ac:dyDescent="0.25">
      <c r="A225" s="2" t="s">
        <v>323</v>
      </c>
      <c r="B225" s="2" t="s">
        <v>324</v>
      </c>
      <c r="C225" s="6">
        <v>328000</v>
      </c>
      <c r="D225" s="6">
        <v>281677</v>
      </c>
      <c r="E225" s="6">
        <f>C225-D225</f>
        <v>46323</v>
      </c>
      <c r="F225" s="6">
        <f>IF(C225&lt;&gt;0, ((C225-D225)/C225)*100, 0)</f>
        <v>14.122865853658537</v>
      </c>
    </row>
    <row r="226" spans="1:6" x14ac:dyDescent="0.25">
      <c r="A226" s="2" t="s">
        <v>325</v>
      </c>
      <c r="B226" s="2" t="s">
        <v>325</v>
      </c>
      <c r="C226" s="6">
        <v>3718.06</v>
      </c>
      <c r="D226" s="6">
        <v>3150.9</v>
      </c>
      <c r="E226" s="6">
        <f>C226-D226</f>
        <v>567.15999999999985</v>
      </c>
      <c r="F226" s="6">
        <f>IF(C226&lt;&gt;0, ((C226-D226)/C226)*100, 0)</f>
        <v>15.254191702124222</v>
      </c>
    </row>
    <row r="227" spans="1:6" x14ac:dyDescent="0.25">
      <c r="A227" s="2" t="s">
        <v>326</v>
      </c>
      <c r="B227" s="2" t="s">
        <v>326</v>
      </c>
      <c r="C227" s="6">
        <v>463956</v>
      </c>
      <c r="D227" s="6">
        <v>358244.5</v>
      </c>
      <c r="E227" s="6">
        <f>C227-D227</f>
        <v>105711.5</v>
      </c>
      <c r="F227" s="6">
        <f>IF(C227&lt;&gt;0, ((C227-D227)/C227)*100, 0)</f>
        <v>22.784811490744811</v>
      </c>
    </row>
    <row r="228" spans="1:6" x14ac:dyDescent="0.25">
      <c r="A228" s="2" t="s">
        <v>327</v>
      </c>
      <c r="B228" s="2" t="s">
        <v>327</v>
      </c>
      <c r="C228" s="6">
        <v>98770</v>
      </c>
      <c r="D228" s="6">
        <v>53860</v>
      </c>
      <c r="E228" s="6">
        <f>C228-D228</f>
        <v>44910</v>
      </c>
      <c r="F228" s="6">
        <f>IF(C228&lt;&gt;0, ((C228-D228)/C228)*100, 0)</f>
        <v>45.469272046167866</v>
      </c>
    </row>
    <row r="229" spans="1:6" x14ac:dyDescent="0.25">
      <c r="A229" s="2" t="s">
        <v>328</v>
      </c>
      <c r="B229" s="2" t="s">
        <v>328</v>
      </c>
      <c r="C229" s="6">
        <v>277017</v>
      </c>
      <c r="D229" s="6">
        <v>192444.16</v>
      </c>
      <c r="E229" s="6">
        <f>C229-D229</f>
        <v>84572.84</v>
      </c>
      <c r="F229" s="6">
        <f>IF(C229&lt;&gt;0, ((C229-D229)/C229)*100, 0)</f>
        <v>30.529837518997027</v>
      </c>
    </row>
    <row r="230" spans="1:6" x14ac:dyDescent="0.25">
      <c r="A230" s="2" t="s">
        <v>329</v>
      </c>
      <c r="B230" s="2" t="s">
        <v>329</v>
      </c>
      <c r="C230" s="6">
        <v>1147057</v>
      </c>
      <c r="D230" s="6">
        <v>986353.64</v>
      </c>
      <c r="E230" s="6">
        <f>C230-D230</f>
        <v>160703.35999999999</v>
      </c>
      <c r="F230" s="6">
        <f>IF(C230&lt;&gt;0, ((C230-D230)/C230)*100, 0)</f>
        <v>14.010058785221657</v>
      </c>
    </row>
    <row r="231" spans="1:6" x14ac:dyDescent="0.25">
      <c r="A231" s="2" t="s">
        <v>330</v>
      </c>
      <c r="B231" s="2" t="s">
        <v>330</v>
      </c>
      <c r="C231" s="6">
        <v>194930</v>
      </c>
      <c r="D231" s="6">
        <v>-174833.23</v>
      </c>
      <c r="E231" s="6">
        <f>C231-D231</f>
        <v>369763.23</v>
      </c>
      <c r="F231" s="6">
        <f>IF(C231&lt;&gt;0, ((C231-D231)/C231)*100, 0)</f>
        <v>189.69026317139486</v>
      </c>
    </row>
    <row r="232" spans="1:6" x14ac:dyDescent="0.25">
      <c r="A232" s="2" t="s">
        <v>331</v>
      </c>
      <c r="B232" s="2" t="s">
        <v>331</v>
      </c>
      <c r="C232" s="6">
        <v>57290</v>
      </c>
      <c r="D232" s="6">
        <v>52080</v>
      </c>
      <c r="E232" s="6">
        <f>C232-D232</f>
        <v>5210</v>
      </c>
      <c r="F232" s="6">
        <f>IF(C232&lt;&gt;0, ((C232-D232)/C232)*100, 0)</f>
        <v>9.0940827369523483</v>
      </c>
    </row>
    <row r="233" spans="1:6" x14ac:dyDescent="0.25">
      <c r="A233" s="2" t="s">
        <v>332</v>
      </c>
      <c r="B233" s="2" t="s">
        <v>332</v>
      </c>
      <c r="C233" s="6">
        <v>1081311</v>
      </c>
      <c r="D233" s="6">
        <v>881844.54</v>
      </c>
      <c r="E233" s="6">
        <f>C233-D233</f>
        <v>199466.45999999996</v>
      </c>
      <c r="F233" s="6">
        <f>IF(C233&lt;&gt;0, ((C233-D233)/C233)*100, 0)</f>
        <v>18.446724392889738</v>
      </c>
    </row>
    <row r="234" spans="1:6" x14ac:dyDescent="0.25">
      <c r="A234" s="2" t="s">
        <v>333</v>
      </c>
      <c r="B234" s="2" t="s">
        <v>333</v>
      </c>
      <c r="C234" s="6">
        <v>64750</v>
      </c>
      <c r="E234" s="6">
        <f>C234-D234</f>
        <v>64750</v>
      </c>
      <c r="F234" s="6">
        <f>IF(C234&lt;&gt;0, ((C234-D234)/C234)*100, 0)</f>
        <v>100</v>
      </c>
    </row>
    <row r="235" spans="1:6" x14ac:dyDescent="0.25">
      <c r="A235" s="2" t="s">
        <v>334</v>
      </c>
      <c r="B235" s="2" t="s">
        <v>334</v>
      </c>
      <c r="C235" s="6">
        <v>50738.12</v>
      </c>
      <c r="D235" s="6">
        <v>43145.05</v>
      </c>
      <c r="E235" s="6">
        <f>C235-D235</f>
        <v>7593.07</v>
      </c>
      <c r="F235" s="6">
        <f>IF(C235&lt;&gt;0, ((C235-D235)/C235)*100, 0)</f>
        <v>14.965217473568195</v>
      </c>
    </row>
    <row r="236" spans="1:6" x14ac:dyDescent="0.25">
      <c r="A236" s="2" t="s">
        <v>335</v>
      </c>
      <c r="B236" s="2" t="s">
        <v>335</v>
      </c>
      <c r="C236" s="6">
        <v>604660</v>
      </c>
      <c r="D236" s="6">
        <v>407100</v>
      </c>
      <c r="E236" s="6">
        <f>C236-D236</f>
        <v>197560</v>
      </c>
      <c r="F236" s="6">
        <f>IF(C236&lt;&gt;0, ((C236-D236)/C236)*100, 0)</f>
        <v>32.672907088281015</v>
      </c>
    </row>
    <row r="237" spans="1:6" x14ac:dyDescent="0.25">
      <c r="A237" s="2" t="s">
        <v>336</v>
      </c>
      <c r="B237" s="2" t="s">
        <v>337</v>
      </c>
      <c r="C237" s="6">
        <v>214650</v>
      </c>
      <c r="D237" s="6">
        <v>186420</v>
      </c>
      <c r="E237" s="6">
        <f>C237-D237</f>
        <v>28230</v>
      </c>
      <c r="F237" s="6">
        <f>IF(C237&lt;&gt;0, ((C237-D237)/C237)*100, 0)</f>
        <v>13.151642208245981</v>
      </c>
    </row>
    <row r="238" spans="1:6" x14ac:dyDescent="0.25">
      <c r="A238" s="2" t="s">
        <v>338</v>
      </c>
      <c r="B238" s="2" t="s">
        <v>338</v>
      </c>
      <c r="C238" s="6">
        <v>22480</v>
      </c>
      <c r="D238" s="6">
        <v>17471.240000000002</v>
      </c>
      <c r="E238" s="6">
        <f>C238-D238</f>
        <v>5008.7599999999984</v>
      </c>
      <c r="F238" s="6">
        <f>IF(C238&lt;&gt;0, ((C238-D238)/C238)*100, 0)</f>
        <v>22.28096085409252</v>
      </c>
    </row>
    <row r="239" spans="1:6" x14ac:dyDescent="0.25">
      <c r="A239" s="2" t="s">
        <v>339</v>
      </c>
      <c r="B239" s="2" t="s">
        <v>339</v>
      </c>
      <c r="C239" s="6">
        <v>140946</v>
      </c>
      <c r="D239" s="6">
        <v>112669.1</v>
      </c>
      <c r="E239" s="6">
        <f>C239-D239</f>
        <v>28276.899999999994</v>
      </c>
      <c r="F239" s="6">
        <f>IF(C239&lt;&gt;0, ((C239-D239)/C239)*100, 0)</f>
        <v>20.062222411419974</v>
      </c>
    </row>
    <row r="240" spans="1:6" x14ac:dyDescent="0.25">
      <c r="A240" s="2" t="s">
        <v>340</v>
      </c>
      <c r="B240" s="2" t="s">
        <v>341</v>
      </c>
      <c r="C240" s="6">
        <v>82640</v>
      </c>
      <c r="D240" s="6">
        <v>66845.600000000006</v>
      </c>
      <c r="E240" s="6">
        <f>C240-D240</f>
        <v>15794.399999999994</v>
      </c>
      <c r="F240" s="6">
        <f>IF(C240&lt;&gt;0, ((C240-D240)/C240)*100, 0)</f>
        <v>19.112294288480147</v>
      </c>
    </row>
    <row r="241" spans="1:6" x14ac:dyDescent="0.25">
      <c r="A241" s="2" t="s">
        <v>342</v>
      </c>
      <c r="B241" s="2" t="s">
        <v>342</v>
      </c>
      <c r="C241" s="6">
        <v>5600</v>
      </c>
      <c r="D241" s="6">
        <v>4645</v>
      </c>
      <c r="E241" s="6">
        <f>C241-D241</f>
        <v>955</v>
      </c>
      <c r="F241" s="6">
        <f>IF(C241&lt;&gt;0, ((C241-D241)/C241)*100, 0)</f>
        <v>17.053571428571431</v>
      </c>
    </row>
    <row r="242" spans="1:6" x14ac:dyDescent="0.25">
      <c r="A242" s="2" t="s">
        <v>343</v>
      </c>
      <c r="B242" s="2" t="s">
        <v>343</v>
      </c>
      <c r="C242" s="6">
        <v>-265</v>
      </c>
      <c r="E242" s="6">
        <f>C242-D242</f>
        <v>-265</v>
      </c>
      <c r="F242" s="6">
        <f>IF(C242&lt;&gt;0, ((C242-D242)/C242)*100, 0)</f>
        <v>100</v>
      </c>
    </row>
    <row r="243" spans="1:6" x14ac:dyDescent="0.25">
      <c r="A243" s="2" t="s">
        <v>344</v>
      </c>
      <c r="B243" s="2" t="s">
        <v>344</v>
      </c>
      <c r="C243" s="6">
        <v>118548.2</v>
      </c>
      <c r="D243" s="6">
        <v>97934.6</v>
      </c>
      <c r="E243" s="6">
        <f>C243-D243</f>
        <v>20613.599999999991</v>
      </c>
      <c r="F243" s="6">
        <f>IF(C243&lt;&gt;0, ((C243-D243)/C243)*100, 0)</f>
        <v>17.388370300012983</v>
      </c>
    </row>
    <row r="244" spans="1:6" x14ac:dyDescent="0.25">
      <c r="A244" s="2" t="s">
        <v>345</v>
      </c>
      <c r="B244" s="2" t="s">
        <v>345</v>
      </c>
      <c r="C244" s="6">
        <v>1639140</v>
      </c>
      <c r="D244" s="6">
        <v>1389658</v>
      </c>
      <c r="E244" s="6">
        <f>C244-D244</f>
        <v>249482</v>
      </c>
      <c r="F244" s="6">
        <f>IF(C244&lt;&gt;0, ((C244-D244)/C244)*100, 0)</f>
        <v>15.220298449186769</v>
      </c>
    </row>
    <row r="245" spans="1:6" x14ac:dyDescent="0.25">
      <c r="A245" s="2" t="s">
        <v>346</v>
      </c>
      <c r="B245" s="2" t="s">
        <v>346</v>
      </c>
      <c r="C245" s="6">
        <v>68439</v>
      </c>
      <c r="D245" s="6">
        <v>58084.05</v>
      </c>
      <c r="E245" s="6">
        <f>C245-D245</f>
        <v>10354.949999999997</v>
      </c>
      <c r="F245" s="6">
        <f>IF(C245&lt;&gt;0, ((C245-D245)/C245)*100, 0)</f>
        <v>15.130188927365969</v>
      </c>
    </row>
    <row r="246" spans="1:6" x14ac:dyDescent="0.25">
      <c r="A246" s="2" t="s">
        <v>347</v>
      </c>
      <c r="B246" s="2" t="s">
        <v>347</v>
      </c>
      <c r="C246" s="6">
        <v>43000</v>
      </c>
      <c r="D246" s="6">
        <v>39600</v>
      </c>
      <c r="E246" s="6">
        <f>C246-D246</f>
        <v>3400</v>
      </c>
      <c r="F246" s="6">
        <f>IF(C246&lt;&gt;0, ((C246-D246)/C246)*100, 0)</f>
        <v>7.9069767441860463</v>
      </c>
    </row>
    <row r="247" spans="1:6" x14ac:dyDescent="0.25">
      <c r="A247" s="2" t="s">
        <v>348</v>
      </c>
      <c r="B247" s="2" t="s">
        <v>348</v>
      </c>
      <c r="C247" s="6">
        <v>103830</v>
      </c>
      <c r="D247" s="6">
        <v>78054.5</v>
      </c>
      <c r="E247" s="6">
        <f>C247-D247</f>
        <v>25775.5</v>
      </c>
      <c r="F247" s="6">
        <f>IF(C247&lt;&gt;0, ((C247-D247)/C247)*100, 0)</f>
        <v>24.824713473947799</v>
      </c>
    </row>
    <row r="248" spans="1:6" x14ac:dyDescent="0.25">
      <c r="A248" s="2" t="s">
        <v>349</v>
      </c>
      <c r="B248" s="2" t="s">
        <v>349</v>
      </c>
      <c r="C248" s="6">
        <v>105</v>
      </c>
      <c r="E248" s="6">
        <f>C248-D248</f>
        <v>105</v>
      </c>
      <c r="F248" s="6">
        <f>IF(C248&lt;&gt;0, ((C248-D248)/C248)*100, 0)</f>
        <v>100</v>
      </c>
    </row>
    <row r="249" spans="1:6" x14ac:dyDescent="0.25">
      <c r="A249" s="2" t="s">
        <v>350</v>
      </c>
      <c r="B249" s="2" t="s">
        <v>350</v>
      </c>
      <c r="C249" s="6">
        <v>46840</v>
      </c>
      <c r="D249" s="6">
        <v>17940</v>
      </c>
      <c r="E249" s="6">
        <f>C249-D249</f>
        <v>28900</v>
      </c>
      <c r="F249" s="6">
        <f>IF(C249&lt;&gt;0, ((C249-D249)/C249)*100, 0)</f>
        <v>61.699402220324508</v>
      </c>
    </row>
    <row r="250" spans="1:6" x14ac:dyDescent="0.25">
      <c r="A250" s="2" t="s">
        <v>351</v>
      </c>
      <c r="B250" s="2" t="s">
        <v>352</v>
      </c>
      <c r="C250" s="6">
        <v>49080</v>
      </c>
      <c r="D250" s="6">
        <v>42147.74</v>
      </c>
      <c r="E250" s="6">
        <f>C250-D250</f>
        <v>6932.260000000002</v>
      </c>
      <c r="F250" s="6">
        <f>IF(C250&lt;&gt;0, ((C250-D250)/C250)*100, 0)</f>
        <v>14.124409127954365</v>
      </c>
    </row>
    <row r="251" spans="1:6" x14ac:dyDescent="0.25">
      <c r="A251" s="2" t="s">
        <v>353</v>
      </c>
      <c r="B251" s="2" t="s">
        <v>354</v>
      </c>
      <c r="C251" s="6">
        <v>24420</v>
      </c>
      <c r="D251" s="6">
        <v>20515.150000000001</v>
      </c>
      <c r="E251" s="6">
        <f>C251-D251</f>
        <v>3904.8499999999985</v>
      </c>
      <c r="F251" s="6">
        <f>IF(C251&lt;&gt;0, ((C251-D251)/C251)*100, 0)</f>
        <v>15.990376740376735</v>
      </c>
    </row>
    <row r="252" spans="1:6" x14ac:dyDescent="0.25">
      <c r="A252" s="2" t="s">
        <v>355</v>
      </c>
      <c r="B252" s="2" t="s">
        <v>355</v>
      </c>
      <c r="C252" s="6">
        <v>231350</v>
      </c>
      <c r="D252" s="6">
        <v>143520</v>
      </c>
      <c r="E252" s="6">
        <f>C252-D252</f>
        <v>87830</v>
      </c>
      <c r="F252" s="6">
        <f>IF(C252&lt;&gt;0, ((C252-D252)/C252)*100, 0)</f>
        <v>37.964123622217421</v>
      </c>
    </row>
    <row r="253" spans="1:6" x14ac:dyDescent="0.25">
      <c r="A253" s="2" t="s">
        <v>356</v>
      </c>
      <c r="B253" s="2" t="s">
        <v>356</v>
      </c>
      <c r="C253" s="6">
        <v>135000</v>
      </c>
      <c r="D253" s="6">
        <v>87150</v>
      </c>
      <c r="E253" s="6">
        <f>C253-D253</f>
        <v>47850</v>
      </c>
      <c r="F253" s="6">
        <f>IF(C253&lt;&gt;0, ((C253-D253)/C253)*100, 0)</f>
        <v>35.444444444444443</v>
      </c>
    </row>
    <row r="254" spans="1:6" x14ac:dyDescent="0.25">
      <c r="A254" s="2" t="s">
        <v>357</v>
      </c>
      <c r="B254" s="2" t="s">
        <v>357</v>
      </c>
      <c r="C254" s="6">
        <v>53120</v>
      </c>
      <c r="D254" s="6">
        <v>17366.8</v>
      </c>
      <c r="E254" s="6">
        <f>C254-D254</f>
        <v>35753.199999999997</v>
      </c>
      <c r="F254" s="6">
        <f>IF(C254&lt;&gt;0, ((C254-D254)/C254)*100, 0)</f>
        <v>67.306475903614455</v>
      </c>
    </row>
    <row r="255" spans="1:6" x14ac:dyDescent="0.25">
      <c r="A255" s="2" t="s">
        <v>358</v>
      </c>
      <c r="B255" s="2" t="s">
        <v>358</v>
      </c>
      <c r="C255" s="6">
        <v>885230.39</v>
      </c>
      <c r="D255" s="6">
        <v>676151.31</v>
      </c>
      <c r="E255" s="6">
        <f>C255-D255</f>
        <v>209079.07999999996</v>
      </c>
      <c r="F255" s="6">
        <f>IF(C255&lt;&gt;0, ((C255-D255)/C255)*100, 0)</f>
        <v>23.618606225211039</v>
      </c>
    </row>
    <row r="256" spans="1:6" x14ac:dyDescent="0.25">
      <c r="A256" s="2" t="s">
        <v>359</v>
      </c>
      <c r="B256" s="2" t="s">
        <v>359</v>
      </c>
      <c r="C256" s="6">
        <v>109265</v>
      </c>
      <c r="D256" s="6">
        <v>98469.33</v>
      </c>
      <c r="E256" s="6">
        <f>C256-D256</f>
        <v>10795.669999999998</v>
      </c>
      <c r="F256" s="6">
        <f>IF(C256&lt;&gt;0, ((C256-D256)/C256)*100, 0)</f>
        <v>9.8802635793712508</v>
      </c>
    </row>
    <row r="257" spans="1:6" x14ac:dyDescent="0.25">
      <c r="A257" s="2" t="s">
        <v>360</v>
      </c>
      <c r="B257" s="2" t="s">
        <v>360</v>
      </c>
      <c r="C257" s="6">
        <v>8036126.5999999996</v>
      </c>
      <c r="D257" s="6">
        <v>6292278.1500000004</v>
      </c>
      <c r="E257" s="6">
        <f>C257-D257</f>
        <v>1743848.4499999993</v>
      </c>
      <c r="F257" s="6">
        <f>IF(C257&lt;&gt;0, ((C257-D257)/C257)*100, 0)</f>
        <v>21.70011171800105</v>
      </c>
    </row>
    <row r="258" spans="1:6" x14ac:dyDescent="0.25">
      <c r="A258" s="2" t="s">
        <v>361</v>
      </c>
      <c r="B258" s="2" t="s">
        <v>361</v>
      </c>
      <c r="C258" s="6">
        <v>1156567</v>
      </c>
      <c r="D258" s="6">
        <v>1018783.6</v>
      </c>
      <c r="E258" s="6">
        <f>C258-D258</f>
        <v>137783.40000000002</v>
      </c>
      <c r="F258" s="6">
        <f>IF(C258&lt;&gt;0, ((C258-D258)/C258)*100, 0)</f>
        <v>11.913136031029765</v>
      </c>
    </row>
    <row r="259" spans="1:6" x14ac:dyDescent="0.25">
      <c r="A259" s="2" t="s">
        <v>362</v>
      </c>
      <c r="B259" s="2" t="s">
        <v>362</v>
      </c>
      <c r="C259" s="6">
        <v>-1780</v>
      </c>
      <c r="E259" s="6">
        <f>C259-D259</f>
        <v>-1780</v>
      </c>
      <c r="F259" s="6">
        <f>IF(C259&lt;&gt;0, ((C259-D259)/C259)*100, 0)</f>
        <v>100</v>
      </c>
    </row>
    <row r="260" spans="1:6" x14ac:dyDescent="0.25">
      <c r="A260" s="2" t="s">
        <v>363</v>
      </c>
      <c r="B260" s="2" t="s">
        <v>363</v>
      </c>
      <c r="C260" s="6">
        <v>-250</v>
      </c>
      <c r="E260" s="6">
        <f>C260-D260</f>
        <v>-250</v>
      </c>
      <c r="F260" s="6">
        <f>IF(C260&lt;&gt;0, ((C260-D260)/C260)*100, 0)</f>
        <v>100</v>
      </c>
    </row>
    <row r="261" spans="1:6" x14ac:dyDescent="0.25">
      <c r="A261" s="2" t="s">
        <v>364</v>
      </c>
      <c r="B261" s="2" t="s">
        <v>364</v>
      </c>
      <c r="C261" s="6">
        <v>-305</v>
      </c>
      <c r="E261" s="6">
        <f>C261-D261</f>
        <v>-305</v>
      </c>
      <c r="F261" s="6">
        <f>IF(C261&lt;&gt;0, ((C261-D261)/C261)*100, 0)</f>
        <v>100</v>
      </c>
    </row>
    <row r="262" spans="1:6" x14ac:dyDescent="0.25">
      <c r="A262" s="2" t="s">
        <v>365</v>
      </c>
      <c r="B262" s="2" t="s">
        <v>366</v>
      </c>
      <c r="C262" s="6">
        <v>-32</v>
      </c>
      <c r="E262" s="6">
        <f>C262-D262</f>
        <v>-32</v>
      </c>
      <c r="F262" s="6">
        <f>IF(C262&lt;&gt;0, ((C262-D262)/C262)*100, 0)</f>
        <v>100</v>
      </c>
    </row>
    <row r="263" spans="1:6" x14ac:dyDescent="0.25">
      <c r="A263" s="2" t="s">
        <v>367</v>
      </c>
      <c r="B263" s="2" t="s">
        <v>368</v>
      </c>
      <c r="C263" s="6">
        <v>-30</v>
      </c>
      <c r="E263" s="6">
        <f>C263-D263</f>
        <v>-30</v>
      </c>
      <c r="F263" s="6">
        <f>IF(C263&lt;&gt;0, ((C263-D263)/C263)*100, 0)</f>
        <v>100</v>
      </c>
    </row>
    <row r="264" spans="1:6" x14ac:dyDescent="0.25">
      <c r="A264" s="2" t="s">
        <v>369</v>
      </c>
      <c r="B264" s="2" t="s">
        <v>369</v>
      </c>
      <c r="C264" s="6">
        <v>23988</v>
      </c>
      <c r="D264" s="6">
        <v>21169</v>
      </c>
      <c r="E264" s="6">
        <f>C264-D264</f>
        <v>2819</v>
      </c>
      <c r="F264" s="6">
        <f>IF(C264&lt;&gt;0, ((C264-D264)/C264)*100, 0)</f>
        <v>11.751709187927297</v>
      </c>
    </row>
    <row r="265" spans="1:6" x14ac:dyDescent="0.25">
      <c r="A265" s="2" t="s">
        <v>370</v>
      </c>
      <c r="B265" s="2" t="s">
        <v>371</v>
      </c>
      <c r="C265" s="6">
        <v>-529</v>
      </c>
      <c r="E265" s="6">
        <f>C265-D265</f>
        <v>-529</v>
      </c>
      <c r="F265" s="6">
        <f>IF(C265&lt;&gt;0, ((C265-D265)/C265)*100, 0)</f>
        <v>100</v>
      </c>
    </row>
    <row r="266" spans="1:6" x14ac:dyDescent="0.25">
      <c r="A266" s="2" t="s">
        <v>372</v>
      </c>
      <c r="B266" s="2" t="s">
        <v>372</v>
      </c>
      <c r="C266" s="6">
        <v>3167700</v>
      </c>
      <c r="D266" s="6">
        <v>2844000</v>
      </c>
      <c r="E266" s="6">
        <f>C266-D266</f>
        <v>323700</v>
      </c>
      <c r="F266" s="6">
        <f>IF(C266&lt;&gt;0, ((C266-D266)/C266)*100, 0)</f>
        <v>10.218770716923951</v>
      </c>
    </row>
    <row r="267" spans="1:6" x14ac:dyDescent="0.25">
      <c r="A267" s="2" t="s">
        <v>373</v>
      </c>
      <c r="B267" s="2" t="s">
        <v>374</v>
      </c>
      <c r="C267" s="6">
        <v>819668</v>
      </c>
      <c r="D267" s="6">
        <v>722659.29</v>
      </c>
      <c r="E267" s="6">
        <f>C267-D267</f>
        <v>97008.709999999963</v>
      </c>
      <c r="F267" s="6">
        <f>IF(C267&lt;&gt;0, ((C267-D267)/C267)*100, 0)</f>
        <v>11.835122269016232</v>
      </c>
    </row>
    <row r="268" spans="1:6" x14ac:dyDescent="0.25">
      <c r="A268" s="2" t="s">
        <v>375</v>
      </c>
      <c r="B268" s="2" t="s">
        <v>375</v>
      </c>
      <c r="C268" s="6">
        <v>-60</v>
      </c>
      <c r="E268" s="6">
        <f>C268-D268</f>
        <v>-60</v>
      </c>
      <c r="F268" s="6">
        <f>IF(C268&lt;&gt;0, ((C268-D268)/C268)*100, 0)</f>
        <v>100</v>
      </c>
    </row>
    <row r="269" spans="1:6" x14ac:dyDescent="0.25">
      <c r="A269" s="2" t="s">
        <v>376</v>
      </c>
      <c r="B269" s="2" t="s">
        <v>376</v>
      </c>
      <c r="C269" s="6">
        <v>3290908</v>
      </c>
      <c r="D269" s="6">
        <v>2528271.37</v>
      </c>
      <c r="E269" s="6">
        <f>C269-D269</f>
        <v>762636.62999999989</v>
      </c>
      <c r="F269" s="6">
        <f>IF(C269&lt;&gt;0, ((C269-D269)/C269)*100, 0)</f>
        <v>23.17404892509909</v>
      </c>
    </row>
    <row r="270" spans="1:6" x14ac:dyDescent="0.25">
      <c r="A270" s="2" t="s">
        <v>377</v>
      </c>
      <c r="B270" s="2" t="s">
        <v>377</v>
      </c>
      <c r="C270" s="6">
        <v>145399885.58000001</v>
      </c>
      <c r="D270" s="6">
        <v>119563806.2</v>
      </c>
      <c r="E270" s="6">
        <f>C270-D270</f>
        <v>25836079.38000001</v>
      </c>
      <c r="F270" s="6">
        <f>IF(C270&lt;&gt;0, ((C270-D270)/C270)*100, 0)</f>
        <v>17.768981919717415</v>
      </c>
    </row>
    <row r="271" spans="1:6" x14ac:dyDescent="0.25">
      <c r="A271" s="2" t="s">
        <v>378</v>
      </c>
      <c r="B271" s="2" t="s">
        <v>378</v>
      </c>
      <c r="C271" s="6">
        <v>3747854.3</v>
      </c>
      <c r="D271" s="6">
        <v>2500770.88</v>
      </c>
      <c r="E271" s="6">
        <f>C271-D271</f>
        <v>1247083.42</v>
      </c>
      <c r="F271" s="6">
        <f>IF(C271&lt;&gt;0, ((C271-D271)/C271)*100, 0)</f>
        <v>33.274597147493168</v>
      </c>
    </row>
    <row r="272" spans="1:6" x14ac:dyDescent="0.25">
      <c r="A272" s="2" t="s">
        <v>379</v>
      </c>
      <c r="B272" s="2" t="s">
        <v>379</v>
      </c>
      <c r="C272" s="6">
        <v>685</v>
      </c>
      <c r="E272" s="6">
        <f>C272-D272</f>
        <v>685</v>
      </c>
      <c r="F272" s="6">
        <f>IF(C272&lt;&gt;0, ((C272-D272)/C272)*100, 0)</f>
        <v>100</v>
      </c>
    </row>
    <row r="273" spans="1:6" x14ac:dyDescent="0.25">
      <c r="A273" s="2" t="s">
        <v>380</v>
      </c>
      <c r="B273" s="2" t="s">
        <v>380</v>
      </c>
      <c r="C273" s="6">
        <v>913412.8</v>
      </c>
      <c r="D273" s="6">
        <v>914321.6</v>
      </c>
      <c r="E273" s="6">
        <f>C273-D273</f>
        <v>-908.79999999993015</v>
      </c>
      <c r="F273" s="6">
        <f>IF(C273&lt;&gt;0, ((C273-D273)/C273)*100, 0)</f>
        <v>-9.949499284441056E-2</v>
      </c>
    </row>
    <row r="274" spans="1:6" x14ac:dyDescent="0.25">
      <c r="A274" s="2" t="s">
        <v>381</v>
      </c>
      <c r="B274" s="2" t="s">
        <v>382</v>
      </c>
      <c r="C274" s="6">
        <v>48840</v>
      </c>
      <c r="D274" s="6">
        <v>41400</v>
      </c>
      <c r="E274" s="6">
        <f>C274-D274</f>
        <v>7440</v>
      </c>
      <c r="F274" s="6">
        <f>IF(C274&lt;&gt;0, ((C274-D274)/C274)*100, 0)</f>
        <v>15.233415233415235</v>
      </c>
    </row>
    <row r="275" spans="1:6" x14ac:dyDescent="0.25">
      <c r="A275" s="2" t="s">
        <v>383</v>
      </c>
      <c r="B275" s="2" t="s">
        <v>383</v>
      </c>
      <c r="C275" s="6">
        <v>-5</v>
      </c>
      <c r="E275" s="6">
        <f>C275-D275</f>
        <v>-5</v>
      </c>
      <c r="F275" s="6">
        <f>IF(C275&lt;&gt;0, ((C275-D275)/C275)*100, 0)</f>
        <v>100</v>
      </c>
    </row>
    <row r="276" spans="1:6" x14ac:dyDescent="0.25">
      <c r="A276" s="2" t="s">
        <v>384</v>
      </c>
      <c r="B276" s="2" t="s">
        <v>385</v>
      </c>
      <c r="C276" s="6">
        <v>158000</v>
      </c>
      <c r="D276" s="6">
        <v>138000</v>
      </c>
      <c r="E276" s="6">
        <f>C276-D276</f>
        <v>20000</v>
      </c>
      <c r="F276" s="6">
        <f>IF(C276&lt;&gt;0, ((C276-D276)/C276)*100, 0)</f>
        <v>12.658227848101266</v>
      </c>
    </row>
    <row r="277" spans="1:6" x14ac:dyDescent="0.25">
      <c r="A277" s="2" t="s">
        <v>386</v>
      </c>
      <c r="B277" s="2" t="s">
        <v>386</v>
      </c>
      <c r="C277" s="6">
        <v>11650902.68</v>
      </c>
      <c r="D277" s="6">
        <v>9126355.9800000004</v>
      </c>
      <c r="E277" s="6">
        <f>C277-D277</f>
        <v>2524546.6999999993</v>
      </c>
      <c r="F277" s="6">
        <f>IF(C277&lt;&gt;0, ((C277-D277)/C277)*100, 0)</f>
        <v>21.668249828690524</v>
      </c>
    </row>
    <row r="278" spans="1:6" x14ac:dyDescent="0.25">
      <c r="A278" s="2" t="s">
        <v>387</v>
      </c>
      <c r="B278" s="2" t="s">
        <v>388</v>
      </c>
      <c r="C278" s="6">
        <v>-155</v>
      </c>
      <c r="E278" s="6">
        <f>C278-D278</f>
        <v>-155</v>
      </c>
      <c r="F278" s="6">
        <f>IF(C278&lt;&gt;0, ((C278-D278)/C278)*100, 0)</f>
        <v>100</v>
      </c>
    </row>
    <row r="279" spans="1:6" x14ac:dyDescent="0.25">
      <c r="A279" s="2" t="s">
        <v>389</v>
      </c>
      <c r="B279" s="2" t="s">
        <v>389</v>
      </c>
      <c r="C279" s="6">
        <v>-40</v>
      </c>
      <c r="E279" s="6">
        <f>C279-D279</f>
        <v>-40</v>
      </c>
      <c r="F279" s="6">
        <f>IF(C279&lt;&gt;0, ((C279-D279)/C279)*100, 0)</f>
        <v>100</v>
      </c>
    </row>
    <row r="280" spans="1:6" x14ac:dyDescent="0.25">
      <c r="A280" s="2" t="s">
        <v>390</v>
      </c>
      <c r="B280" s="2" t="s">
        <v>390</v>
      </c>
      <c r="C280" s="6">
        <v>24100</v>
      </c>
      <c r="D280" s="6">
        <v>19961</v>
      </c>
      <c r="E280" s="6">
        <f>C280-D280</f>
        <v>4139</v>
      </c>
      <c r="F280" s="6">
        <f>IF(C280&lt;&gt;0, ((C280-D280)/C280)*100, 0)</f>
        <v>17.174273858921161</v>
      </c>
    </row>
    <row r="281" spans="1:6" x14ac:dyDescent="0.25">
      <c r="A281" s="2" t="s">
        <v>391</v>
      </c>
      <c r="B281" s="2" t="s">
        <v>392</v>
      </c>
      <c r="C281" s="6">
        <v>5600</v>
      </c>
      <c r="D281" s="6">
        <v>4645</v>
      </c>
      <c r="E281" s="6">
        <f>C281-D281</f>
        <v>955</v>
      </c>
      <c r="F281" s="6">
        <f>IF(C281&lt;&gt;0, ((C281-D281)/C281)*100, 0)</f>
        <v>17.053571428571431</v>
      </c>
    </row>
    <row r="282" spans="1:6" x14ac:dyDescent="0.25">
      <c r="A282" s="2" t="s">
        <v>393</v>
      </c>
      <c r="B282" s="2" t="s">
        <v>393</v>
      </c>
      <c r="C282" s="6">
        <v>-104</v>
      </c>
      <c r="E282" s="6">
        <f>C282-D282</f>
        <v>-104</v>
      </c>
      <c r="F282" s="6">
        <f>IF(C282&lt;&gt;0, ((C282-D282)/C282)*100, 0)</f>
        <v>100</v>
      </c>
    </row>
    <row r="283" spans="1:6" x14ac:dyDescent="0.25">
      <c r="A283" s="2" t="s">
        <v>394</v>
      </c>
      <c r="B283" s="2" t="s">
        <v>394</v>
      </c>
      <c r="C283" s="6">
        <v>74040</v>
      </c>
      <c r="D283" s="6">
        <v>58242</v>
      </c>
      <c r="E283" s="6">
        <f>C283-D283</f>
        <v>15798</v>
      </c>
      <c r="F283" s="6">
        <f>IF(C283&lt;&gt;0, ((C283-D283)/C283)*100, 0)</f>
        <v>21.33711507293355</v>
      </c>
    </row>
    <row r="284" spans="1:6" x14ac:dyDescent="0.25">
      <c r="A284" s="2" t="s">
        <v>395</v>
      </c>
      <c r="B284" s="2" t="s">
        <v>395</v>
      </c>
      <c r="C284" s="6">
        <v>21586471.5</v>
      </c>
      <c r="D284" s="6">
        <v>16273706.890000001</v>
      </c>
      <c r="E284" s="6">
        <f>C284-D284</f>
        <v>5312764.6099999994</v>
      </c>
      <c r="F284" s="6">
        <f>IF(C284&lt;&gt;0, ((C284-D284)/C284)*100, 0)</f>
        <v>24.611547144237999</v>
      </c>
    </row>
    <row r="285" spans="1:6" x14ac:dyDescent="0.25">
      <c r="A285" s="2" t="s">
        <v>396</v>
      </c>
      <c r="B285" s="2" t="s">
        <v>396</v>
      </c>
      <c r="C285" s="6">
        <v>26173</v>
      </c>
      <c r="D285" s="6">
        <v>16076</v>
      </c>
      <c r="E285" s="6">
        <f>C285-D285</f>
        <v>10097</v>
      </c>
      <c r="F285" s="6">
        <f>IF(C285&lt;&gt;0, ((C285-D285)/C285)*100, 0)</f>
        <v>38.577923814618117</v>
      </c>
    </row>
    <row r="286" spans="1:6" x14ac:dyDescent="0.25">
      <c r="A286" s="2" t="s">
        <v>397</v>
      </c>
      <c r="B286" s="2" t="s">
        <v>397</v>
      </c>
      <c r="C286" s="6">
        <v>10</v>
      </c>
      <c r="E286" s="6">
        <f>C286-D286</f>
        <v>10</v>
      </c>
      <c r="F286" s="6">
        <f>IF(C286&lt;&gt;0, ((C286-D286)/C286)*100, 0)</f>
        <v>100</v>
      </c>
    </row>
    <row r="287" spans="1:6" x14ac:dyDescent="0.25">
      <c r="A287" s="2" t="s">
        <v>398</v>
      </c>
      <c r="B287" s="2" t="s">
        <v>398</v>
      </c>
      <c r="C287" s="6">
        <v>46782</v>
      </c>
      <c r="D287" s="6">
        <v>41030.300000000003</v>
      </c>
      <c r="E287" s="6">
        <f>C287-D287</f>
        <v>5751.6999999999971</v>
      </c>
      <c r="F287" s="6">
        <f>IF(C287&lt;&gt;0, ((C287-D287)/C287)*100, 0)</f>
        <v>12.294685990338158</v>
      </c>
    </row>
    <row r="288" spans="1:6" x14ac:dyDescent="0.25">
      <c r="A288" s="2" t="s">
        <v>399</v>
      </c>
      <c r="B288" s="2" t="s">
        <v>399</v>
      </c>
      <c r="C288" s="6">
        <v>33037</v>
      </c>
      <c r="D288" s="6">
        <v>24215.599999999999</v>
      </c>
      <c r="E288" s="6">
        <f>C288-D288</f>
        <v>8821.4000000000015</v>
      </c>
      <c r="F288" s="6">
        <f>IF(C288&lt;&gt;0, ((C288-D288)/C288)*100, 0)</f>
        <v>26.701577019705187</v>
      </c>
    </row>
    <row r="289" spans="1:6" x14ac:dyDescent="0.25">
      <c r="A289" s="2" t="s">
        <v>400</v>
      </c>
      <c r="B289" s="2" t="s">
        <v>400</v>
      </c>
      <c r="C289" s="6">
        <v>-17.600000000000001</v>
      </c>
      <c r="E289" s="6">
        <f>C289-D289</f>
        <v>-17.600000000000001</v>
      </c>
      <c r="F289" s="6">
        <f>IF(C289&lt;&gt;0, ((C289-D289)/C289)*100, 0)</f>
        <v>100</v>
      </c>
    </row>
    <row r="290" spans="1:6" x14ac:dyDescent="0.25">
      <c r="A290" s="2" t="s">
        <v>401</v>
      </c>
      <c r="B290" s="2" t="s">
        <v>402</v>
      </c>
      <c r="C290" s="6">
        <v>79640</v>
      </c>
      <c r="D290" s="6">
        <v>66992.5</v>
      </c>
      <c r="E290" s="6">
        <f>C290-D290</f>
        <v>12647.5</v>
      </c>
      <c r="F290" s="6">
        <f>IF(C290&lt;&gt;0, ((C290-D290)/C290)*100, 0)</f>
        <v>15.880838774485184</v>
      </c>
    </row>
    <row r="291" spans="1:6" x14ac:dyDescent="0.25">
      <c r="A291" s="2" t="s">
        <v>403</v>
      </c>
      <c r="B291" s="2" t="s">
        <v>403</v>
      </c>
      <c r="C291" s="6">
        <v>4697844.22</v>
      </c>
      <c r="D291" s="6">
        <v>3641990.31</v>
      </c>
      <c r="E291" s="6">
        <f>C291-D291</f>
        <v>1055853.9099999997</v>
      </c>
      <c r="F291" s="6">
        <f>IF(C291&lt;&gt;0, ((C291-D291)/C291)*100, 0)</f>
        <v>22.475285696042082</v>
      </c>
    </row>
    <row r="292" spans="1:6" x14ac:dyDescent="0.25">
      <c r="A292" s="2" t="s">
        <v>404</v>
      </c>
      <c r="B292" s="2" t="s">
        <v>405</v>
      </c>
      <c r="C292" s="6">
        <v>220255</v>
      </c>
      <c r="D292" s="6">
        <v>181972</v>
      </c>
      <c r="E292" s="6">
        <f>C292-D292</f>
        <v>38283</v>
      </c>
      <c r="F292" s="6">
        <f>IF(C292&lt;&gt;0, ((C292-D292)/C292)*100, 0)</f>
        <v>17.381217225488637</v>
      </c>
    </row>
    <row r="293" spans="1:6" x14ac:dyDescent="0.25">
      <c r="A293" s="2" t="s">
        <v>406</v>
      </c>
      <c r="B293" s="2" t="s">
        <v>407</v>
      </c>
      <c r="C293" s="6">
        <v>2000</v>
      </c>
      <c r="D293" s="6">
        <v>1654.6</v>
      </c>
      <c r="E293" s="6">
        <f>C293-D293</f>
        <v>345.40000000000009</v>
      </c>
      <c r="F293" s="6">
        <f>IF(C293&lt;&gt;0, ((C293-D293)/C293)*100, 0)</f>
        <v>17.270000000000003</v>
      </c>
    </row>
    <row r="294" spans="1:6" x14ac:dyDescent="0.25">
      <c r="A294" s="2" t="s">
        <v>408</v>
      </c>
      <c r="B294" s="2" t="s">
        <v>408</v>
      </c>
      <c r="C294" s="6">
        <v>798800</v>
      </c>
      <c r="D294" s="6">
        <v>366360</v>
      </c>
      <c r="E294" s="6">
        <f>C294-D294</f>
        <v>432440</v>
      </c>
      <c r="F294" s="6">
        <f>IF(C294&lt;&gt;0, ((C294-D294)/C294)*100, 0)</f>
        <v>54.136204306459689</v>
      </c>
    </row>
    <row r="295" spans="1:6" x14ac:dyDescent="0.25">
      <c r="A295" s="2" t="s">
        <v>409</v>
      </c>
      <c r="B295" s="2" t="s">
        <v>409</v>
      </c>
      <c r="C295" s="6">
        <v>80677754.200000003</v>
      </c>
      <c r="D295" s="6">
        <v>70839772.959999993</v>
      </c>
      <c r="E295" s="6">
        <f>C295-D295</f>
        <v>9837981.2400000095</v>
      </c>
      <c r="F295" s="6">
        <f>IF(C295&lt;&gt;0, ((C295-D295)/C295)*100, 0)</f>
        <v>12.194168439061494</v>
      </c>
    </row>
    <row r="296" spans="1:6" x14ac:dyDescent="0.25">
      <c r="A296" s="2" t="s">
        <v>410</v>
      </c>
      <c r="B296" s="2" t="s">
        <v>410</v>
      </c>
      <c r="C296" s="6">
        <v>173342</v>
      </c>
      <c r="D296" s="6">
        <v>147290</v>
      </c>
      <c r="E296" s="6">
        <f>C296-D296</f>
        <v>26052</v>
      </c>
      <c r="F296" s="6">
        <f>IF(C296&lt;&gt;0, ((C296-D296)/C296)*100, 0)</f>
        <v>15.029248537573119</v>
      </c>
    </row>
    <row r="297" spans="1:6" x14ac:dyDescent="0.25">
      <c r="A297" s="2" t="s">
        <v>411</v>
      </c>
      <c r="B297" s="2" t="s">
        <v>412</v>
      </c>
      <c r="C297" s="6">
        <v>27950</v>
      </c>
      <c r="D297" s="6">
        <v>26930</v>
      </c>
      <c r="E297" s="6">
        <f>C297-D297</f>
        <v>1020</v>
      </c>
      <c r="F297" s="6">
        <f>IF(C297&lt;&gt;0, ((C297-D297)/C297)*100, 0)</f>
        <v>3.6493738819320214</v>
      </c>
    </row>
    <row r="298" spans="1:6" x14ac:dyDescent="0.25">
      <c r="A298" s="2" t="s">
        <v>413</v>
      </c>
      <c r="B298" s="2" t="s">
        <v>414</v>
      </c>
      <c r="C298" s="6">
        <v>661816</v>
      </c>
      <c r="D298" s="6">
        <v>561670.19999999995</v>
      </c>
      <c r="E298" s="6">
        <f>C298-D298</f>
        <v>100145.80000000005</v>
      </c>
      <c r="F298" s="6">
        <f>IF(C298&lt;&gt;0, ((C298-D298)/C298)*100, 0)</f>
        <v>15.131970215286431</v>
      </c>
    </row>
    <row r="299" spans="1:6" x14ac:dyDescent="0.25">
      <c r="A299" s="2" t="s">
        <v>415</v>
      </c>
      <c r="B299" s="2" t="s">
        <v>416</v>
      </c>
      <c r="C299" s="6">
        <v>42169</v>
      </c>
      <c r="D299" s="6">
        <v>34816.54</v>
      </c>
      <c r="E299" s="6">
        <f>C299-D299</f>
        <v>7352.4599999999991</v>
      </c>
      <c r="F299" s="6">
        <f>IF(C299&lt;&gt;0, ((C299-D299)/C299)*100, 0)</f>
        <v>17.435699210320376</v>
      </c>
    </row>
    <row r="300" spans="1:6" x14ac:dyDescent="0.25">
      <c r="A300" s="2" t="s">
        <v>417</v>
      </c>
      <c r="B300" s="2" t="s">
        <v>418</v>
      </c>
      <c r="C300" s="6">
        <v>30618464.399999999</v>
      </c>
      <c r="D300" s="6">
        <v>23806251.48</v>
      </c>
      <c r="E300" s="6">
        <f>C300-D300</f>
        <v>6812212.9199999981</v>
      </c>
      <c r="F300" s="6">
        <f>IF(C300&lt;&gt;0, ((C300-D300)/C300)*100, 0)</f>
        <v>22.248708592975678</v>
      </c>
    </row>
    <row r="301" spans="1:6" x14ac:dyDescent="0.25">
      <c r="A301" s="2" t="s">
        <v>419</v>
      </c>
      <c r="B301" s="2" t="s">
        <v>420</v>
      </c>
      <c r="C301" s="6">
        <v>4315609.4000000004</v>
      </c>
      <c r="D301" s="6">
        <v>3294001.74</v>
      </c>
      <c r="E301" s="6">
        <f>C301-D301</f>
        <v>1021607.6600000001</v>
      </c>
      <c r="F301" s="6">
        <f>IF(C301&lt;&gt;0, ((C301-D301)/C301)*100, 0)</f>
        <v>23.672384715817888</v>
      </c>
    </row>
    <row r="302" spans="1:6" x14ac:dyDescent="0.25">
      <c r="A302" s="2" t="s">
        <v>421</v>
      </c>
      <c r="B302" s="2" t="s">
        <v>421</v>
      </c>
      <c r="C302" s="6">
        <v>9580</v>
      </c>
      <c r="D302" s="6">
        <v>8565</v>
      </c>
      <c r="E302" s="6">
        <f>C302-D302</f>
        <v>1015</v>
      </c>
      <c r="F302" s="6">
        <f>IF(C302&lt;&gt;0, ((C302-D302)/C302)*100, 0)</f>
        <v>10.594989561586639</v>
      </c>
    </row>
    <row r="303" spans="1:6" x14ac:dyDescent="0.25">
      <c r="A303" s="2" t="s">
        <v>422</v>
      </c>
      <c r="B303" s="2" t="s">
        <v>423</v>
      </c>
      <c r="C303" s="6">
        <v>26830</v>
      </c>
      <c r="D303" s="6">
        <v>22325.24</v>
      </c>
      <c r="E303" s="6">
        <f>C303-D303</f>
        <v>4504.7599999999984</v>
      </c>
      <c r="F303" s="6">
        <f>IF(C303&lt;&gt;0, ((C303-D303)/C303)*100, 0)</f>
        <v>16.790011181513226</v>
      </c>
    </row>
    <row r="304" spans="1:6" x14ac:dyDescent="0.25">
      <c r="A304" s="2" t="s">
        <v>424</v>
      </c>
      <c r="B304" s="2" t="s">
        <v>425</v>
      </c>
      <c r="C304" s="6">
        <v>25852</v>
      </c>
      <c r="D304" s="6">
        <v>20676</v>
      </c>
      <c r="E304" s="6">
        <f>C304-D304</f>
        <v>5176</v>
      </c>
      <c r="F304" s="6">
        <f>IF(C304&lt;&gt;0, ((C304-D304)/C304)*100, 0)</f>
        <v>20.021661766981278</v>
      </c>
    </row>
    <row r="305" spans="1:6" x14ac:dyDescent="0.25">
      <c r="A305" s="2" t="s">
        <v>426</v>
      </c>
      <c r="B305" s="2" t="s">
        <v>427</v>
      </c>
      <c r="C305" s="6">
        <v>950064</v>
      </c>
      <c r="D305" s="6">
        <v>679151.63</v>
      </c>
      <c r="E305" s="6">
        <f>C305-D305</f>
        <v>270912.37</v>
      </c>
      <c r="F305" s="6">
        <f>IF(C305&lt;&gt;0, ((C305-D305)/C305)*100, 0)</f>
        <v>28.515170556930901</v>
      </c>
    </row>
    <row r="306" spans="1:6" x14ac:dyDescent="0.25">
      <c r="A306" s="2" t="s">
        <v>428</v>
      </c>
      <c r="B306" s="2" t="s">
        <v>428</v>
      </c>
      <c r="C306" s="6">
        <v>765942.8</v>
      </c>
      <c r="D306" s="6">
        <v>521510.85</v>
      </c>
      <c r="E306" s="6">
        <f>C306-D306</f>
        <v>244431.95000000007</v>
      </c>
      <c r="F306" s="6">
        <f>IF(C306&lt;&gt;0, ((C306-D306)/C306)*100, 0)</f>
        <v>31.912559266827767</v>
      </c>
    </row>
    <row r="307" spans="1:6" x14ac:dyDescent="0.25">
      <c r="A307" s="2" t="s">
        <v>429</v>
      </c>
      <c r="B307" s="2" t="s">
        <v>429</v>
      </c>
      <c r="C307" s="6">
        <v>418915</v>
      </c>
      <c r="D307" s="6">
        <v>312222.58</v>
      </c>
      <c r="E307" s="6">
        <f>C307-D307</f>
        <v>106692.41999999998</v>
      </c>
      <c r="F307" s="6">
        <f>IF(C307&lt;&gt;0, ((C307-D307)/C307)*100, 0)</f>
        <v>25.468751417351964</v>
      </c>
    </row>
    <row r="308" spans="1:6" x14ac:dyDescent="0.25">
      <c r="A308" s="2" t="s">
        <v>430</v>
      </c>
      <c r="B308" s="2" t="s">
        <v>431</v>
      </c>
      <c r="C308" s="6">
        <v>130875</v>
      </c>
      <c r="E308" s="6">
        <f>C308-D308</f>
        <v>130875</v>
      </c>
      <c r="F308" s="6">
        <f>IF(C308&lt;&gt;0, ((C308-D308)/C308)*100, 0)</f>
        <v>100</v>
      </c>
    </row>
    <row r="309" spans="1:6" x14ac:dyDescent="0.25">
      <c r="A309" s="2" t="s">
        <v>432</v>
      </c>
      <c r="B309" s="2" t="s">
        <v>432</v>
      </c>
      <c r="C309" s="6">
        <v>19160</v>
      </c>
      <c r="D309" s="6">
        <v>17130</v>
      </c>
      <c r="E309" s="6">
        <f>C309-D309</f>
        <v>2030</v>
      </c>
      <c r="F309" s="6">
        <f>IF(C309&lt;&gt;0, ((C309-D309)/C309)*100, 0)</f>
        <v>10.594989561586639</v>
      </c>
    </row>
    <row r="310" spans="1:6" x14ac:dyDescent="0.25">
      <c r="A310" s="2" t="s">
        <v>433</v>
      </c>
      <c r="B310" s="2" t="s">
        <v>433</v>
      </c>
      <c r="C310" s="6">
        <v>2898088.25</v>
      </c>
      <c r="D310" s="6">
        <v>2225353.9500000002</v>
      </c>
      <c r="E310" s="6">
        <f>C310-D310</f>
        <v>672734.29999999981</v>
      </c>
      <c r="F310" s="6">
        <f>IF(C310&lt;&gt;0, ((C310-D310)/C310)*100, 0)</f>
        <v>23.213037077114539</v>
      </c>
    </row>
    <row r="311" spans="1:6" x14ac:dyDescent="0.25">
      <c r="A311" s="2" t="s">
        <v>434</v>
      </c>
      <c r="B311" s="2" t="s">
        <v>434</v>
      </c>
      <c r="C311" s="6">
        <v>20714</v>
      </c>
      <c r="D311" s="6">
        <v>19726</v>
      </c>
      <c r="E311" s="6">
        <f>C311-D311</f>
        <v>988</v>
      </c>
      <c r="F311" s="6">
        <f>IF(C311&lt;&gt;0, ((C311-D311)/C311)*100, 0)</f>
        <v>4.7697209616684368</v>
      </c>
    </row>
    <row r="312" spans="1:6" x14ac:dyDescent="0.25">
      <c r="A312" s="2" t="s">
        <v>435</v>
      </c>
      <c r="B312" s="2" t="s">
        <v>436</v>
      </c>
      <c r="C312" s="6">
        <v>7975990</v>
      </c>
      <c r="D312" s="6">
        <v>6800000</v>
      </c>
      <c r="E312" s="6">
        <f>C312-D312</f>
        <v>1175990</v>
      </c>
      <c r="F312" s="6">
        <f>IF(C312&lt;&gt;0, ((C312-D312)/C312)*100, 0)</f>
        <v>14.74412580758</v>
      </c>
    </row>
    <row r="313" spans="1:6" x14ac:dyDescent="0.25">
      <c r="A313" s="2" t="s">
        <v>437</v>
      </c>
      <c r="B313" s="2" t="s">
        <v>437</v>
      </c>
      <c r="C313" s="6">
        <v>16060</v>
      </c>
      <c r="D313" s="6">
        <v>12854.6</v>
      </c>
      <c r="E313" s="6">
        <f>C313-D313</f>
        <v>3205.3999999999996</v>
      </c>
      <c r="F313" s="6">
        <f>IF(C313&lt;&gt;0, ((C313-D313)/C313)*100, 0)</f>
        <v>19.958904109589039</v>
      </c>
    </row>
    <row r="314" spans="1:6" x14ac:dyDescent="0.25">
      <c r="A314" s="2" t="s">
        <v>438</v>
      </c>
      <c r="B314" s="2" t="s">
        <v>439</v>
      </c>
      <c r="C314" s="6">
        <v>9390</v>
      </c>
      <c r="D314" s="6">
        <v>7450</v>
      </c>
      <c r="E314" s="6">
        <f>C314-D314</f>
        <v>1940</v>
      </c>
      <c r="F314" s="6">
        <f>IF(C314&lt;&gt;0, ((C314-D314)/C314)*100, 0)</f>
        <v>20.66027689030884</v>
      </c>
    </row>
    <row r="315" spans="1:6" x14ac:dyDescent="0.25">
      <c r="A315" s="2" t="s">
        <v>440</v>
      </c>
      <c r="B315" s="2" t="s">
        <v>441</v>
      </c>
      <c r="C315" s="6">
        <v>179817</v>
      </c>
      <c r="D315" s="6">
        <v>121262.39999999999</v>
      </c>
      <c r="E315" s="6">
        <f>C315-D315</f>
        <v>58554.600000000006</v>
      </c>
      <c r="F315" s="6">
        <f>IF(C315&lt;&gt;0, ((C315-D315)/C315)*100, 0)</f>
        <v>32.563439496821772</v>
      </c>
    </row>
    <row r="316" spans="1:6" x14ac:dyDescent="0.25">
      <c r="A316" s="2" t="s">
        <v>442</v>
      </c>
      <c r="B316" s="2" t="s">
        <v>443</v>
      </c>
      <c r="C316" s="6">
        <v>154755</v>
      </c>
      <c r="D316" s="6">
        <v>130457.74</v>
      </c>
      <c r="E316" s="6">
        <f>C316-D316</f>
        <v>24297.259999999995</v>
      </c>
      <c r="F316" s="6">
        <f>IF(C316&lt;&gt;0, ((C316-D316)/C316)*100, 0)</f>
        <v>15.700468482439984</v>
      </c>
    </row>
    <row r="317" spans="1:6" x14ac:dyDescent="0.25">
      <c r="A317" s="2" t="s">
        <v>444</v>
      </c>
      <c r="B317" s="2" t="s">
        <v>445</v>
      </c>
      <c r="C317" s="6">
        <v>891341.05</v>
      </c>
      <c r="D317" s="6">
        <v>537083.39</v>
      </c>
      <c r="E317" s="6">
        <f>C317-D317</f>
        <v>354257.66000000003</v>
      </c>
      <c r="F317" s="6">
        <f>IF(C317&lt;&gt;0, ((C317-D317)/C317)*100, 0)</f>
        <v>39.744344771285924</v>
      </c>
    </row>
    <row r="318" spans="1:6" x14ac:dyDescent="0.25">
      <c r="A318" s="2" t="s">
        <v>446</v>
      </c>
      <c r="B318" s="2" t="s">
        <v>447</v>
      </c>
      <c r="C318" s="6">
        <v>-5</v>
      </c>
      <c r="E318" s="6">
        <f>C318-D318</f>
        <v>-5</v>
      </c>
      <c r="F318" s="6">
        <f>IF(C318&lt;&gt;0, ((C318-D318)/C318)*100, 0)</f>
        <v>100</v>
      </c>
    </row>
    <row r="319" spans="1:6" x14ac:dyDescent="0.25">
      <c r="A319" s="2" t="s">
        <v>448</v>
      </c>
      <c r="B319" s="2" t="s">
        <v>448</v>
      </c>
      <c r="C319" s="6">
        <v>41337</v>
      </c>
      <c r="D319" s="6">
        <v>34702.199999999997</v>
      </c>
      <c r="E319" s="6">
        <f>C319-D319</f>
        <v>6634.8000000000029</v>
      </c>
      <c r="F319" s="6">
        <f>IF(C319&lt;&gt;0, ((C319-D319)/C319)*100, 0)</f>
        <v>16.050511648160253</v>
      </c>
    </row>
    <row r="320" spans="1:6" x14ac:dyDescent="0.25">
      <c r="A320" s="2" t="s">
        <v>449</v>
      </c>
      <c r="B320" s="2" t="s">
        <v>449</v>
      </c>
      <c r="C320" s="6">
        <v>1965988</v>
      </c>
      <c r="D320" s="6">
        <v>1696660.11</v>
      </c>
      <c r="E320" s="6">
        <f>C320-D320</f>
        <v>269327.8899999999</v>
      </c>
      <c r="F320" s="6">
        <f>IF(C320&lt;&gt;0, ((C320-D320)/C320)*100, 0)</f>
        <v>13.699365916780767</v>
      </c>
    </row>
    <row r="321" spans="1:6" x14ac:dyDescent="0.25">
      <c r="A321" s="2" t="s">
        <v>450</v>
      </c>
      <c r="B321" s="2" t="s">
        <v>451</v>
      </c>
      <c r="C321" s="6">
        <v>2000</v>
      </c>
      <c r="D321" s="6">
        <v>1654.6</v>
      </c>
      <c r="E321" s="6">
        <f>C321-D321</f>
        <v>345.40000000000009</v>
      </c>
      <c r="F321" s="6">
        <f>IF(C321&lt;&gt;0, ((C321-D321)/C321)*100, 0)</f>
        <v>17.270000000000003</v>
      </c>
    </row>
    <row r="322" spans="1:6" x14ac:dyDescent="0.25">
      <c r="A322" s="2" t="s">
        <v>452</v>
      </c>
      <c r="B322" s="2" t="s">
        <v>453</v>
      </c>
      <c r="C322" s="6">
        <v>77430</v>
      </c>
      <c r="D322" s="6">
        <v>66402</v>
      </c>
      <c r="E322" s="6">
        <f>C322-D322</f>
        <v>11028</v>
      </c>
      <c r="F322" s="6">
        <f>IF(C322&lt;&gt;0, ((C322-D322)/C322)*100, 0)</f>
        <v>14.242541650523052</v>
      </c>
    </row>
    <row r="323" spans="1:6" x14ac:dyDescent="0.25">
      <c r="A323" s="2" t="s">
        <v>454</v>
      </c>
      <c r="B323" s="2" t="s">
        <v>455</v>
      </c>
      <c r="C323" s="6">
        <v>9985</v>
      </c>
      <c r="D323" s="6">
        <v>8273</v>
      </c>
      <c r="E323" s="6">
        <f>C323-D323</f>
        <v>1712</v>
      </c>
      <c r="F323" s="6">
        <f>IF(C323&lt;&gt;0, ((C323-D323)/C323)*100, 0)</f>
        <v>17.145718577866802</v>
      </c>
    </row>
    <row r="324" spans="1:6" x14ac:dyDescent="0.25">
      <c r="A324" s="2" t="s">
        <v>456</v>
      </c>
      <c r="B324" s="2" t="s">
        <v>457</v>
      </c>
      <c r="C324" s="6">
        <v>382947</v>
      </c>
      <c r="D324" s="6">
        <v>322949.18</v>
      </c>
      <c r="E324" s="6">
        <f>C324-D324</f>
        <v>59997.820000000007</v>
      </c>
      <c r="F324" s="6">
        <f>IF(C324&lt;&gt;0, ((C324-D324)/C324)*100, 0)</f>
        <v>15.667395227015751</v>
      </c>
    </row>
    <row r="325" spans="1:6" x14ac:dyDescent="0.25">
      <c r="A325" s="2" t="s">
        <v>458</v>
      </c>
      <c r="B325" s="2" t="s">
        <v>458</v>
      </c>
      <c r="C325" s="6">
        <v>25598</v>
      </c>
      <c r="D325" s="6">
        <v>18343.5</v>
      </c>
      <c r="E325" s="6">
        <f>C325-D325</f>
        <v>7254.5</v>
      </c>
      <c r="F325" s="6">
        <f>IF(C325&lt;&gt;0, ((C325-D325)/C325)*100, 0)</f>
        <v>28.340104695679351</v>
      </c>
    </row>
    <row r="326" spans="1:6" x14ac:dyDescent="0.25">
      <c r="A326" s="2" t="s">
        <v>459</v>
      </c>
      <c r="B326" s="2" t="s">
        <v>460</v>
      </c>
      <c r="C326" s="6">
        <v>44550</v>
      </c>
      <c r="D326" s="6">
        <v>36980</v>
      </c>
      <c r="E326" s="6">
        <f>C326-D326</f>
        <v>7570</v>
      </c>
      <c r="F326" s="6">
        <f>IF(C326&lt;&gt;0, ((C326-D326)/C326)*100, 0)</f>
        <v>16.992143658810324</v>
      </c>
    </row>
    <row r="327" spans="1:6" x14ac:dyDescent="0.25">
      <c r="A327" s="2" t="s">
        <v>461</v>
      </c>
      <c r="B327" s="2" t="s">
        <v>461</v>
      </c>
      <c r="C327" s="6">
        <v>8960</v>
      </c>
      <c r="D327" s="6">
        <v>7470</v>
      </c>
      <c r="E327" s="6">
        <f>C327-D327</f>
        <v>1490</v>
      </c>
      <c r="F327" s="6">
        <f>IF(C327&lt;&gt;0, ((C327-D327)/C327)*100, 0)</f>
        <v>16.629464285714285</v>
      </c>
    </row>
    <row r="328" spans="1:6" x14ac:dyDescent="0.25">
      <c r="A328" s="2" t="s">
        <v>462</v>
      </c>
      <c r="B328" s="2" t="s">
        <v>463</v>
      </c>
      <c r="C328" s="6">
        <v>78500</v>
      </c>
      <c r="D328" s="6">
        <v>70000</v>
      </c>
      <c r="E328" s="6">
        <f>C328-D328</f>
        <v>8500</v>
      </c>
      <c r="F328" s="6">
        <f>IF(C328&lt;&gt;0, ((C328-D328)/C328)*100, 0)</f>
        <v>10.828025477707007</v>
      </c>
    </row>
    <row r="329" spans="1:6" x14ac:dyDescent="0.25">
      <c r="A329" s="2" t="s">
        <v>464</v>
      </c>
      <c r="B329" s="2" t="s">
        <v>465</v>
      </c>
      <c r="C329" s="6">
        <v>81780</v>
      </c>
      <c r="D329" s="6">
        <v>67818</v>
      </c>
      <c r="E329" s="6">
        <f>C329-D329</f>
        <v>13962</v>
      </c>
      <c r="F329" s="6">
        <f>IF(C329&lt;&gt;0, ((C329-D329)/C329)*100, 0)</f>
        <v>17.072633895818047</v>
      </c>
    </row>
    <row r="330" spans="1:6" x14ac:dyDescent="0.25">
      <c r="A330" s="2" t="s">
        <v>466</v>
      </c>
      <c r="B330" s="2" t="s">
        <v>467</v>
      </c>
      <c r="C330" s="6">
        <v>151575</v>
      </c>
      <c r="D330" s="6">
        <v>119763.4</v>
      </c>
      <c r="E330" s="6">
        <f>C330-D330</f>
        <v>31811.600000000006</v>
      </c>
      <c r="F330" s="6">
        <f>IF(C330&lt;&gt;0, ((C330-D330)/C330)*100, 0)</f>
        <v>20.98736599043378</v>
      </c>
    </row>
    <row r="331" spans="1:6" x14ac:dyDescent="0.25">
      <c r="A331" s="2" t="s">
        <v>468</v>
      </c>
      <c r="B331" s="2" t="s">
        <v>468</v>
      </c>
      <c r="C331" s="6">
        <v>80</v>
      </c>
      <c r="E331" s="6">
        <f>C331-D331</f>
        <v>80</v>
      </c>
      <c r="F331" s="6">
        <f>IF(C331&lt;&gt;0, ((C331-D331)/C331)*100, 0)</f>
        <v>100</v>
      </c>
    </row>
    <row r="332" spans="1:6" x14ac:dyDescent="0.25">
      <c r="A332" s="2" t="s">
        <v>469</v>
      </c>
      <c r="B332" s="2" t="s">
        <v>470</v>
      </c>
      <c r="C332" s="6">
        <v>119463</v>
      </c>
      <c r="D332" s="6">
        <v>95350.89</v>
      </c>
      <c r="E332" s="6">
        <f>C332-D332</f>
        <v>24112.11</v>
      </c>
      <c r="F332" s="6">
        <f>IF(C332&lt;&gt;0, ((C332-D332)/C332)*100, 0)</f>
        <v>20.183747269028903</v>
      </c>
    </row>
    <row r="333" spans="1:6" x14ac:dyDescent="0.25">
      <c r="A333" s="2" t="s">
        <v>471</v>
      </c>
      <c r="B333" s="2" t="s">
        <v>472</v>
      </c>
      <c r="C333" s="6">
        <v>295335</v>
      </c>
      <c r="D333" s="6">
        <v>217262.42</v>
      </c>
      <c r="E333" s="6">
        <f>C333-D333</f>
        <v>78072.579999999987</v>
      </c>
      <c r="F333" s="6">
        <f>IF(C333&lt;&gt;0, ((C333-D333)/C333)*100, 0)</f>
        <v>26.435261652022273</v>
      </c>
    </row>
    <row r="334" spans="1:6" x14ac:dyDescent="0.25">
      <c r="A334" s="2" t="s">
        <v>473</v>
      </c>
      <c r="B334" s="2" t="s">
        <v>474</v>
      </c>
      <c r="C334" s="6">
        <v>1345632</v>
      </c>
      <c r="D334" s="6">
        <v>1037674</v>
      </c>
      <c r="E334" s="6">
        <f>C334-D334</f>
        <v>307958</v>
      </c>
      <c r="F334" s="6">
        <f>IF(C334&lt;&gt;0, ((C334-D334)/C334)*100, 0)</f>
        <v>22.885751825164679</v>
      </c>
    </row>
    <row r="335" spans="1:6" x14ac:dyDescent="0.25">
      <c r="A335" s="2" t="s">
        <v>475</v>
      </c>
      <c r="B335" s="2" t="s">
        <v>475</v>
      </c>
      <c r="C335" s="6">
        <v>108240</v>
      </c>
      <c r="D335" s="6">
        <v>75657</v>
      </c>
      <c r="E335" s="6">
        <f>C335-D335</f>
        <v>32583</v>
      </c>
      <c r="F335" s="6">
        <f>IF(C335&lt;&gt;0, ((C335-D335)/C335)*100, 0)</f>
        <v>30.102549889135254</v>
      </c>
    </row>
    <row r="336" spans="1:6" x14ac:dyDescent="0.25">
      <c r="A336" s="2" t="s">
        <v>476</v>
      </c>
      <c r="B336" s="2" t="s">
        <v>477</v>
      </c>
      <c r="C336" s="6">
        <v>237721</v>
      </c>
      <c r="D336" s="6">
        <v>177510</v>
      </c>
      <c r="E336" s="6">
        <f>C336-D336</f>
        <v>60211</v>
      </c>
      <c r="F336" s="6">
        <f>IF(C336&lt;&gt;0, ((C336-D336)/C336)*100, 0)</f>
        <v>25.32843122820449</v>
      </c>
    </row>
    <row r="337" spans="1:6" x14ac:dyDescent="0.25">
      <c r="A337" s="2" t="s">
        <v>478</v>
      </c>
      <c r="B337" s="2" t="s">
        <v>478</v>
      </c>
      <c r="C337" s="6">
        <v>97064</v>
      </c>
      <c r="D337" s="6">
        <v>76390.5</v>
      </c>
      <c r="E337" s="6">
        <f>C337-D337</f>
        <v>20673.5</v>
      </c>
      <c r="F337" s="6">
        <f>IF(C337&lt;&gt;0, ((C337-D337)/C337)*100, 0)</f>
        <v>21.298833759169209</v>
      </c>
    </row>
    <row r="338" spans="1:6" x14ac:dyDescent="0.25">
      <c r="A338" s="2" t="s">
        <v>479</v>
      </c>
      <c r="B338" s="2" t="s">
        <v>480</v>
      </c>
      <c r="C338" s="6">
        <v>219687</v>
      </c>
      <c r="D338" s="6">
        <v>182606.79</v>
      </c>
      <c r="E338" s="6">
        <f>C338-D338</f>
        <v>37080.209999999992</v>
      </c>
      <c r="F338" s="6">
        <f>IF(C338&lt;&gt;0, ((C338-D338)/C338)*100, 0)</f>
        <v>16.87865463136189</v>
      </c>
    </row>
    <row r="339" spans="1:6" x14ac:dyDescent="0.25">
      <c r="A339" s="2" t="s">
        <v>481</v>
      </c>
      <c r="B339" s="2" t="s">
        <v>481</v>
      </c>
      <c r="C339" s="6">
        <v>6927204</v>
      </c>
      <c r="D339" s="6">
        <v>5772239.5</v>
      </c>
      <c r="E339" s="6">
        <f>C339-D339</f>
        <v>1154964.5</v>
      </c>
      <c r="F339" s="6">
        <f>IF(C339&lt;&gt;0, ((C339-D339)/C339)*100, 0)</f>
        <v>16.672881295252743</v>
      </c>
    </row>
    <row r="340" spans="1:6" x14ac:dyDescent="0.25">
      <c r="A340" s="2" t="s">
        <v>482</v>
      </c>
      <c r="B340" s="2" t="s">
        <v>482</v>
      </c>
      <c r="C340" s="6">
        <v>183440</v>
      </c>
      <c r="D340" s="6">
        <v>155310</v>
      </c>
      <c r="E340" s="6">
        <f>C340-D340</f>
        <v>28130</v>
      </c>
      <c r="F340" s="6">
        <f>IF(C340&lt;&gt;0, ((C340-D340)/C340)*100, 0)</f>
        <v>15.334714348015698</v>
      </c>
    </row>
    <row r="341" spans="1:6" x14ac:dyDescent="0.25">
      <c r="A341" s="2" t="s">
        <v>483</v>
      </c>
      <c r="B341" s="2" t="s">
        <v>484</v>
      </c>
      <c r="C341" s="6">
        <v>5500</v>
      </c>
      <c r="D341" s="6">
        <v>4285.72</v>
      </c>
      <c r="E341" s="6">
        <f>C341-D341</f>
        <v>1214.2799999999997</v>
      </c>
      <c r="F341" s="6">
        <f>IF(C341&lt;&gt;0, ((C341-D341)/C341)*100, 0)</f>
        <v>22.077818181818177</v>
      </c>
    </row>
    <row r="342" spans="1:6" x14ac:dyDescent="0.25">
      <c r="A342" s="2" t="s">
        <v>485</v>
      </c>
      <c r="B342" s="2" t="s">
        <v>486</v>
      </c>
      <c r="C342" s="6">
        <v>173100</v>
      </c>
      <c r="E342" s="6">
        <f>C342-D342</f>
        <v>173100</v>
      </c>
      <c r="F342" s="6">
        <f>IF(C342&lt;&gt;0, ((C342-D342)/C342)*100, 0)</f>
        <v>100</v>
      </c>
    </row>
    <row r="343" spans="1:6" x14ac:dyDescent="0.25">
      <c r="A343" s="2" t="s">
        <v>487</v>
      </c>
      <c r="B343" s="2" t="s">
        <v>487</v>
      </c>
      <c r="C343" s="6">
        <v>3846242</v>
      </c>
      <c r="D343" s="6">
        <v>3348284.18</v>
      </c>
      <c r="E343" s="6">
        <f>C343-D343</f>
        <v>497957.81999999983</v>
      </c>
      <c r="F343" s="6">
        <f>IF(C343&lt;&gt;0, ((C343-D343)/C343)*100, 0)</f>
        <v>12.946606583777095</v>
      </c>
    </row>
    <row r="344" spans="1:6" x14ac:dyDescent="0.25">
      <c r="A344" s="2" t="s">
        <v>488</v>
      </c>
      <c r="B344" s="2" t="s">
        <v>489</v>
      </c>
      <c r="C344" s="6">
        <v>636456.92000000004</v>
      </c>
      <c r="D344" s="6">
        <v>531956.16</v>
      </c>
      <c r="E344" s="6">
        <f>C344-D344</f>
        <v>104500.76000000001</v>
      </c>
      <c r="F344" s="6">
        <f>IF(C344&lt;&gt;0, ((C344-D344)/C344)*100, 0)</f>
        <v>16.419141141555976</v>
      </c>
    </row>
    <row r="345" spans="1:6" x14ac:dyDescent="0.25">
      <c r="A345" s="2" t="s">
        <v>490</v>
      </c>
      <c r="B345" s="2" t="s">
        <v>491</v>
      </c>
      <c r="C345" s="6">
        <v>43070</v>
      </c>
      <c r="D345" s="6">
        <v>33000</v>
      </c>
      <c r="E345" s="6">
        <f>C345-D345</f>
        <v>10070</v>
      </c>
      <c r="F345" s="6">
        <f>IF(C345&lt;&gt;0, ((C345-D345)/C345)*100, 0)</f>
        <v>23.380543301602046</v>
      </c>
    </row>
    <row r="346" spans="1:6" x14ac:dyDescent="0.25">
      <c r="A346" s="2" t="s">
        <v>492</v>
      </c>
      <c r="B346" s="2" t="s">
        <v>492</v>
      </c>
      <c r="C346" s="6">
        <v>-20</v>
      </c>
      <c r="E346" s="6">
        <f>C346-D346</f>
        <v>-20</v>
      </c>
      <c r="F346" s="6">
        <f>IF(C346&lt;&gt;0, ((C346-D346)/C346)*100, 0)</f>
        <v>100</v>
      </c>
    </row>
    <row r="347" spans="1:6" x14ac:dyDescent="0.25">
      <c r="A347" s="2" t="s">
        <v>493</v>
      </c>
      <c r="B347" s="2" t="s">
        <v>494</v>
      </c>
      <c r="C347" s="6">
        <v>14874.18</v>
      </c>
      <c r="D347" s="6">
        <v>12603.6</v>
      </c>
      <c r="E347" s="6">
        <f>C347-D347</f>
        <v>2270.58</v>
      </c>
      <c r="F347" s="6">
        <f>IF(C347&lt;&gt;0, ((C347-D347)/C347)*100, 0)</f>
        <v>15.265244874003137</v>
      </c>
    </row>
    <row r="348" spans="1:6" x14ac:dyDescent="0.25">
      <c r="A348" s="2" t="s">
        <v>495</v>
      </c>
      <c r="B348" s="2" t="s">
        <v>495</v>
      </c>
      <c r="C348" s="6">
        <v>1429041.84</v>
      </c>
      <c r="D348" s="6">
        <v>1120107.24</v>
      </c>
      <c r="E348" s="6">
        <f>C348-D348</f>
        <v>308934.60000000009</v>
      </c>
      <c r="F348" s="6">
        <f>IF(C348&lt;&gt;0, ((C348-D348)/C348)*100, 0)</f>
        <v>21.618303352125789</v>
      </c>
    </row>
    <row r="349" spans="1:6" x14ac:dyDescent="0.25">
      <c r="A349" s="2" t="s">
        <v>496</v>
      </c>
      <c r="B349" s="2" t="s">
        <v>496</v>
      </c>
      <c r="E349" s="6">
        <f>C349-D349</f>
        <v>0</v>
      </c>
      <c r="F349" s="6">
        <f>IF(C349&lt;&gt;0, ((C349-D349)/C349)*100, 0)</f>
        <v>0</v>
      </c>
    </row>
    <row r="350" spans="1:6" x14ac:dyDescent="0.25">
      <c r="A350" s="2" t="s">
        <v>497</v>
      </c>
      <c r="B350" s="2" t="s">
        <v>496</v>
      </c>
      <c r="C350" s="6">
        <v>-188900</v>
      </c>
      <c r="D350" s="6">
        <v>29241</v>
      </c>
      <c r="E350" s="6">
        <f>C350-D350</f>
        <v>-218141</v>
      </c>
      <c r="F350" s="6">
        <f>IF(C350&lt;&gt;0, ((C350-D350)/C350)*100, 0)</f>
        <v>115.47961884595024</v>
      </c>
    </row>
    <row r="351" spans="1:6" x14ac:dyDescent="0.25">
      <c r="A351" s="2" t="s">
        <v>498</v>
      </c>
      <c r="B351" s="2" t="s">
        <v>499</v>
      </c>
      <c r="C351" s="6">
        <v>1334643</v>
      </c>
      <c r="D351" s="6">
        <v>1090580.2</v>
      </c>
      <c r="E351" s="6">
        <f>C351-D351</f>
        <v>244062.80000000005</v>
      </c>
      <c r="F351" s="6">
        <f>IF(C351&lt;&gt;0, ((C351-D351)/C351)*100, 0)</f>
        <v>18.286747841932264</v>
      </c>
    </row>
    <row r="352" spans="1:6" x14ac:dyDescent="0.25">
      <c r="A352" s="2" t="s">
        <v>500</v>
      </c>
      <c r="B352" s="2" t="s">
        <v>501</v>
      </c>
      <c r="C352" s="6">
        <v>49050</v>
      </c>
      <c r="D352" s="6">
        <v>38850</v>
      </c>
      <c r="E352" s="6">
        <f>C352-D352</f>
        <v>10200</v>
      </c>
      <c r="F352" s="6">
        <f>IF(C352&lt;&gt;0, ((C352-D352)/C352)*100, 0)</f>
        <v>20.795107033639145</v>
      </c>
    </row>
    <row r="353" spans="1:6" x14ac:dyDescent="0.25">
      <c r="A353" s="2" t="s">
        <v>502</v>
      </c>
      <c r="B353" s="2" t="s">
        <v>502</v>
      </c>
      <c r="C353" s="6">
        <v>81827.399999999994</v>
      </c>
      <c r="D353" s="6">
        <v>72874</v>
      </c>
      <c r="E353" s="6">
        <f>C353-D353</f>
        <v>8953.3999999999942</v>
      </c>
      <c r="F353" s="6">
        <f>IF(C353&lt;&gt;0, ((C353-D353)/C353)*100, 0)</f>
        <v>10.941811666996623</v>
      </c>
    </row>
    <row r="354" spans="1:6" x14ac:dyDescent="0.25">
      <c r="A354" s="2" t="s">
        <v>503</v>
      </c>
      <c r="B354" s="2" t="s">
        <v>503</v>
      </c>
      <c r="C354" s="6">
        <v>18640</v>
      </c>
      <c r="D354" s="6">
        <v>15412.36</v>
      </c>
      <c r="E354" s="6">
        <f>C354-D354</f>
        <v>3227.6399999999994</v>
      </c>
      <c r="F354" s="6">
        <f>IF(C354&lt;&gt;0, ((C354-D354)/C354)*100, 0)</f>
        <v>17.315665236051501</v>
      </c>
    </row>
    <row r="355" spans="1:6" x14ac:dyDescent="0.25">
      <c r="A355" s="2" t="s">
        <v>504</v>
      </c>
      <c r="B355" s="2" t="s">
        <v>505</v>
      </c>
      <c r="C355" s="6">
        <v>345471</v>
      </c>
      <c r="D355" s="6">
        <v>270949.40999999997</v>
      </c>
      <c r="E355" s="6">
        <f>C355-D355</f>
        <v>74521.590000000026</v>
      </c>
      <c r="F355" s="6">
        <f>IF(C355&lt;&gt;0, ((C355-D355)/C355)*100, 0)</f>
        <v>21.57101174917722</v>
      </c>
    </row>
    <row r="356" spans="1:6" x14ac:dyDescent="0.25">
      <c r="A356" s="2" t="s">
        <v>506</v>
      </c>
      <c r="B356" s="2" t="s">
        <v>507</v>
      </c>
      <c r="C356" s="6">
        <v>652421</v>
      </c>
      <c r="D356" s="6">
        <v>498046.89</v>
      </c>
      <c r="E356" s="6">
        <f>C356-D356</f>
        <v>154374.10999999999</v>
      </c>
      <c r="F356" s="6">
        <f>IF(C356&lt;&gt;0, ((C356-D356)/C356)*100, 0)</f>
        <v>23.661732225051001</v>
      </c>
    </row>
    <row r="357" spans="1:6" x14ac:dyDescent="0.25">
      <c r="A357" s="2" t="s">
        <v>508</v>
      </c>
      <c r="B357" s="2" t="s">
        <v>509</v>
      </c>
      <c r="C357" s="6">
        <v>48538497.799999997</v>
      </c>
      <c r="D357" s="6">
        <v>38281000.439999998</v>
      </c>
      <c r="E357" s="6">
        <f>C357-D357</f>
        <v>10257497.359999999</v>
      </c>
      <c r="F357" s="6">
        <f>IF(C357&lt;&gt;0, ((C357-D357)/C357)*100, 0)</f>
        <v>21.132704605456496</v>
      </c>
    </row>
    <row r="358" spans="1:6" x14ac:dyDescent="0.25">
      <c r="A358" s="2" t="s">
        <v>510</v>
      </c>
      <c r="B358" s="2" t="s">
        <v>511</v>
      </c>
      <c r="C358" s="6">
        <v>2186332</v>
      </c>
      <c r="D358" s="6">
        <v>1977308.68</v>
      </c>
      <c r="E358" s="6">
        <f>C358-D358</f>
        <v>209023.32000000007</v>
      </c>
      <c r="F358" s="6">
        <f>IF(C358&lt;&gt;0, ((C358-D358)/C358)*100, 0)</f>
        <v>9.5604565088925231</v>
      </c>
    </row>
    <row r="359" spans="1:6" x14ac:dyDescent="0.25">
      <c r="A359" s="2" t="s">
        <v>512</v>
      </c>
      <c r="B359" s="2" t="s">
        <v>513</v>
      </c>
      <c r="C359" s="6">
        <v>-217</v>
      </c>
      <c r="E359" s="6">
        <f>C359-D359</f>
        <v>-217</v>
      </c>
      <c r="F359" s="6">
        <f>IF(C359&lt;&gt;0, ((C359-D359)/C359)*100, 0)</f>
        <v>100</v>
      </c>
    </row>
    <row r="360" spans="1:6" x14ac:dyDescent="0.25">
      <c r="A360" s="2" t="s">
        <v>514</v>
      </c>
      <c r="B360" s="2" t="s">
        <v>514</v>
      </c>
      <c r="C360" s="6">
        <v>16209.48</v>
      </c>
      <c r="D360" s="6">
        <v>14253.8</v>
      </c>
      <c r="E360" s="6">
        <f>C360-D360</f>
        <v>1955.6800000000003</v>
      </c>
      <c r="F360" s="6">
        <f>IF(C360&lt;&gt;0, ((C360-D360)/C360)*100, 0)</f>
        <v>12.065038483652778</v>
      </c>
    </row>
    <row r="361" spans="1:6" x14ac:dyDescent="0.25">
      <c r="A361" s="2" t="s">
        <v>515</v>
      </c>
      <c r="B361" s="2" t="s">
        <v>515</v>
      </c>
      <c r="C361" s="6">
        <v>1236995</v>
      </c>
      <c r="D361" s="6">
        <v>970069</v>
      </c>
      <c r="E361" s="6">
        <f>C361-D361</f>
        <v>266926</v>
      </c>
      <c r="F361" s="6">
        <f>IF(C361&lt;&gt;0, ((C361-D361)/C361)*100, 0)</f>
        <v>21.578583583603812</v>
      </c>
    </row>
    <row r="362" spans="1:6" x14ac:dyDescent="0.25">
      <c r="A362" s="2" t="s">
        <v>516</v>
      </c>
      <c r="B362" s="2" t="s">
        <v>517</v>
      </c>
      <c r="C362" s="6">
        <v>59980</v>
      </c>
      <c r="D362" s="6">
        <v>50125.24</v>
      </c>
      <c r="E362" s="6">
        <f>C362-D362</f>
        <v>9854.760000000002</v>
      </c>
      <c r="F362" s="6">
        <f>IF(C362&lt;&gt;0, ((C362-D362)/C362)*100, 0)</f>
        <v>16.430076692230745</v>
      </c>
    </row>
    <row r="363" spans="1:6" x14ac:dyDescent="0.25">
      <c r="A363" s="2" t="s">
        <v>518</v>
      </c>
      <c r="B363" s="2" t="s">
        <v>519</v>
      </c>
      <c r="C363" s="6">
        <v>3646200</v>
      </c>
      <c r="D363" s="6">
        <v>3033404.95</v>
      </c>
      <c r="E363" s="6">
        <f>C363-D363</f>
        <v>612795.04999999981</v>
      </c>
      <c r="F363" s="6">
        <f>IF(C363&lt;&gt;0, ((C363-D363)/C363)*100, 0)</f>
        <v>16.806402556085782</v>
      </c>
    </row>
    <row r="364" spans="1:6" x14ac:dyDescent="0.25">
      <c r="A364" s="2" t="s">
        <v>520</v>
      </c>
      <c r="B364" s="2" t="s">
        <v>520</v>
      </c>
      <c r="C364" s="6">
        <v>-240</v>
      </c>
      <c r="E364" s="6">
        <f>C364-D364</f>
        <v>-240</v>
      </c>
      <c r="F364" s="6">
        <f>IF(C364&lt;&gt;0, ((C364-D364)/C364)*100, 0)</f>
        <v>100</v>
      </c>
    </row>
    <row r="365" spans="1:6" x14ac:dyDescent="0.25">
      <c r="A365" s="2" t="s">
        <v>521</v>
      </c>
      <c r="B365" s="2" t="s">
        <v>522</v>
      </c>
      <c r="C365" s="6">
        <v>386080</v>
      </c>
      <c r="D365" s="6">
        <v>302486.07</v>
      </c>
      <c r="E365" s="6">
        <f>C365-D365</f>
        <v>83593.929999999993</v>
      </c>
      <c r="F365" s="6">
        <f>IF(C365&lt;&gt;0, ((C365-D365)/C365)*100, 0)</f>
        <v>21.651971094073765</v>
      </c>
    </row>
    <row r="366" spans="1:6" x14ac:dyDescent="0.25">
      <c r="A366" s="2" t="s">
        <v>523</v>
      </c>
      <c r="B366" s="2" t="s">
        <v>523</v>
      </c>
      <c r="C366" s="6">
        <v>166445.18</v>
      </c>
      <c r="D366" s="6">
        <v>137957.15</v>
      </c>
      <c r="E366" s="6">
        <f>C366-D366</f>
        <v>28488.03</v>
      </c>
      <c r="F366" s="6">
        <f>IF(C366&lt;&gt;0, ((C366-D366)/C366)*100, 0)</f>
        <v>17.115563214266704</v>
      </c>
    </row>
    <row r="367" spans="1:6" x14ac:dyDescent="0.25">
      <c r="A367" s="2" t="s">
        <v>524</v>
      </c>
      <c r="B367" s="2" t="s">
        <v>524</v>
      </c>
      <c r="C367" s="6">
        <v>194631</v>
      </c>
      <c r="D367" s="6">
        <v>151203</v>
      </c>
      <c r="E367" s="6">
        <f>C367-D367</f>
        <v>43428</v>
      </c>
      <c r="F367" s="6">
        <f>IF(C367&lt;&gt;0, ((C367-D367)/C367)*100, 0)</f>
        <v>22.312992277694715</v>
      </c>
    </row>
    <row r="368" spans="1:6" x14ac:dyDescent="0.25">
      <c r="A368" s="2" t="s">
        <v>525</v>
      </c>
      <c r="B368" s="2" t="s">
        <v>525</v>
      </c>
      <c r="C368" s="6">
        <v>238700</v>
      </c>
      <c r="D368" s="6">
        <v>198900</v>
      </c>
      <c r="E368" s="6">
        <f>C368-D368</f>
        <v>39800</v>
      </c>
      <c r="F368" s="6">
        <f>IF(C368&lt;&gt;0, ((C368-D368)/C368)*100, 0)</f>
        <v>16.673648931713448</v>
      </c>
    </row>
    <row r="369" spans="1:6" x14ac:dyDescent="0.25">
      <c r="A369" s="2" t="s">
        <v>526</v>
      </c>
      <c r="B369" s="2" t="s">
        <v>526</v>
      </c>
      <c r="C369" s="6">
        <v>1982</v>
      </c>
      <c r="E369" s="6">
        <f>C369-D369</f>
        <v>1982</v>
      </c>
      <c r="F369" s="6">
        <f>IF(C369&lt;&gt;0, ((C369-D369)/C369)*100, 0)</f>
        <v>100</v>
      </c>
    </row>
    <row r="370" spans="1:6" x14ac:dyDescent="0.25">
      <c r="A370" s="2" t="s">
        <v>527</v>
      </c>
      <c r="B370" s="2" t="s">
        <v>527</v>
      </c>
      <c r="C370" s="6">
        <v>19500</v>
      </c>
      <c r="D370" s="6">
        <v>7500</v>
      </c>
      <c r="E370" s="6">
        <f>C370-D370</f>
        <v>12000</v>
      </c>
      <c r="F370" s="6">
        <f>IF(C370&lt;&gt;0, ((C370-D370)/C370)*100, 0)</f>
        <v>61.53846153846154</v>
      </c>
    </row>
    <row r="371" spans="1:6" x14ac:dyDescent="0.25">
      <c r="A371" s="2" t="s">
        <v>528</v>
      </c>
      <c r="B371" s="2" t="s">
        <v>528</v>
      </c>
      <c r="C371" s="6">
        <v>32560</v>
      </c>
      <c r="D371" s="6">
        <v>27600</v>
      </c>
      <c r="E371" s="6">
        <f>C371-D371</f>
        <v>4960</v>
      </c>
      <c r="F371" s="6">
        <f>IF(C371&lt;&gt;0, ((C371-D371)/C371)*100, 0)</f>
        <v>15.233415233415235</v>
      </c>
    </row>
    <row r="372" spans="1:6" x14ac:dyDescent="0.25">
      <c r="A372" s="2" t="s">
        <v>529</v>
      </c>
      <c r="B372" s="2" t="s">
        <v>529</v>
      </c>
      <c r="C372" s="6">
        <v>5962865</v>
      </c>
      <c r="D372" s="6">
        <v>4696300.2</v>
      </c>
      <c r="E372" s="6">
        <f>C372-D372</f>
        <v>1266564.7999999998</v>
      </c>
      <c r="F372" s="6">
        <f>IF(C372&lt;&gt;0, ((C372-D372)/C372)*100, 0)</f>
        <v>21.240876659122751</v>
      </c>
    </row>
    <row r="373" spans="1:6" x14ac:dyDescent="0.25">
      <c r="A373" s="2" t="s">
        <v>530</v>
      </c>
      <c r="B373" s="2" t="s">
        <v>530</v>
      </c>
      <c r="C373" s="6">
        <v>4152719</v>
      </c>
      <c r="D373" s="6">
        <v>3559362.04</v>
      </c>
      <c r="E373" s="6">
        <f>C373-D373</f>
        <v>593356.96</v>
      </c>
      <c r="F373" s="6">
        <f>IF(C373&lt;&gt;0, ((C373-D373)/C373)*100, 0)</f>
        <v>14.288396590282174</v>
      </c>
    </row>
    <row r="374" spans="1:6" x14ac:dyDescent="0.25">
      <c r="A374" s="2" t="s">
        <v>531</v>
      </c>
      <c r="B374" s="2" t="s">
        <v>532</v>
      </c>
      <c r="C374" s="6">
        <v>146000</v>
      </c>
      <c r="D374" s="6">
        <v>136785</v>
      </c>
      <c r="E374" s="6">
        <f>C374-D374</f>
        <v>9215</v>
      </c>
      <c r="F374" s="6">
        <f>IF(C374&lt;&gt;0, ((C374-D374)/C374)*100, 0)</f>
        <v>6.3116438356164384</v>
      </c>
    </row>
    <row r="375" spans="1:6" x14ac:dyDescent="0.25">
      <c r="A375" s="2" t="s">
        <v>533</v>
      </c>
      <c r="B375" s="2" t="s">
        <v>534</v>
      </c>
      <c r="C375" s="6">
        <v>5600</v>
      </c>
      <c r="D375" s="6">
        <v>4645</v>
      </c>
      <c r="E375" s="6">
        <f>C375-D375</f>
        <v>955</v>
      </c>
      <c r="F375" s="6">
        <f>IF(C375&lt;&gt;0, ((C375-D375)/C375)*100, 0)</f>
        <v>17.053571428571431</v>
      </c>
    </row>
    <row r="376" spans="1:6" x14ac:dyDescent="0.25">
      <c r="A376" s="2" t="s">
        <v>535</v>
      </c>
      <c r="B376" s="2" t="s">
        <v>535</v>
      </c>
      <c r="C376" s="6">
        <v>16340969.5</v>
      </c>
      <c r="D376" s="6">
        <v>9752472.5</v>
      </c>
      <c r="E376" s="6">
        <f>C376-D376</f>
        <v>6588497</v>
      </c>
      <c r="F376" s="6">
        <f>IF(C376&lt;&gt;0, ((C376-D376)/C376)*100, 0)</f>
        <v>40.318886832265363</v>
      </c>
    </row>
    <row r="377" spans="1:6" x14ac:dyDescent="0.25">
      <c r="A377" s="2" t="s">
        <v>536</v>
      </c>
      <c r="B377" s="2" t="s">
        <v>537</v>
      </c>
      <c r="C377" s="6">
        <v>2060951</v>
      </c>
      <c r="D377" s="6">
        <v>1787655.66</v>
      </c>
      <c r="E377" s="6">
        <f>C377-D377</f>
        <v>273295.34000000008</v>
      </c>
      <c r="F377" s="6">
        <f>IF(C377&lt;&gt;0, ((C377-D377)/C377)*100, 0)</f>
        <v>13.260642295716885</v>
      </c>
    </row>
    <row r="378" spans="1:6" x14ac:dyDescent="0.25">
      <c r="A378" s="2" t="s">
        <v>538</v>
      </c>
      <c r="B378" s="2" t="s">
        <v>539</v>
      </c>
      <c r="C378" s="6">
        <v>3727</v>
      </c>
      <c r="D378" s="6">
        <v>3150.9</v>
      </c>
      <c r="E378" s="6">
        <f>C378-D378</f>
        <v>576.09999999999991</v>
      </c>
      <c r="F378" s="6">
        <f>IF(C378&lt;&gt;0, ((C378-D378)/C378)*100, 0)</f>
        <v>15.457472497987656</v>
      </c>
    </row>
    <row r="379" spans="1:6" x14ac:dyDescent="0.25">
      <c r="A379" s="2" t="s">
        <v>540</v>
      </c>
      <c r="B379" s="2" t="s">
        <v>540</v>
      </c>
      <c r="C379" s="6">
        <v>7052</v>
      </c>
      <c r="E379" s="6">
        <f>C379-D379</f>
        <v>7052</v>
      </c>
      <c r="F379" s="6">
        <f>IF(C379&lt;&gt;0, ((C379-D379)/C379)*100, 0)</f>
        <v>100</v>
      </c>
    </row>
    <row r="380" spans="1:6" x14ac:dyDescent="0.25">
      <c r="A380" s="2" t="s">
        <v>541</v>
      </c>
      <c r="B380" s="2" t="s">
        <v>542</v>
      </c>
      <c r="C380" s="6">
        <v>1972881.3</v>
      </c>
      <c r="D380" s="6">
        <v>1441366.22</v>
      </c>
      <c r="E380" s="6">
        <f>C380-D380</f>
        <v>531515.08000000007</v>
      </c>
      <c r="F380" s="6">
        <f>IF(C380&lt;&gt;0, ((C380-D380)/C380)*100, 0)</f>
        <v>26.941057224273962</v>
      </c>
    </row>
    <row r="381" spans="1:6" x14ac:dyDescent="0.25">
      <c r="A381" s="2" t="s">
        <v>543</v>
      </c>
      <c r="B381" s="2" t="s">
        <v>543</v>
      </c>
      <c r="C381" s="6">
        <v>201825</v>
      </c>
      <c r="D381" s="6">
        <v>134550</v>
      </c>
      <c r="E381" s="6">
        <f>C381-D381</f>
        <v>67275</v>
      </c>
      <c r="F381" s="6">
        <f>IF(C381&lt;&gt;0, ((C381-D381)/C381)*100, 0)</f>
        <v>33.333333333333329</v>
      </c>
    </row>
    <row r="382" spans="1:6" x14ac:dyDescent="0.25">
      <c r="A382" s="2" t="s">
        <v>544</v>
      </c>
      <c r="B382" s="2" t="s">
        <v>545</v>
      </c>
      <c r="C382" s="6">
        <v>41516</v>
      </c>
      <c r="E382" s="6">
        <f>C382-D382</f>
        <v>41516</v>
      </c>
      <c r="F382" s="6">
        <f>IF(C382&lt;&gt;0, ((C382-D382)/C382)*100, 0)</f>
        <v>100</v>
      </c>
    </row>
    <row r="383" spans="1:6" x14ac:dyDescent="0.25">
      <c r="A383" s="2" t="s">
        <v>546</v>
      </c>
      <c r="B383" s="2" t="s">
        <v>546</v>
      </c>
      <c r="C383" s="6">
        <v>84940</v>
      </c>
      <c r="D383" s="6">
        <v>80240</v>
      </c>
      <c r="E383" s="6">
        <f>C383-D383</f>
        <v>4700</v>
      </c>
      <c r="F383" s="6">
        <f>IF(C383&lt;&gt;0, ((C383-D383)/C383)*100, 0)</f>
        <v>5.5333176359783378</v>
      </c>
    </row>
    <row r="384" spans="1:6" x14ac:dyDescent="0.25">
      <c r="A384" s="2" t="s">
        <v>547</v>
      </c>
      <c r="B384" s="2" t="s">
        <v>548</v>
      </c>
      <c r="C384" s="6">
        <v>8358875.3600000003</v>
      </c>
      <c r="D384" s="6">
        <v>6393320.5300000003</v>
      </c>
      <c r="E384" s="6">
        <f>C384-D384</f>
        <v>1965554.83</v>
      </c>
      <c r="F384" s="6">
        <f>IF(C384&lt;&gt;0, ((C384-D384)/C384)*100, 0)</f>
        <v>23.514584741935906</v>
      </c>
    </row>
    <row r="385" spans="1:6" x14ac:dyDescent="0.25">
      <c r="A385" s="2" t="s">
        <v>549</v>
      </c>
      <c r="B385" s="2" t="s">
        <v>550</v>
      </c>
      <c r="C385" s="6">
        <v>176250</v>
      </c>
      <c r="D385" s="6">
        <v>120000</v>
      </c>
      <c r="E385" s="6">
        <f>C385-D385</f>
        <v>56250</v>
      </c>
      <c r="F385" s="6">
        <f>IF(C385&lt;&gt;0, ((C385-D385)/C385)*100, 0)</f>
        <v>31.914893617021278</v>
      </c>
    </row>
    <row r="386" spans="1:6" x14ac:dyDescent="0.25">
      <c r="A386" s="2" t="s">
        <v>551</v>
      </c>
      <c r="B386" s="2" t="s">
        <v>552</v>
      </c>
      <c r="C386" s="6">
        <v>64924500</v>
      </c>
      <c r="D386" s="6">
        <v>56380122</v>
      </c>
      <c r="E386" s="6">
        <f>C386-D386</f>
        <v>8544378</v>
      </c>
      <c r="F386" s="6">
        <f>IF(C386&lt;&gt;0, ((C386-D386)/C386)*100, 0)</f>
        <v>13.160483330637895</v>
      </c>
    </row>
    <row r="387" spans="1:6" x14ac:dyDescent="0.25">
      <c r="A387" s="2" t="s">
        <v>553</v>
      </c>
      <c r="B387" s="2" t="s">
        <v>553</v>
      </c>
      <c r="C387" s="6">
        <v>-21</v>
      </c>
      <c r="E387" s="6">
        <f>C387-D387</f>
        <v>-21</v>
      </c>
      <c r="F387" s="6">
        <f>IF(C387&lt;&gt;0, ((C387-D387)/C387)*100, 0)</f>
        <v>100</v>
      </c>
    </row>
    <row r="388" spans="1:6" x14ac:dyDescent="0.25">
      <c r="A388" s="2" t="s">
        <v>554</v>
      </c>
      <c r="B388" s="2" t="s">
        <v>554</v>
      </c>
      <c r="C388" s="6">
        <v>26000</v>
      </c>
      <c r="D388" s="6">
        <v>10000</v>
      </c>
      <c r="E388" s="6">
        <f>C388-D388</f>
        <v>16000</v>
      </c>
      <c r="F388" s="6">
        <f>IF(C388&lt;&gt;0, ((C388-D388)/C388)*100, 0)</f>
        <v>61.53846153846154</v>
      </c>
    </row>
    <row r="389" spans="1:6" x14ac:dyDescent="0.25">
      <c r="A389" s="2" t="s">
        <v>555</v>
      </c>
      <c r="B389" s="2" t="s">
        <v>555</v>
      </c>
      <c r="C389" s="6">
        <v>89000</v>
      </c>
      <c r="D389" s="6">
        <v>69000</v>
      </c>
      <c r="E389" s="6">
        <f>C389-D389</f>
        <v>20000</v>
      </c>
      <c r="F389" s="6">
        <f>IF(C389&lt;&gt;0, ((C389-D389)/C389)*100, 0)</f>
        <v>22.471910112359549</v>
      </c>
    </row>
    <row r="390" spans="1:6" x14ac:dyDescent="0.25">
      <c r="A390" s="2" t="s">
        <v>556</v>
      </c>
      <c r="B390" s="2" t="s">
        <v>557</v>
      </c>
      <c r="C390" s="6">
        <v>-1000</v>
      </c>
      <c r="E390" s="6">
        <f>C390-D390</f>
        <v>-1000</v>
      </c>
      <c r="F390" s="6">
        <f>IF(C390&lt;&gt;0, ((C390-D390)/C390)*100, 0)</f>
        <v>100</v>
      </c>
    </row>
    <row r="391" spans="1:6" x14ac:dyDescent="0.25">
      <c r="A391" s="2" t="s">
        <v>558</v>
      </c>
      <c r="B391" s="2" t="s">
        <v>558</v>
      </c>
      <c r="C391" s="6">
        <v>5</v>
      </c>
      <c r="E391" s="6">
        <f>C391-D391</f>
        <v>5</v>
      </c>
      <c r="F391" s="6">
        <f>IF(C391&lt;&gt;0, ((C391-D391)/C391)*100, 0)</f>
        <v>100</v>
      </c>
    </row>
    <row r="392" spans="1:6" x14ac:dyDescent="0.25">
      <c r="A392" s="2" t="s">
        <v>559</v>
      </c>
      <c r="B392" s="2" t="s">
        <v>559</v>
      </c>
      <c r="C392" s="6">
        <v>48535</v>
      </c>
      <c r="D392" s="6">
        <v>41195.75</v>
      </c>
      <c r="E392" s="6">
        <f>C392-D392</f>
        <v>7339.25</v>
      </c>
      <c r="F392" s="6">
        <f>IF(C392&lt;&gt;0, ((C392-D392)/C392)*100, 0)</f>
        <v>15.121561759554961</v>
      </c>
    </row>
    <row r="393" spans="1:6" x14ac:dyDescent="0.25">
      <c r="A393" s="2" t="s">
        <v>560</v>
      </c>
      <c r="B393" s="2" t="s">
        <v>561</v>
      </c>
      <c r="E393" s="6">
        <f>C393-D393</f>
        <v>0</v>
      </c>
      <c r="F393" s="6">
        <f>IF(C393&lt;&gt;0, ((C393-D393)/C393)*100, 0)</f>
        <v>0</v>
      </c>
    </row>
    <row r="394" spans="1:6" x14ac:dyDescent="0.25">
      <c r="A394" s="2" t="s">
        <v>562</v>
      </c>
      <c r="B394" s="2" t="s">
        <v>562</v>
      </c>
      <c r="C394" s="6">
        <v>59085</v>
      </c>
      <c r="D394" s="6">
        <v>35880</v>
      </c>
      <c r="E394" s="6">
        <f>C394-D394</f>
        <v>23205</v>
      </c>
      <c r="F394" s="6">
        <f>IF(C394&lt;&gt;0, ((C394-D394)/C394)*100, 0)</f>
        <v>39.273927392739274</v>
      </c>
    </row>
    <row r="395" spans="1:6" x14ac:dyDescent="0.25">
      <c r="A395" s="2" t="s">
        <v>563</v>
      </c>
      <c r="B395" s="2" t="s">
        <v>563</v>
      </c>
      <c r="C395" s="6">
        <v>17346363.859999999</v>
      </c>
      <c r="D395" s="6">
        <v>13481537.060000001</v>
      </c>
      <c r="E395" s="6">
        <f>C395-D395</f>
        <v>3864826.7999999989</v>
      </c>
      <c r="F395" s="6">
        <f>IF(C395&lt;&gt;0, ((C395-D395)/C395)*100, 0)</f>
        <v>22.28032820706667</v>
      </c>
    </row>
    <row r="396" spans="1:6" x14ac:dyDescent="0.25">
      <c r="A396" s="2" t="s">
        <v>564</v>
      </c>
      <c r="B396" s="2" t="s">
        <v>565</v>
      </c>
      <c r="C396" s="6">
        <v>198166</v>
      </c>
      <c r="D396" s="6">
        <v>163511.78</v>
      </c>
      <c r="E396" s="6">
        <f>C396-D396</f>
        <v>34654.22</v>
      </c>
      <c r="F396" s="6">
        <f>IF(C396&lt;&gt;0, ((C396-D396)/C396)*100, 0)</f>
        <v>17.487470100824563</v>
      </c>
    </row>
    <row r="397" spans="1:6" x14ac:dyDescent="0.25">
      <c r="A397" s="2" t="s">
        <v>566</v>
      </c>
      <c r="B397" s="2" t="s">
        <v>566</v>
      </c>
      <c r="C397" s="6">
        <v>2000</v>
      </c>
      <c r="D397" s="6">
        <v>1654.6</v>
      </c>
      <c r="E397" s="6">
        <f>C397-D397</f>
        <v>345.40000000000009</v>
      </c>
      <c r="F397" s="6">
        <f>IF(C397&lt;&gt;0, ((C397-D397)/C397)*100, 0)</f>
        <v>17.270000000000003</v>
      </c>
    </row>
    <row r="398" spans="1:6" x14ac:dyDescent="0.25">
      <c r="A398" s="2" t="s">
        <v>567</v>
      </c>
      <c r="B398" s="2" t="s">
        <v>568</v>
      </c>
      <c r="C398" s="6">
        <v>89000</v>
      </c>
      <c r="D398" s="6">
        <v>69000</v>
      </c>
      <c r="E398" s="6">
        <f>C398-D398</f>
        <v>20000</v>
      </c>
      <c r="F398" s="6">
        <f>IF(C398&lt;&gt;0, ((C398-D398)/C398)*100, 0)</f>
        <v>22.471910112359549</v>
      </c>
    </row>
    <row r="399" spans="1:6" x14ac:dyDescent="0.25">
      <c r="A399" s="2" t="s">
        <v>569</v>
      </c>
      <c r="B399" s="2" t="s">
        <v>569</v>
      </c>
      <c r="C399" s="6">
        <v>18645</v>
      </c>
      <c r="D399" s="6">
        <v>13250</v>
      </c>
      <c r="E399" s="6">
        <f>C399-D399</f>
        <v>5395</v>
      </c>
      <c r="F399" s="6">
        <f>IF(C399&lt;&gt;0, ((C399-D399)/C399)*100, 0)</f>
        <v>28.93537141324752</v>
      </c>
    </row>
    <row r="400" spans="1:6" x14ac:dyDescent="0.25">
      <c r="A400" s="2" t="s">
        <v>570</v>
      </c>
      <c r="B400" s="2" t="s">
        <v>571</v>
      </c>
      <c r="C400" s="6">
        <v>4297299</v>
      </c>
      <c r="D400" s="6">
        <v>3139064.23</v>
      </c>
      <c r="E400" s="6">
        <f>C400-D400</f>
        <v>1158234.77</v>
      </c>
      <c r="F400" s="6">
        <f>IF(C400&lt;&gt;0, ((C400-D400)/C400)*100, 0)</f>
        <v>26.952622333237692</v>
      </c>
    </row>
    <row r="401" spans="1:6" x14ac:dyDescent="0.25">
      <c r="A401" s="2" t="s">
        <v>572</v>
      </c>
      <c r="B401" s="2" t="s">
        <v>573</v>
      </c>
      <c r="C401" s="6">
        <v>2573253.2000000002</v>
      </c>
      <c r="D401" s="6">
        <v>2105435.17</v>
      </c>
      <c r="E401" s="6">
        <f>C401-D401</f>
        <v>467818.03000000026</v>
      </c>
      <c r="F401" s="6">
        <f>IF(C401&lt;&gt;0, ((C401-D401)/C401)*100, 0)</f>
        <v>18.180023248392356</v>
      </c>
    </row>
    <row r="402" spans="1:6" x14ac:dyDescent="0.25">
      <c r="A402" s="2" t="s">
        <v>574</v>
      </c>
      <c r="B402" s="2" t="s">
        <v>574</v>
      </c>
      <c r="C402" s="6">
        <v>1184475</v>
      </c>
      <c r="D402" s="6">
        <v>921967.24</v>
      </c>
      <c r="E402" s="6">
        <f>C402-D402</f>
        <v>262507.76</v>
      </c>
      <c r="F402" s="6">
        <f>IF(C402&lt;&gt;0, ((C402-D402)/C402)*100, 0)</f>
        <v>22.162372359062033</v>
      </c>
    </row>
    <row r="403" spans="1:6" x14ac:dyDescent="0.25">
      <c r="A403" s="2" t="s">
        <v>575</v>
      </c>
      <c r="B403" s="2" t="s">
        <v>576</v>
      </c>
      <c r="C403" s="6">
        <v>6382072</v>
      </c>
      <c r="D403" s="6">
        <v>5574841</v>
      </c>
      <c r="E403" s="6">
        <f>C403-D403</f>
        <v>807231</v>
      </c>
      <c r="F403" s="6">
        <f>IF(C403&lt;&gt;0, ((C403-D403)/C403)*100, 0)</f>
        <v>12.64841574961862</v>
      </c>
    </row>
    <row r="404" spans="1:6" x14ac:dyDescent="0.25">
      <c r="A404" s="2" t="s">
        <v>577</v>
      </c>
      <c r="B404" s="2" t="s">
        <v>577</v>
      </c>
      <c r="C404" s="6">
        <v>30000</v>
      </c>
      <c r="D404" s="6">
        <v>24819</v>
      </c>
      <c r="E404" s="6">
        <f>C404-D404</f>
        <v>5181</v>
      </c>
      <c r="F404" s="6">
        <f>IF(C404&lt;&gt;0, ((C404-D404)/C404)*100, 0)</f>
        <v>17.27</v>
      </c>
    </row>
    <row r="405" spans="1:6" x14ac:dyDescent="0.25">
      <c r="A405" s="2" t="s">
        <v>578</v>
      </c>
      <c r="B405" s="2" t="s">
        <v>579</v>
      </c>
      <c r="C405" s="6">
        <v>83722</v>
      </c>
      <c r="D405" s="6">
        <v>70757.56</v>
      </c>
      <c r="E405" s="6">
        <f>C405-D405</f>
        <v>12964.440000000002</v>
      </c>
      <c r="F405" s="6">
        <f>IF(C405&lt;&gt;0, ((C405-D405)/C405)*100, 0)</f>
        <v>15.485105468096799</v>
      </c>
    </row>
    <row r="406" spans="1:6" x14ac:dyDescent="0.25">
      <c r="A406" s="2" t="s">
        <v>580</v>
      </c>
      <c r="B406" s="2" t="s">
        <v>581</v>
      </c>
      <c r="C406" s="6">
        <v>45632</v>
      </c>
      <c r="D406" s="6">
        <v>37266</v>
      </c>
      <c r="E406" s="6">
        <f>C406-D406</f>
        <v>8366</v>
      </c>
      <c r="F406" s="6">
        <f>IF(C406&lt;&gt;0, ((C406-D406)/C406)*100, 0)</f>
        <v>18.333625525946704</v>
      </c>
    </row>
    <row r="407" spans="1:6" x14ac:dyDescent="0.25">
      <c r="A407" s="2" t="s">
        <v>582</v>
      </c>
      <c r="B407" s="2" t="s">
        <v>583</v>
      </c>
      <c r="C407" s="6">
        <v>2110567</v>
      </c>
      <c r="D407" s="6">
        <v>1598809.76</v>
      </c>
      <c r="E407" s="6">
        <f>C407-D407</f>
        <v>511757.24</v>
      </c>
      <c r="F407" s="6">
        <f>IF(C407&lt;&gt;0, ((C407-D407)/C407)*100, 0)</f>
        <v>24.247381864683756</v>
      </c>
    </row>
    <row r="408" spans="1:6" x14ac:dyDescent="0.25">
      <c r="A408" s="2" t="s">
        <v>584</v>
      </c>
      <c r="B408" s="2" t="s">
        <v>585</v>
      </c>
      <c r="C408" s="6">
        <v>2723110</v>
      </c>
      <c r="D408" s="6">
        <v>2257709.2000000002</v>
      </c>
      <c r="E408" s="6">
        <f>C408-D408</f>
        <v>465400.79999999981</v>
      </c>
      <c r="F408" s="6">
        <f>IF(C408&lt;&gt;0, ((C408-D408)/C408)*100, 0)</f>
        <v>17.090782230611314</v>
      </c>
    </row>
    <row r="409" spans="1:6" x14ac:dyDescent="0.25">
      <c r="A409" s="2" t="s">
        <v>586</v>
      </c>
      <c r="B409" s="2" t="s">
        <v>586</v>
      </c>
      <c r="C409" s="6">
        <v>6977</v>
      </c>
      <c r="D409" s="6">
        <v>5740.9</v>
      </c>
      <c r="E409" s="6">
        <f>C409-D409</f>
        <v>1236.1000000000004</v>
      </c>
      <c r="F409" s="6">
        <f>IF(C409&lt;&gt;0, ((C409-D409)/C409)*100, 0)</f>
        <v>17.716783717930348</v>
      </c>
    </row>
    <row r="410" spans="1:6" x14ac:dyDescent="0.25">
      <c r="A410" s="2" t="s">
        <v>587</v>
      </c>
      <c r="B410" s="2" t="s">
        <v>588</v>
      </c>
      <c r="C410" s="6">
        <v>1089165</v>
      </c>
      <c r="D410" s="6">
        <v>784455.92</v>
      </c>
      <c r="E410" s="6">
        <f>C410-D410</f>
        <v>304709.07999999996</v>
      </c>
      <c r="F410" s="6">
        <f>IF(C410&lt;&gt;0, ((C410-D410)/C410)*100, 0)</f>
        <v>27.976392924855276</v>
      </c>
    </row>
    <row r="411" spans="1:6" x14ac:dyDescent="0.25">
      <c r="A411" s="2" t="s">
        <v>589</v>
      </c>
      <c r="B411" s="2" t="s">
        <v>589</v>
      </c>
      <c r="C411" s="6">
        <v>99850</v>
      </c>
      <c r="D411" s="6">
        <v>153460</v>
      </c>
      <c r="E411" s="6">
        <f>C411-D411</f>
        <v>-53610</v>
      </c>
      <c r="F411" s="6">
        <f>IF(C411&lt;&gt;0, ((C411-D411)/C411)*100, 0)</f>
        <v>-53.690535803705565</v>
      </c>
    </row>
    <row r="412" spans="1:6" x14ac:dyDescent="0.25">
      <c r="A412" s="2" t="s">
        <v>590</v>
      </c>
      <c r="B412" s="2" t="s">
        <v>591</v>
      </c>
      <c r="C412" s="6">
        <v>5182600</v>
      </c>
      <c r="D412" s="6">
        <v>4674750</v>
      </c>
      <c r="E412" s="6">
        <f>C412-D412</f>
        <v>507850</v>
      </c>
      <c r="F412" s="6">
        <f>IF(C412&lt;&gt;0, ((C412-D412)/C412)*100, 0)</f>
        <v>9.7991355690194109</v>
      </c>
    </row>
    <row r="413" spans="1:6" x14ac:dyDescent="0.25">
      <c r="A413" s="2" t="s">
        <v>592</v>
      </c>
      <c r="B413" s="2" t="s">
        <v>592</v>
      </c>
      <c r="C413" s="6">
        <v>2764720.34</v>
      </c>
      <c r="D413" s="6">
        <v>2189866.27</v>
      </c>
      <c r="E413" s="6">
        <f>C413-D413</f>
        <v>574854.06999999983</v>
      </c>
      <c r="F413" s="6">
        <f>IF(C413&lt;&gt;0, ((C413-D413)/C413)*100, 0)</f>
        <v>20.792485289850323</v>
      </c>
    </row>
    <row r="414" spans="1:6" x14ac:dyDescent="0.25">
      <c r="A414" s="2" t="s">
        <v>593</v>
      </c>
      <c r="B414" s="2" t="s">
        <v>594</v>
      </c>
      <c r="C414" s="6">
        <v>1184600</v>
      </c>
      <c r="D414" s="6">
        <v>828525</v>
      </c>
      <c r="E414" s="6">
        <f>C414-D414</f>
        <v>356075</v>
      </c>
      <c r="F414" s="6">
        <f>IF(C414&lt;&gt;0, ((C414-D414)/C414)*100, 0)</f>
        <v>30.058669593111599</v>
      </c>
    </row>
    <row r="415" spans="1:6" x14ac:dyDescent="0.25">
      <c r="A415" s="2" t="s">
        <v>595</v>
      </c>
      <c r="B415" s="2" t="s">
        <v>596</v>
      </c>
      <c r="C415" s="6">
        <v>175000</v>
      </c>
      <c r="D415" s="6">
        <v>140242</v>
      </c>
      <c r="E415" s="6">
        <f>C415-D415</f>
        <v>34758</v>
      </c>
      <c r="F415" s="6">
        <f>IF(C415&lt;&gt;0, ((C415-D415)/C415)*100, 0)</f>
        <v>19.861714285714285</v>
      </c>
    </row>
    <row r="416" spans="1:6" x14ac:dyDescent="0.25">
      <c r="A416" s="2" t="s">
        <v>597</v>
      </c>
      <c r="B416" s="2" t="s">
        <v>598</v>
      </c>
      <c r="C416" s="6">
        <v>11534025</v>
      </c>
      <c r="D416" s="6">
        <v>9120068.3399999999</v>
      </c>
      <c r="E416" s="6">
        <f>C416-D416</f>
        <v>2413956.66</v>
      </c>
      <c r="F416" s="6">
        <f>IF(C416&lt;&gt;0, ((C416-D416)/C416)*100, 0)</f>
        <v>20.929004922392661</v>
      </c>
    </row>
    <row r="417" spans="1:6" x14ac:dyDescent="0.25">
      <c r="A417" s="2" t="s">
        <v>599</v>
      </c>
      <c r="B417" s="2" t="s">
        <v>599</v>
      </c>
      <c r="C417" s="6">
        <v>6000</v>
      </c>
      <c r="D417" s="6">
        <v>4963.8</v>
      </c>
      <c r="E417" s="6">
        <f>C417-D417</f>
        <v>1036.1999999999998</v>
      </c>
      <c r="F417" s="6">
        <f>IF(C417&lt;&gt;0, ((C417-D417)/C417)*100, 0)</f>
        <v>17.269999999999996</v>
      </c>
    </row>
    <row r="418" spans="1:6" x14ac:dyDescent="0.25">
      <c r="A418" s="2" t="s">
        <v>600</v>
      </c>
      <c r="B418" s="2" t="s">
        <v>600</v>
      </c>
      <c r="C418" s="6">
        <v>14880</v>
      </c>
      <c r="D418" s="6">
        <v>12603.6</v>
      </c>
      <c r="E418" s="6">
        <f>C418-D418</f>
        <v>2276.3999999999996</v>
      </c>
      <c r="F418" s="6">
        <f>IF(C418&lt;&gt;0, ((C418-D418)/C418)*100, 0)</f>
        <v>15.29838709677419</v>
      </c>
    </row>
    <row r="419" spans="1:6" x14ac:dyDescent="0.25">
      <c r="A419" s="2" t="s">
        <v>601</v>
      </c>
      <c r="B419" s="2" t="s">
        <v>602</v>
      </c>
      <c r="C419" s="6">
        <v>33965</v>
      </c>
      <c r="D419" s="6">
        <v>24743</v>
      </c>
      <c r="E419" s="6">
        <f>C419-D419</f>
        <v>9222</v>
      </c>
      <c r="F419" s="6">
        <f>IF(C419&lt;&gt;0, ((C419-D419)/C419)*100, 0)</f>
        <v>27.151479464154278</v>
      </c>
    </row>
    <row r="420" spans="1:6" x14ac:dyDescent="0.25">
      <c r="A420" s="2" t="s">
        <v>603</v>
      </c>
      <c r="B420" s="2" t="s">
        <v>603</v>
      </c>
      <c r="C420" s="6">
        <v>545277.12</v>
      </c>
      <c r="D420" s="6">
        <v>390934.33</v>
      </c>
      <c r="E420" s="6">
        <f>C420-D420</f>
        <v>154342.78999999998</v>
      </c>
      <c r="F420" s="6">
        <f>IF(C420&lt;&gt;0, ((C420-D420)/C420)*100, 0)</f>
        <v>28.305385342410844</v>
      </c>
    </row>
    <row r="421" spans="1:6" x14ac:dyDescent="0.25">
      <c r="A421" s="2" t="s">
        <v>604</v>
      </c>
      <c r="B421" s="2" t="s">
        <v>605</v>
      </c>
      <c r="C421" s="6">
        <v>287351</v>
      </c>
      <c r="D421" s="6">
        <v>205318.35</v>
      </c>
      <c r="E421" s="6">
        <f>C421-D421</f>
        <v>82032.649999999994</v>
      </c>
      <c r="F421" s="6">
        <f>IF(C421&lt;&gt;0, ((C421-D421)/C421)*100, 0)</f>
        <v>28.547890906939593</v>
      </c>
    </row>
    <row r="422" spans="1:6" x14ac:dyDescent="0.25">
      <c r="A422" s="2" t="s">
        <v>606</v>
      </c>
      <c r="B422" s="2" t="s">
        <v>606</v>
      </c>
      <c r="C422" s="6">
        <v>83885</v>
      </c>
      <c r="E422" s="6">
        <f>C422-D422</f>
        <v>83885</v>
      </c>
      <c r="F422" s="6">
        <f>IF(C422&lt;&gt;0, ((C422-D422)/C422)*100, 0)</f>
        <v>100</v>
      </c>
    </row>
    <row r="423" spans="1:6" x14ac:dyDescent="0.25">
      <c r="A423" s="2" t="s">
        <v>607</v>
      </c>
      <c r="B423" s="2" t="s">
        <v>608</v>
      </c>
      <c r="C423" s="6">
        <v>12800</v>
      </c>
      <c r="D423" s="6">
        <v>7885</v>
      </c>
      <c r="E423" s="6">
        <f>C423-D423</f>
        <v>4915</v>
      </c>
      <c r="F423" s="6">
        <f>IF(C423&lt;&gt;0, ((C423-D423)/C423)*100, 0)</f>
        <v>38.3984375</v>
      </c>
    </row>
    <row r="424" spans="1:6" x14ac:dyDescent="0.25">
      <c r="A424" s="2" t="s">
        <v>609</v>
      </c>
      <c r="B424" s="2" t="s">
        <v>609</v>
      </c>
      <c r="C424" s="6">
        <v>245730</v>
      </c>
      <c r="D424" s="6">
        <v>181553.23</v>
      </c>
      <c r="E424" s="6">
        <f>C424-D424</f>
        <v>64176.76999999999</v>
      </c>
      <c r="F424" s="6">
        <f>IF(C424&lt;&gt;0, ((C424-D424)/C424)*100, 0)</f>
        <v>26.116782647621367</v>
      </c>
    </row>
    <row r="425" spans="1:6" x14ac:dyDescent="0.25">
      <c r="A425" s="2" t="s">
        <v>610</v>
      </c>
      <c r="B425" s="2" t="s">
        <v>610</v>
      </c>
      <c r="C425" s="6">
        <v>1248036.6000000001</v>
      </c>
      <c r="D425" s="6">
        <v>1161151.69</v>
      </c>
      <c r="E425" s="6">
        <f>C425-D425</f>
        <v>86884.910000000149</v>
      </c>
      <c r="F425" s="6">
        <f>IF(C425&lt;&gt;0, ((C425-D425)/C425)*100, 0)</f>
        <v>6.9617277249721807</v>
      </c>
    </row>
    <row r="426" spans="1:6" x14ac:dyDescent="0.25">
      <c r="A426" s="2" t="s">
        <v>611</v>
      </c>
      <c r="B426" s="2" t="s">
        <v>612</v>
      </c>
      <c r="C426" s="6">
        <v>152830</v>
      </c>
      <c r="D426" s="6">
        <v>103500</v>
      </c>
      <c r="E426" s="6">
        <f>C426-D426</f>
        <v>49330</v>
      </c>
      <c r="F426" s="6">
        <f>IF(C426&lt;&gt;0, ((C426-D426)/C426)*100, 0)</f>
        <v>32.277694169992806</v>
      </c>
    </row>
    <row r="427" spans="1:6" x14ac:dyDescent="0.25">
      <c r="A427" s="2" t="s">
        <v>613</v>
      </c>
      <c r="B427" s="2" t="s">
        <v>613</v>
      </c>
      <c r="C427" s="6">
        <v>22940</v>
      </c>
      <c r="D427" s="6">
        <v>19440</v>
      </c>
      <c r="E427" s="6">
        <f>C427-D427</f>
        <v>3500</v>
      </c>
      <c r="F427" s="6">
        <f>IF(C427&lt;&gt;0, ((C427-D427)/C427)*100, 0)</f>
        <v>15.257192676547515</v>
      </c>
    </row>
    <row r="428" spans="1:6" x14ac:dyDescent="0.25">
      <c r="A428" s="2" t="s">
        <v>614</v>
      </c>
      <c r="B428" s="2" t="s">
        <v>615</v>
      </c>
      <c r="C428" s="6">
        <v>1018600</v>
      </c>
      <c r="D428" s="6">
        <v>899925</v>
      </c>
      <c r="E428" s="6">
        <f>C428-D428</f>
        <v>118675</v>
      </c>
      <c r="F428" s="6">
        <f>IF(C428&lt;&gt;0, ((C428-D428)/C428)*100, 0)</f>
        <v>11.650795209110544</v>
      </c>
    </row>
    <row r="429" spans="1:6" x14ac:dyDescent="0.25">
      <c r="A429" s="2" t="s">
        <v>616</v>
      </c>
      <c r="B429" s="2" t="s">
        <v>617</v>
      </c>
      <c r="C429" s="6">
        <v>635301033</v>
      </c>
      <c r="D429" s="6">
        <v>510853415.11000001</v>
      </c>
      <c r="E429" s="6">
        <f>C429-D429</f>
        <v>124447617.88999999</v>
      </c>
      <c r="F429" s="6">
        <f>IF(C429&lt;&gt;0, ((C429-D429)/C429)*100, 0)</f>
        <v>19.588763660958818</v>
      </c>
    </row>
    <row r="430" spans="1:6" x14ac:dyDescent="0.25">
      <c r="A430" s="2" t="s">
        <v>618</v>
      </c>
      <c r="B430" s="2" t="s">
        <v>618</v>
      </c>
      <c r="C430" s="6">
        <v>2393142.1800000002</v>
      </c>
      <c r="D430" s="6">
        <v>1829808.45</v>
      </c>
      <c r="E430" s="6">
        <f>C430-D430</f>
        <v>563333.73000000021</v>
      </c>
      <c r="F430" s="6">
        <f>IF(C430&lt;&gt;0, ((C430-D430)/C430)*100, 0)</f>
        <v>23.539501108956269</v>
      </c>
    </row>
    <row r="431" spans="1:6" x14ac:dyDescent="0.25">
      <c r="A431" s="2" t="s">
        <v>619</v>
      </c>
      <c r="B431" s="2" t="s">
        <v>620</v>
      </c>
      <c r="C431" s="6">
        <v>96020</v>
      </c>
      <c r="D431" s="6">
        <v>74200</v>
      </c>
      <c r="E431" s="6">
        <f>C431-D431</f>
        <v>21820</v>
      </c>
      <c r="F431" s="6">
        <f>IF(C431&lt;&gt;0, ((C431-D431)/C431)*100, 0)</f>
        <v>22.724432409914602</v>
      </c>
    </row>
    <row r="432" spans="1:6" x14ac:dyDescent="0.25">
      <c r="A432" s="2" t="s">
        <v>621</v>
      </c>
      <c r="B432" s="2" t="s">
        <v>621</v>
      </c>
      <c r="C432" s="6">
        <v>-1814</v>
      </c>
      <c r="E432" s="6">
        <f>C432-D432</f>
        <v>-1814</v>
      </c>
      <c r="F432" s="6">
        <f>IF(C432&lt;&gt;0, ((C432-D432)/C432)*100, 0)</f>
        <v>100</v>
      </c>
    </row>
    <row r="433" spans="1:6" x14ac:dyDescent="0.25">
      <c r="A433" s="2" t="s">
        <v>622</v>
      </c>
      <c r="B433" s="2" t="s">
        <v>622</v>
      </c>
      <c r="C433" s="6">
        <v>230575130.25</v>
      </c>
      <c r="D433" s="6">
        <v>180046983.56</v>
      </c>
      <c r="E433" s="6">
        <f>C433-D433</f>
        <v>50528146.689999998</v>
      </c>
      <c r="F433" s="6">
        <f>IF(C433&lt;&gt;0, ((C433-D433)/C433)*100, 0)</f>
        <v>21.913962115174819</v>
      </c>
    </row>
    <row r="434" spans="1:6" x14ac:dyDescent="0.25">
      <c r="A434" s="2" t="s">
        <v>623</v>
      </c>
      <c r="B434" s="2" t="s">
        <v>623</v>
      </c>
      <c r="C434" s="6">
        <v>-1373</v>
      </c>
      <c r="E434" s="6">
        <f>C434-D434</f>
        <v>-1373</v>
      </c>
      <c r="F434" s="6">
        <f>IF(C434&lt;&gt;0, ((C434-D434)/C434)*100, 0)</f>
        <v>100</v>
      </c>
    </row>
    <row r="435" spans="1:6" x14ac:dyDescent="0.25">
      <c r="A435" s="2" t="s">
        <v>624</v>
      </c>
      <c r="B435" s="2" t="s">
        <v>624</v>
      </c>
      <c r="C435" s="6">
        <v>52700</v>
      </c>
      <c r="D435" s="6">
        <v>43334.2</v>
      </c>
      <c r="E435" s="6">
        <f>C435-D435</f>
        <v>9365.8000000000029</v>
      </c>
      <c r="F435" s="6">
        <f>IF(C435&lt;&gt;0, ((C435-D435)/C435)*100, 0)</f>
        <v>17.771916508538904</v>
      </c>
    </row>
    <row r="436" spans="1:6" x14ac:dyDescent="0.25">
      <c r="A436" s="2" t="s">
        <v>625</v>
      </c>
      <c r="B436" s="2" t="s">
        <v>626</v>
      </c>
      <c r="C436" s="6">
        <v>2659948</v>
      </c>
      <c r="D436" s="6">
        <v>2094515.74</v>
      </c>
      <c r="E436" s="6">
        <f>C436-D436</f>
        <v>565432.26</v>
      </c>
      <c r="F436" s="6">
        <f>IF(C436&lt;&gt;0, ((C436-D436)/C436)*100, 0)</f>
        <v>21.257267435303248</v>
      </c>
    </row>
    <row r="437" spans="1:6" x14ac:dyDescent="0.25">
      <c r="A437" s="2" t="s">
        <v>627</v>
      </c>
      <c r="B437" s="2" t="s">
        <v>628</v>
      </c>
      <c r="C437" s="6">
        <v>538638</v>
      </c>
      <c r="D437" s="6">
        <v>441286.40000000002</v>
      </c>
      <c r="E437" s="6">
        <f>C437-D437</f>
        <v>97351.599999999977</v>
      </c>
      <c r="F437" s="6">
        <f>IF(C437&lt;&gt;0, ((C437-D437)/C437)*100, 0)</f>
        <v>18.073659860611389</v>
      </c>
    </row>
    <row r="438" spans="1:6" x14ac:dyDescent="0.25">
      <c r="A438" s="2" t="s">
        <v>629</v>
      </c>
      <c r="B438" s="2" t="s">
        <v>629</v>
      </c>
      <c r="C438" s="6">
        <v>614761.06000000006</v>
      </c>
      <c r="D438" s="6">
        <v>513717.28</v>
      </c>
      <c r="E438" s="6">
        <f>C438-D438</f>
        <v>101043.78000000003</v>
      </c>
      <c r="F438" s="6">
        <f>IF(C438&lt;&gt;0, ((C438-D438)/C438)*100, 0)</f>
        <v>16.436268751309658</v>
      </c>
    </row>
    <row r="439" spans="1:6" x14ac:dyDescent="0.25">
      <c r="A439" s="2" t="s">
        <v>630</v>
      </c>
      <c r="B439" s="2" t="s">
        <v>631</v>
      </c>
      <c r="C439" s="6">
        <v>17820</v>
      </c>
      <c r="D439" s="6">
        <v>15428.57</v>
      </c>
      <c r="E439" s="6">
        <f>C439-D439</f>
        <v>2391.4300000000003</v>
      </c>
      <c r="F439" s="6">
        <f>IF(C439&lt;&gt;0, ((C439-D439)/C439)*100, 0)</f>
        <v>13.419921436588107</v>
      </c>
    </row>
    <row r="440" spans="1:6" x14ac:dyDescent="0.25">
      <c r="A440" s="2" t="s">
        <v>632</v>
      </c>
      <c r="B440" s="2" t="s">
        <v>632</v>
      </c>
      <c r="C440" s="6">
        <v>9064735</v>
      </c>
      <c r="D440" s="6">
        <v>6779174.9000000004</v>
      </c>
      <c r="E440" s="6">
        <f>C440-D440</f>
        <v>2285560.0999999996</v>
      </c>
      <c r="F440" s="6">
        <f>IF(C440&lt;&gt;0, ((C440-D440)/C440)*100, 0)</f>
        <v>25.213755283524559</v>
      </c>
    </row>
    <row r="441" spans="1:6" x14ac:dyDescent="0.25">
      <c r="A441" s="2" t="s">
        <v>633</v>
      </c>
      <c r="B441" s="2" t="s">
        <v>633</v>
      </c>
      <c r="C441" s="6">
        <v>960824.6</v>
      </c>
      <c r="D441" s="6">
        <v>665072.37</v>
      </c>
      <c r="E441" s="6">
        <f>C441-D441</f>
        <v>295752.23</v>
      </c>
      <c r="F441" s="6">
        <f>IF(C441&lt;&gt;0, ((C441-D441)/C441)*100, 0)</f>
        <v>30.781084289473853</v>
      </c>
    </row>
    <row r="442" spans="1:6" x14ac:dyDescent="0.25">
      <c r="A442" s="2" t="s">
        <v>634</v>
      </c>
      <c r="B442" s="2" t="s">
        <v>634</v>
      </c>
      <c r="C442" s="6">
        <v>30460</v>
      </c>
      <c r="D442" s="6">
        <v>25555.77</v>
      </c>
      <c r="E442" s="6">
        <f>C442-D442</f>
        <v>4904.2299999999996</v>
      </c>
      <c r="F442" s="6">
        <f>IF(C442&lt;&gt;0, ((C442-D442)/C442)*100, 0)</f>
        <v>16.100558108995404</v>
      </c>
    </row>
    <row r="443" spans="1:6" x14ac:dyDescent="0.25">
      <c r="A443" s="2" t="s">
        <v>635</v>
      </c>
      <c r="B443" s="2" t="s">
        <v>636</v>
      </c>
      <c r="C443" s="6">
        <v>334044</v>
      </c>
      <c r="D443" s="6">
        <v>290580</v>
      </c>
      <c r="E443" s="6">
        <f>C443-D443</f>
        <v>43464</v>
      </c>
      <c r="F443" s="6">
        <f>IF(C443&lt;&gt;0, ((C443-D443)/C443)*100, 0)</f>
        <v>13.011459568200594</v>
      </c>
    </row>
    <row r="444" spans="1:6" x14ac:dyDescent="0.25">
      <c r="A444" s="2" t="s">
        <v>637</v>
      </c>
      <c r="B444" s="2" t="s">
        <v>637</v>
      </c>
      <c r="C444" s="6">
        <v>53500</v>
      </c>
      <c r="D444" s="6">
        <v>24500</v>
      </c>
      <c r="E444" s="6">
        <f>C444-D444</f>
        <v>29000</v>
      </c>
      <c r="F444" s="6">
        <f>IF(C444&lt;&gt;0, ((C444-D444)/C444)*100, 0)</f>
        <v>54.205607476635507</v>
      </c>
    </row>
    <row r="445" spans="1:6" x14ac:dyDescent="0.25">
      <c r="A445" s="2" t="s">
        <v>638</v>
      </c>
      <c r="B445" s="2" t="s">
        <v>639</v>
      </c>
      <c r="C445" s="6">
        <v>9000</v>
      </c>
      <c r="D445" s="6">
        <v>6000</v>
      </c>
      <c r="E445" s="6">
        <f>C445-D445</f>
        <v>3000</v>
      </c>
      <c r="F445" s="6">
        <f>IF(C445&lt;&gt;0, ((C445-D445)/C445)*100, 0)</f>
        <v>33.333333333333329</v>
      </c>
    </row>
    <row r="446" spans="1:6" x14ac:dyDescent="0.25">
      <c r="A446" s="2" t="s">
        <v>640</v>
      </c>
      <c r="B446" s="2" t="s">
        <v>640</v>
      </c>
      <c r="C446" s="6">
        <v>941</v>
      </c>
      <c r="E446" s="6">
        <f>C446-D446</f>
        <v>941</v>
      </c>
      <c r="F446" s="6">
        <f>IF(C446&lt;&gt;0, ((C446-D446)/C446)*100, 0)</f>
        <v>100</v>
      </c>
    </row>
    <row r="447" spans="1:6" x14ac:dyDescent="0.25">
      <c r="A447" s="2" t="s">
        <v>641</v>
      </c>
      <c r="B447" s="2" t="s">
        <v>641</v>
      </c>
      <c r="C447" s="6">
        <v>110570.8</v>
      </c>
      <c r="D447" s="6">
        <v>84498.240000000005</v>
      </c>
      <c r="E447" s="6">
        <f>C447-D447</f>
        <v>26072.559999999998</v>
      </c>
      <c r="F447" s="6">
        <f>IF(C447&lt;&gt;0, ((C447-D447)/C447)*100, 0)</f>
        <v>23.57996867165653</v>
      </c>
    </row>
    <row r="448" spans="1:6" x14ac:dyDescent="0.25">
      <c r="A448" s="2" t="s">
        <v>642</v>
      </c>
      <c r="B448" s="2" t="s">
        <v>642</v>
      </c>
      <c r="C448" s="6">
        <v>350</v>
      </c>
      <c r="D448" s="6">
        <v>180</v>
      </c>
      <c r="E448" s="6">
        <f>C448-D448</f>
        <v>170</v>
      </c>
      <c r="F448" s="6">
        <f>IF(C448&lt;&gt;0, ((C448-D448)/C448)*100, 0)</f>
        <v>48.571428571428569</v>
      </c>
    </row>
    <row r="449" spans="1:6" x14ac:dyDescent="0.25">
      <c r="A449" s="2" t="s">
        <v>643</v>
      </c>
      <c r="B449" s="2" t="s">
        <v>644</v>
      </c>
      <c r="C449" s="6">
        <v>726394</v>
      </c>
      <c r="D449" s="6">
        <v>620368.88</v>
      </c>
      <c r="E449" s="6">
        <f>C449-D449</f>
        <v>106025.12</v>
      </c>
      <c r="F449" s="6">
        <f>IF(C449&lt;&gt;0, ((C449-D449)/C449)*100, 0)</f>
        <v>14.596089725410726</v>
      </c>
    </row>
    <row r="450" spans="1:6" x14ac:dyDescent="0.25">
      <c r="A450" s="2" t="s">
        <v>645</v>
      </c>
      <c r="B450" s="2" t="s">
        <v>645</v>
      </c>
      <c r="C450" s="6">
        <v>-40</v>
      </c>
      <c r="E450" s="6">
        <f>C450-D450</f>
        <v>-40</v>
      </c>
      <c r="F450" s="6">
        <f>IF(C450&lt;&gt;0, ((C450-D450)/C450)*100, 0)</f>
        <v>100</v>
      </c>
    </row>
    <row r="451" spans="1:6" x14ac:dyDescent="0.25">
      <c r="A451" s="2" t="s">
        <v>646</v>
      </c>
      <c r="B451" s="2" t="s">
        <v>647</v>
      </c>
      <c r="C451" s="6">
        <v>24840</v>
      </c>
      <c r="D451" s="6">
        <v>19954.5</v>
      </c>
      <c r="E451" s="6">
        <f>C451-D451</f>
        <v>4885.5</v>
      </c>
      <c r="F451" s="6">
        <f>IF(C451&lt;&gt;0, ((C451-D451)/C451)*100, 0)</f>
        <v>19.667874396135264</v>
      </c>
    </row>
    <row r="452" spans="1:6" x14ac:dyDescent="0.25">
      <c r="A452" s="2" t="s">
        <v>648</v>
      </c>
      <c r="B452" s="2" t="s">
        <v>648</v>
      </c>
      <c r="C452" s="6">
        <v>401855</v>
      </c>
      <c r="D452" s="6">
        <v>363862.34</v>
      </c>
      <c r="E452" s="6">
        <f>C452-D452</f>
        <v>37992.659999999974</v>
      </c>
      <c r="F452" s="6">
        <f>IF(C452&lt;&gt;0, ((C452-D452)/C452)*100, 0)</f>
        <v>9.4543205882718837</v>
      </c>
    </row>
    <row r="453" spans="1:6" x14ac:dyDescent="0.25">
      <c r="A453" s="2" t="s">
        <v>649</v>
      </c>
      <c r="B453" s="2" t="s">
        <v>649</v>
      </c>
      <c r="C453" s="6">
        <v>181848</v>
      </c>
      <c r="D453" s="6">
        <v>143655.1</v>
      </c>
      <c r="E453" s="6">
        <f>C453-D453</f>
        <v>38192.899999999994</v>
      </c>
      <c r="F453" s="6">
        <f>IF(C453&lt;&gt;0, ((C453-D453)/C453)*100, 0)</f>
        <v>21.002650565307288</v>
      </c>
    </row>
    <row r="454" spans="1:6" x14ac:dyDescent="0.25">
      <c r="A454" s="2" t="s">
        <v>650</v>
      </c>
      <c r="B454" s="2" t="s">
        <v>650</v>
      </c>
      <c r="C454" s="6">
        <v>31450</v>
      </c>
      <c r="D454" s="6">
        <v>26025</v>
      </c>
      <c r="E454" s="6">
        <f>C454-D454</f>
        <v>5425</v>
      </c>
      <c r="F454" s="6">
        <f>IF(C454&lt;&gt;0, ((C454-D454)/C454)*100, 0)</f>
        <v>17.24960254372019</v>
      </c>
    </row>
    <row r="455" spans="1:6" x14ac:dyDescent="0.25">
      <c r="A455" s="2" t="s">
        <v>651</v>
      </c>
      <c r="B455" s="2" t="s">
        <v>651</v>
      </c>
      <c r="C455" s="6">
        <v>39547</v>
      </c>
      <c r="D455" s="6">
        <v>23531.599999999999</v>
      </c>
      <c r="E455" s="6">
        <f>C455-D455</f>
        <v>16015.400000000001</v>
      </c>
      <c r="F455" s="6">
        <f>IF(C455&lt;&gt;0, ((C455-D455)/C455)*100, 0)</f>
        <v>40.497129997218501</v>
      </c>
    </row>
    <row r="456" spans="1:6" x14ac:dyDescent="0.25">
      <c r="A456" s="2" t="s">
        <v>652</v>
      </c>
      <c r="B456" s="2" t="s">
        <v>653</v>
      </c>
      <c r="C456" s="6">
        <v>877000</v>
      </c>
      <c r="D456" s="6">
        <v>944555.69</v>
      </c>
      <c r="E456" s="6">
        <f>C456-D456</f>
        <v>-67555.689999999944</v>
      </c>
      <c r="F456" s="6">
        <f>IF(C456&lt;&gt;0, ((C456-D456)/C456)*100, 0)</f>
        <v>-7.7030433295324912</v>
      </c>
    </row>
    <row r="457" spans="1:6" x14ac:dyDescent="0.25">
      <c r="A457" s="2" t="s">
        <v>654</v>
      </c>
      <c r="B457" s="2" t="s">
        <v>654</v>
      </c>
      <c r="C457" s="6">
        <v>65083</v>
      </c>
      <c r="D457" s="6">
        <v>41905.199999999997</v>
      </c>
      <c r="E457" s="6">
        <f>C457-D457</f>
        <v>23177.800000000003</v>
      </c>
      <c r="F457" s="6">
        <f>IF(C457&lt;&gt;0, ((C457-D457)/C457)*100, 0)</f>
        <v>35.612679194259641</v>
      </c>
    </row>
    <row r="458" spans="1:6" x14ac:dyDescent="0.25">
      <c r="A458" s="2" t="s">
        <v>655</v>
      </c>
      <c r="B458" s="2" t="s">
        <v>655</v>
      </c>
      <c r="C458" s="6">
        <v>3284360</v>
      </c>
      <c r="D458" s="6">
        <v>2968626.4</v>
      </c>
      <c r="E458" s="6">
        <f>C458-D458</f>
        <v>315733.60000000009</v>
      </c>
      <c r="F458" s="6">
        <f>IF(C458&lt;&gt;0, ((C458-D458)/C458)*100, 0)</f>
        <v>9.6132458074023575</v>
      </c>
    </row>
    <row r="459" spans="1:6" x14ac:dyDescent="0.25">
      <c r="A459" s="2" t="s">
        <v>656</v>
      </c>
      <c r="B459" s="2" t="s">
        <v>656</v>
      </c>
      <c r="C459" s="6">
        <v>82</v>
      </c>
      <c r="E459" s="6">
        <f>C459-D459</f>
        <v>82</v>
      </c>
      <c r="F459" s="6">
        <f>IF(C459&lt;&gt;0, ((C459-D459)/C459)*100, 0)</f>
        <v>100</v>
      </c>
    </row>
    <row r="460" spans="1:6" x14ac:dyDescent="0.25">
      <c r="A460" s="2" t="s">
        <v>657</v>
      </c>
      <c r="B460" s="2" t="s">
        <v>657</v>
      </c>
      <c r="E460" s="6">
        <f>C460-D460</f>
        <v>0</v>
      </c>
      <c r="F460" s="6">
        <f>IF(C460&lt;&gt;0, ((C460-D460)/C460)*100, 0)</f>
        <v>0</v>
      </c>
    </row>
    <row r="461" spans="1:6" x14ac:dyDescent="0.25">
      <c r="A461" s="2" t="s">
        <v>658</v>
      </c>
      <c r="B461" s="2" t="s">
        <v>658</v>
      </c>
      <c r="C461" s="6">
        <v>6386913</v>
      </c>
      <c r="D461" s="6">
        <v>5128403.74</v>
      </c>
      <c r="E461" s="6">
        <f>C461-D461</f>
        <v>1258509.2599999998</v>
      </c>
      <c r="F461" s="6">
        <f>IF(C461&lt;&gt;0, ((C461-D461)/C461)*100, 0)</f>
        <v>19.704499810784956</v>
      </c>
    </row>
    <row r="462" spans="1:6" x14ac:dyDescent="0.25">
      <c r="A462" s="2" t="s">
        <v>659</v>
      </c>
      <c r="B462" s="2" t="s">
        <v>659</v>
      </c>
      <c r="C462" s="6">
        <v>1187746</v>
      </c>
      <c r="D462" s="6">
        <v>991343.72</v>
      </c>
      <c r="E462" s="6">
        <f>C462-D462</f>
        <v>196402.28000000003</v>
      </c>
      <c r="F462" s="6">
        <f>IF(C462&lt;&gt;0, ((C462-D462)/C462)*100, 0)</f>
        <v>16.535713864748864</v>
      </c>
    </row>
    <row r="463" spans="1:6" x14ac:dyDescent="0.25">
      <c r="A463" s="2" t="s">
        <v>660</v>
      </c>
      <c r="B463" s="2" t="s">
        <v>660</v>
      </c>
      <c r="C463" s="6">
        <v>-7960</v>
      </c>
      <c r="E463" s="6">
        <f>C463-D463</f>
        <v>-7960</v>
      </c>
      <c r="F463" s="6">
        <f>IF(C463&lt;&gt;0, ((C463-D463)/C463)*100, 0)</f>
        <v>100</v>
      </c>
    </row>
    <row r="464" spans="1:6" x14ac:dyDescent="0.25">
      <c r="A464" s="2" t="s">
        <v>661</v>
      </c>
      <c r="B464" s="2" t="s">
        <v>661</v>
      </c>
      <c r="C464" s="6">
        <v>14892268.08</v>
      </c>
      <c r="D464" s="6">
        <v>12015126.83</v>
      </c>
      <c r="E464" s="6">
        <f>C464-D464</f>
        <v>2877141.25</v>
      </c>
      <c r="F464" s="6">
        <f>IF(C464&lt;&gt;0, ((C464-D464)/C464)*100, 0)</f>
        <v>19.319698212147681</v>
      </c>
    </row>
    <row r="465" spans="1:6" x14ac:dyDescent="0.25">
      <c r="A465" s="2" t="s">
        <v>662</v>
      </c>
      <c r="B465" s="2" t="s">
        <v>662</v>
      </c>
      <c r="C465" s="6">
        <v>998952</v>
      </c>
      <c r="D465" s="6">
        <v>805482.48</v>
      </c>
      <c r="E465" s="6">
        <f>C465-D465</f>
        <v>193469.52000000002</v>
      </c>
      <c r="F465" s="6">
        <f>IF(C465&lt;&gt;0, ((C465-D465)/C465)*100, 0)</f>
        <v>19.367248876822913</v>
      </c>
    </row>
    <row r="466" spans="1:6" x14ac:dyDescent="0.25">
      <c r="A466" s="2" t="s">
        <v>663</v>
      </c>
      <c r="B466" s="2" t="s">
        <v>664</v>
      </c>
      <c r="C466" s="6">
        <v>81950</v>
      </c>
      <c r="D466" s="6">
        <v>69300</v>
      </c>
      <c r="E466" s="6">
        <f>C466-D466</f>
        <v>12650</v>
      </c>
      <c r="F466" s="6">
        <f>IF(C466&lt;&gt;0, ((C466-D466)/C466)*100, 0)</f>
        <v>15.436241610738255</v>
      </c>
    </row>
    <row r="467" spans="1:6" x14ac:dyDescent="0.25">
      <c r="A467" s="2" t="s">
        <v>665</v>
      </c>
      <c r="B467" s="2" t="s">
        <v>665</v>
      </c>
      <c r="C467" s="6">
        <v>3609174.7</v>
      </c>
      <c r="D467" s="6">
        <v>2965076.45</v>
      </c>
      <c r="E467" s="6">
        <f>C467-D467</f>
        <v>644098.25</v>
      </c>
      <c r="F467" s="6">
        <f>IF(C467&lt;&gt;0, ((C467-D467)/C467)*100, 0)</f>
        <v>17.846136680499285</v>
      </c>
    </row>
    <row r="468" spans="1:6" x14ac:dyDescent="0.25">
      <c r="A468" s="2" t="s">
        <v>666</v>
      </c>
      <c r="B468" s="2" t="s">
        <v>666</v>
      </c>
      <c r="C468" s="6">
        <v>214268</v>
      </c>
      <c r="D468" s="6">
        <v>175396.1</v>
      </c>
      <c r="E468" s="6">
        <f>C468-D468</f>
        <v>38871.899999999994</v>
      </c>
      <c r="F468" s="6">
        <f>IF(C468&lt;&gt;0, ((C468-D468)/C468)*100, 0)</f>
        <v>18.141719715496478</v>
      </c>
    </row>
    <row r="469" spans="1:6" x14ac:dyDescent="0.25">
      <c r="A469" s="2" t="s">
        <v>667</v>
      </c>
      <c r="B469" s="2" t="s">
        <v>667</v>
      </c>
      <c r="C469" s="6">
        <v>2651940.16</v>
      </c>
      <c r="D469" s="6">
        <v>2075308.82</v>
      </c>
      <c r="E469" s="6">
        <f>C469-D469</f>
        <v>576631.34000000008</v>
      </c>
      <c r="F469" s="6">
        <f>IF(C469&lt;&gt;0, ((C469-D469)/C469)*100, 0)</f>
        <v>21.743753825878184</v>
      </c>
    </row>
    <row r="470" spans="1:6" x14ac:dyDescent="0.25">
      <c r="A470" s="2" t="s">
        <v>668</v>
      </c>
      <c r="B470" s="2" t="s">
        <v>669</v>
      </c>
      <c r="C470" s="6">
        <v>23533</v>
      </c>
      <c r="D470" s="6">
        <v>19836.28</v>
      </c>
      <c r="E470" s="6">
        <f>C470-D470</f>
        <v>3696.7200000000012</v>
      </c>
      <c r="F470" s="6">
        <f>IF(C470&lt;&gt;0, ((C470-D470)/C470)*100, 0)</f>
        <v>15.708664428674632</v>
      </c>
    </row>
    <row r="471" spans="1:6" x14ac:dyDescent="0.25">
      <c r="A471" s="2" t="s">
        <v>670</v>
      </c>
      <c r="B471" s="2" t="s">
        <v>670</v>
      </c>
      <c r="C471" s="6">
        <v>2339680</v>
      </c>
      <c r="D471" s="6">
        <v>1905712.98</v>
      </c>
      <c r="E471" s="6">
        <f>C471-D471</f>
        <v>433967.02</v>
      </c>
      <c r="F471" s="6">
        <f>IF(C471&lt;&gt;0, ((C471-D471)/C471)*100, 0)</f>
        <v>18.548135642481022</v>
      </c>
    </row>
    <row r="472" spans="1:6" x14ac:dyDescent="0.25">
      <c r="A472" s="2" t="s">
        <v>671</v>
      </c>
      <c r="B472" s="2" t="s">
        <v>671</v>
      </c>
      <c r="C472" s="6">
        <v>39000</v>
      </c>
      <c r="D472" s="6">
        <v>18000</v>
      </c>
      <c r="E472" s="6">
        <f>C472-D472</f>
        <v>21000</v>
      </c>
      <c r="F472" s="6">
        <f>IF(C472&lt;&gt;0, ((C472-D472)/C472)*100, 0)</f>
        <v>53.846153846153847</v>
      </c>
    </row>
    <row r="473" spans="1:6" x14ac:dyDescent="0.25">
      <c r="A473" s="2" t="s">
        <v>672</v>
      </c>
      <c r="B473" s="2" t="s">
        <v>672</v>
      </c>
      <c r="C473" s="6">
        <v>514618.8</v>
      </c>
      <c r="D473" s="6">
        <v>429525.54</v>
      </c>
      <c r="E473" s="6">
        <f>C473-D473</f>
        <v>85093.260000000009</v>
      </c>
      <c r="F473" s="6">
        <f>IF(C473&lt;&gt;0, ((C473-D473)/C473)*100, 0)</f>
        <v>16.535202367266802</v>
      </c>
    </row>
    <row r="474" spans="1:6" x14ac:dyDescent="0.25">
      <c r="A474" s="2" t="s">
        <v>673</v>
      </c>
      <c r="B474" s="2" t="s">
        <v>674</v>
      </c>
      <c r="C474" s="6">
        <v>2797984.2</v>
      </c>
      <c r="D474" s="6">
        <v>2169591.7799999998</v>
      </c>
      <c r="E474" s="6">
        <f>C474-D474</f>
        <v>628392.42000000039</v>
      </c>
      <c r="F474" s="6">
        <f>IF(C474&lt;&gt;0, ((C474-D474)/C474)*100, 0)</f>
        <v>22.458755128066855</v>
      </c>
    </row>
    <row r="475" spans="1:6" x14ac:dyDescent="0.25">
      <c r="A475" s="2" t="s">
        <v>675</v>
      </c>
      <c r="B475" s="2" t="s">
        <v>676</v>
      </c>
      <c r="C475" s="6">
        <v>536364</v>
      </c>
      <c r="D475" s="6">
        <v>461892.16</v>
      </c>
      <c r="E475" s="6">
        <f>C475-D475</f>
        <v>74471.840000000026</v>
      </c>
      <c r="F475" s="6">
        <f>IF(C475&lt;&gt;0, ((C475-D475)/C475)*100, 0)</f>
        <v>13.884570925714632</v>
      </c>
    </row>
    <row r="476" spans="1:6" x14ac:dyDescent="0.25">
      <c r="A476" s="2" t="s">
        <v>677</v>
      </c>
      <c r="B476" s="2" t="s">
        <v>677</v>
      </c>
      <c r="C476" s="6">
        <v>10708649.76</v>
      </c>
      <c r="D476" s="6">
        <v>8052280.4400000004</v>
      </c>
      <c r="E476" s="6">
        <f>C476-D476</f>
        <v>2656369.3199999994</v>
      </c>
      <c r="F476" s="6">
        <f>IF(C476&lt;&gt;0, ((C476-D476)/C476)*100, 0)</f>
        <v>24.805828741568622</v>
      </c>
    </row>
    <row r="477" spans="1:6" x14ac:dyDescent="0.25">
      <c r="A477" s="2" t="s">
        <v>678</v>
      </c>
      <c r="B477" s="2" t="s">
        <v>679</v>
      </c>
      <c r="C477" s="6">
        <v>247500</v>
      </c>
      <c r="D477" s="6">
        <v>225000</v>
      </c>
      <c r="E477" s="6">
        <f>C477-D477</f>
        <v>22500</v>
      </c>
      <c r="F477" s="6">
        <f>IF(C477&lt;&gt;0, ((C477-D477)/C477)*100, 0)</f>
        <v>9.0909090909090917</v>
      </c>
    </row>
    <row r="478" spans="1:6" x14ac:dyDescent="0.25">
      <c r="A478" s="2" t="s">
        <v>680</v>
      </c>
      <c r="B478" s="2" t="s">
        <v>680</v>
      </c>
      <c r="C478" s="6">
        <v>745806</v>
      </c>
      <c r="D478" s="6">
        <v>576349.67000000004</v>
      </c>
      <c r="E478" s="6">
        <f>C478-D478</f>
        <v>169456.32999999996</v>
      </c>
      <c r="F478" s="6">
        <f>IF(C478&lt;&gt;0, ((C478-D478)/C478)*100, 0)</f>
        <v>22.72123447652606</v>
      </c>
    </row>
    <row r="479" spans="1:6" x14ac:dyDescent="0.25">
      <c r="A479" s="2" t="s">
        <v>681</v>
      </c>
      <c r="B479" s="2" t="s">
        <v>681</v>
      </c>
      <c r="C479" s="6">
        <v>434155</v>
      </c>
      <c r="D479" s="6">
        <v>344649.45</v>
      </c>
      <c r="E479" s="6">
        <f>C479-D479</f>
        <v>89505.549999999988</v>
      </c>
      <c r="F479" s="6">
        <f>IF(C479&lt;&gt;0, ((C479-D479)/C479)*100, 0)</f>
        <v>20.616035747601661</v>
      </c>
    </row>
    <row r="480" spans="1:6" x14ac:dyDescent="0.25">
      <c r="A480" s="2" t="s">
        <v>682</v>
      </c>
      <c r="B480" s="2" t="s">
        <v>683</v>
      </c>
      <c r="C480" s="6">
        <v>175574</v>
      </c>
      <c r="D480" s="6">
        <v>146563</v>
      </c>
      <c r="E480" s="6">
        <f>C480-D480</f>
        <v>29011</v>
      </c>
      <c r="F480" s="6">
        <f>IF(C480&lt;&gt;0, ((C480-D480)/C480)*100, 0)</f>
        <v>16.523517149464041</v>
      </c>
    </row>
    <row r="481" spans="1:6" x14ac:dyDescent="0.25">
      <c r="A481" s="2" t="s">
        <v>684</v>
      </c>
      <c r="B481" s="2" t="s">
        <v>685</v>
      </c>
      <c r="C481" s="6">
        <v>-470</v>
      </c>
      <c r="E481" s="6">
        <f>C481-D481</f>
        <v>-470</v>
      </c>
      <c r="F481" s="6">
        <f>IF(C481&lt;&gt;0, ((C481-D481)/C481)*100, 0)</f>
        <v>100</v>
      </c>
    </row>
    <row r="482" spans="1:6" x14ac:dyDescent="0.25">
      <c r="A482" s="2" t="s">
        <v>686</v>
      </c>
      <c r="B482" s="2" t="s">
        <v>687</v>
      </c>
      <c r="C482" s="6">
        <v>267217602.66999999</v>
      </c>
      <c r="D482" s="6">
        <v>211474089.77000001</v>
      </c>
      <c r="E482" s="6">
        <f>C482-D482</f>
        <v>55743512.899999976</v>
      </c>
      <c r="F482" s="6">
        <f>IF(C482&lt;&gt;0, ((C482-D482)/C482)*100, 0)</f>
        <v>20.860718883418901</v>
      </c>
    </row>
    <row r="483" spans="1:6" x14ac:dyDescent="0.25">
      <c r="A483" s="2" t="s">
        <v>688</v>
      </c>
      <c r="B483" s="2" t="s">
        <v>689</v>
      </c>
      <c r="C483" s="6">
        <v>48840</v>
      </c>
      <c r="D483" s="6">
        <v>41400</v>
      </c>
      <c r="E483" s="6">
        <f>C483-D483</f>
        <v>7440</v>
      </c>
      <c r="F483" s="6">
        <f>IF(C483&lt;&gt;0, ((C483-D483)/C483)*100, 0)</f>
        <v>15.233415233415235</v>
      </c>
    </row>
    <row r="484" spans="1:6" x14ac:dyDescent="0.25">
      <c r="A484" s="2" t="s">
        <v>690</v>
      </c>
      <c r="B484" s="2" t="s">
        <v>690</v>
      </c>
      <c r="C484" s="6">
        <v>37138</v>
      </c>
      <c r="D484" s="6">
        <v>23060</v>
      </c>
      <c r="E484" s="6">
        <f>C484-D484</f>
        <v>14078</v>
      </c>
      <c r="F484" s="6">
        <f>IF(C484&lt;&gt;0, ((C484-D484)/C484)*100, 0)</f>
        <v>37.907264796165649</v>
      </c>
    </row>
    <row r="485" spans="1:6" x14ac:dyDescent="0.25">
      <c r="A485" s="2" t="s">
        <v>691</v>
      </c>
      <c r="B485" s="2" t="s">
        <v>692</v>
      </c>
      <c r="C485" s="6">
        <v>374309.9</v>
      </c>
      <c r="D485" s="6">
        <v>279821.59999999998</v>
      </c>
      <c r="E485" s="6">
        <f>C485-D485</f>
        <v>94488.300000000047</v>
      </c>
      <c r="F485" s="6">
        <f>IF(C485&lt;&gt;0, ((C485-D485)/C485)*100, 0)</f>
        <v>25.243334466975103</v>
      </c>
    </row>
    <row r="486" spans="1:6" x14ac:dyDescent="0.25">
      <c r="A486" s="2" t="s">
        <v>693</v>
      </c>
      <c r="B486" s="2" t="s">
        <v>694</v>
      </c>
      <c r="C486" s="6">
        <v>2631820</v>
      </c>
      <c r="D486" s="6">
        <v>2305588.06</v>
      </c>
      <c r="E486" s="6">
        <f>C486-D486</f>
        <v>326231.93999999994</v>
      </c>
      <c r="F486" s="6">
        <f>IF(C486&lt;&gt;0, ((C486-D486)/C486)*100, 0)</f>
        <v>12.395678275869928</v>
      </c>
    </row>
    <row r="487" spans="1:6" x14ac:dyDescent="0.25">
      <c r="A487" s="2" t="s">
        <v>695</v>
      </c>
      <c r="B487" s="2" t="s">
        <v>695</v>
      </c>
      <c r="C487" s="6">
        <v>-1200</v>
      </c>
      <c r="E487" s="6">
        <f>C487-D487</f>
        <v>-1200</v>
      </c>
      <c r="F487" s="6">
        <f>IF(C487&lt;&gt;0, ((C487-D487)/C487)*100, 0)</f>
        <v>100</v>
      </c>
    </row>
    <row r="488" spans="1:6" x14ac:dyDescent="0.25">
      <c r="A488" s="2" t="s">
        <v>696</v>
      </c>
      <c r="B488" s="2" t="s">
        <v>697</v>
      </c>
      <c r="C488" s="6">
        <v>8299845</v>
      </c>
      <c r="D488" s="6">
        <v>5579486.5899999999</v>
      </c>
      <c r="E488" s="6">
        <f>C488-D488</f>
        <v>2720358.41</v>
      </c>
      <c r="F488" s="6">
        <f>IF(C488&lt;&gt;0, ((C488-D488)/C488)*100, 0)</f>
        <v>32.776014612321077</v>
      </c>
    </row>
    <row r="489" spans="1:6" x14ac:dyDescent="0.25">
      <c r="A489" s="2" t="s">
        <v>698</v>
      </c>
      <c r="B489" s="2" t="s">
        <v>698</v>
      </c>
      <c r="C489" s="6">
        <v>362500</v>
      </c>
      <c r="D489" s="6">
        <v>290000</v>
      </c>
      <c r="E489" s="6">
        <f>C489-D489</f>
        <v>72500</v>
      </c>
      <c r="F489" s="6">
        <f>IF(C489&lt;&gt;0, ((C489-D489)/C489)*100, 0)</f>
        <v>20</v>
      </c>
    </row>
    <row r="490" spans="1:6" x14ac:dyDescent="0.25">
      <c r="A490" s="2" t="s">
        <v>699</v>
      </c>
      <c r="B490" s="2" t="s">
        <v>700</v>
      </c>
      <c r="C490" s="6">
        <v>315941082.32999998</v>
      </c>
      <c r="D490" s="6">
        <v>244586221.87</v>
      </c>
      <c r="E490" s="6">
        <f>C490-D490</f>
        <v>71354860.459999979</v>
      </c>
      <c r="F490" s="6">
        <f>IF(C490&lt;&gt;0, ((C490-D490)/C490)*100, 0)</f>
        <v>22.584862954121913</v>
      </c>
    </row>
    <row r="491" spans="1:6" x14ac:dyDescent="0.25">
      <c r="A491" s="2" t="s">
        <v>701</v>
      </c>
      <c r="B491" s="2" t="s">
        <v>702</v>
      </c>
      <c r="C491" s="6">
        <v>20813</v>
      </c>
      <c r="D491" s="6">
        <v>7350</v>
      </c>
      <c r="E491" s="6">
        <f>C491-D491</f>
        <v>13463</v>
      </c>
      <c r="F491" s="6">
        <f>IF(C491&lt;&gt;0, ((C491-D491)/C491)*100, 0)</f>
        <v>64.685533080286362</v>
      </c>
    </row>
    <row r="492" spans="1:6" x14ac:dyDescent="0.25">
      <c r="A492" s="2" t="s">
        <v>703</v>
      </c>
      <c r="B492" s="2" t="s">
        <v>703</v>
      </c>
      <c r="C492" s="6">
        <v>2846586.05</v>
      </c>
      <c r="D492" s="6">
        <v>2297811.3199999998</v>
      </c>
      <c r="E492" s="6">
        <f>C492-D492</f>
        <v>548774.73</v>
      </c>
      <c r="F492" s="6">
        <f>IF(C492&lt;&gt;0, ((C492-D492)/C492)*100, 0)</f>
        <v>19.278346776132064</v>
      </c>
    </row>
    <row r="493" spans="1:6" x14ac:dyDescent="0.25">
      <c r="A493" s="2" t="s">
        <v>704</v>
      </c>
      <c r="B493" s="2" t="s">
        <v>704</v>
      </c>
      <c r="C493" s="6">
        <v>220450</v>
      </c>
      <c r="D493" s="6">
        <v>158700</v>
      </c>
      <c r="E493" s="6">
        <f>C493-D493</f>
        <v>61750</v>
      </c>
      <c r="F493" s="6">
        <f>IF(C493&lt;&gt;0, ((C493-D493)/C493)*100, 0)</f>
        <v>28.010886822408708</v>
      </c>
    </row>
    <row r="494" spans="1:6" x14ac:dyDescent="0.25">
      <c r="A494" s="2" t="s">
        <v>705</v>
      </c>
      <c r="B494" s="2" t="s">
        <v>706</v>
      </c>
      <c r="C494" s="6">
        <v>6257834</v>
      </c>
      <c r="D494" s="6">
        <v>3579531</v>
      </c>
      <c r="E494" s="6">
        <f>C494-D494</f>
        <v>2678303</v>
      </c>
      <c r="F494" s="6">
        <f>IF(C494&lt;&gt;0, ((C494-D494)/C494)*100, 0)</f>
        <v>42.799201768535248</v>
      </c>
    </row>
    <row r="495" spans="1:6" x14ac:dyDescent="0.25">
      <c r="A495" s="2" t="s">
        <v>707</v>
      </c>
      <c r="B495" s="2" t="s">
        <v>707</v>
      </c>
      <c r="C495" s="6">
        <v>89000</v>
      </c>
      <c r="D495" s="6">
        <v>69000</v>
      </c>
      <c r="E495" s="6">
        <f>C495-D495</f>
        <v>20000</v>
      </c>
      <c r="F495" s="6">
        <f>IF(C495&lt;&gt;0, ((C495-D495)/C495)*100, 0)</f>
        <v>22.471910112359549</v>
      </c>
    </row>
    <row r="496" spans="1:6" x14ac:dyDescent="0.25">
      <c r="A496" s="2" t="s">
        <v>708</v>
      </c>
      <c r="B496" s="2" t="s">
        <v>708</v>
      </c>
      <c r="C496" s="6">
        <v>176200</v>
      </c>
      <c r="D496" s="6">
        <v>147920</v>
      </c>
      <c r="E496" s="6">
        <f>C496-D496</f>
        <v>28280</v>
      </c>
      <c r="F496" s="6">
        <f>IF(C496&lt;&gt;0, ((C496-D496)/C496)*100, 0)</f>
        <v>16.04994324631101</v>
      </c>
    </row>
    <row r="497" spans="1:6" x14ac:dyDescent="0.25">
      <c r="A497" s="2" t="s">
        <v>709</v>
      </c>
      <c r="B497" s="2" t="s">
        <v>709</v>
      </c>
      <c r="C497" s="6">
        <v>14800</v>
      </c>
      <c r="D497" s="6">
        <v>4645</v>
      </c>
      <c r="E497" s="6">
        <f>C497-D497</f>
        <v>10155</v>
      </c>
      <c r="F497" s="6">
        <f>IF(C497&lt;&gt;0, ((C497-D497)/C497)*100, 0)</f>
        <v>68.61486486486487</v>
      </c>
    </row>
    <row r="498" spans="1:6" x14ac:dyDescent="0.25">
      <c r="A498" s="2" t="s">
        <v>710</v>
      </c>
      <c r="B498" s="2" t="s">
        <v>710</v>
      </c>
      <c r="C498" s="6">
        <v>-95</v>
      </c>
      <c r="E498" s="6">
        <f>C498-D498</f>
        <v>-95</v>
      </c>
      <c r="F498" s="6">
        <f>IF(C498&lt;&gt;0, ((C498-D498)/C498)*100, 0)</f>
        <v>100</v>
      </c>
    </row>
    <row r="499" spans="1:6" x14ac:dyDescent="0.25">
      <c r="A499" s="2" t="s">
        <v>711</v>
      </c>
      <c r="B499" s="2" t="s">
        <v>712</v>
      </c>
      <c r="C499" s="6">
        <v>1416398.18</v>
      </c>
      <c r="D499" s="6">
        <v>1172308.21</v>
      </c>
      <c r="E499" s="6">
        <f>C499-D499</f>
        <v>244089.96999999997</v>
      </c>
      <c r="F499" s="6">
        <f>IF(C499&lt;&gt;0, ((C499-D499)/C499)*100, 0)</f>
        <v>17.233146261173534</v>
      </c>
    </row>
    <row r="500" spans="1:6" x14ac:dyDescent="0.25">
      <c r="A500" s="2" t="s">
        <v>713</v>
      </c>
      <c r="B500" s="2" t="s">
        <v>714</v>
      </c>
      <c r="C500" s="6">
        <v>360172.2</v>
      </c>
      <c r="D500" s="6">
        <v>264332.03999999998</v>
      </c>
      <c r="E500" s="6">
        <f>C500-D500</f>
        <v>95840.160000000033</v>
      </c>
      <c r="F500" s="6">
        <f>IF(C500&lt;&gt;0, ((C500-D500)/C500)*100, 0)</f>
        <v>26.609538437447426</v>
      </c>
    </row>
    <row r="501" spans="1:6" x14ac:dyDescent="0.25">
      <c r="A501" s="2" t="s">
        <v>715</v>
      </c>
      <c r="B501" s="2" t="s">
        <v>716</v>
      </c>
      <c r="C501" s="6">
        <v>5158553</v>
      </c>
      <c r="D501" s="6">
        <v>3984912.36</v>
      </c>
      <c r="E501" s="6">
        <f>C501-D501</f>
        <v>1173640.6400000001</v>
      </c>
      <c r="F501" s="6">
        <f>IF(C501&lt;&gt;0, ((C501-D501)/C501)*100, 0)</f>
        <v>22.751353722642769</v>
      </c>
    </row>
    <row r="502" spans="1:6" x14ac:dyDescent="0.25">
      <c r="A502" s="2" t="s">
        <v>717</v>
      </c>
      <c r="B502" s="2" t="s">
        <v>717</v>
      </c>
      <c r="C502" s="6">
        <v>261613493.09999999</v>
      </c>
      <c r="D502" s="6">
        <v>220271189.13</v>
      </c>
      <c r="E502" s="6">
        <f>C502-D502</f>
        <v>41342303.969999999</v>
      </c>
      <c r="F502" s="6">
        <f>IF(C502&lt;&gt;0, ((C502-D502)/C502)*100, 0)</f>
        <v>15.802817920479805</v>
      </c>
    </row>
    <row r="503" spans="1:6" x14ac:dyDescent="0.25">
      <c r="A503" s="2" t="s">
        <v>718</v>
      </c>
      <c r="B503" s="2" t="s">
        <v>719</v>
      </c>
      <c r="C503" s="6">
        <v>90847213.099999994</v>
      </c>
      <c r="D503" s="6">
        <v>72247055.799999997</v>
      </c>
      <c r="E503" s="6">
        <f>C503-D503</f>
        <v>18600157.299999997</v>
      </c>
      <c r="F503" s="6">
        <f>IF(C503&lt;&gt;0, ((C503-D503)/C503)*100, 0)</f>
        <v>20.474108852988028</v>
      </c>
    </row>
    <row r="504" spans="1:6" x14ac:dyDescent="0.25">
      <c r="A504" s="2" t="s">
        <v>720</v>
      </c>
      <c r="B504" s="2" t="s">
        <v>720</v>
      </c>
      <c r="C504" s="6">
        <v>3884801.95</v>
      </c>
      <c r="D504" s="6">
        <v>2925338.39</v>
      </c>
      <c r="E504" s="6">
        <f>C504-D504</f>
        <v>959463.56</v>
      </c>
      <c r="F504" s="6">
        <f>IF(C504&lt;&gt;0, ((C504-D504)/C504)*100, 0)</f>
        <v>24.697875782316263</v>
      </c>
    </row>
    <row r="505" spans="1:6" x14ac:dyDescent="0.25">
      <c r="A505" s="2" t="s">
        <v>721</v>
      </c>
      <c r="B505" s="2" t="s">
        <v>722</v>
      </c>
      <c r="C505" s="6">
        <v>141568</v>
      </c>
      <c r="D505" s="6">
        <v>128691</v>
      </c>
      <c r="E505" s="6">
        <f>C505-D505</f>
        <v>12877</v>
      </c>
      <c r="F505" s="6">
        <f>IF(C505&lt;&gt;0, ((C505-D505)/C505)*100, 0)</f>
        <v>9.0959821428571423</v>
      </c>
    </row>
    <row r="506" spans="1:6" x14ac:dyDescent="0.25">
      <c r="A506" s="2" t="s">
        <v>723</v>
      </c>
      <c r="B506" s="2" t="s">
        <v>723</v>
      </c>
      <c r="C506" s="6">
        <v>1001200</v>
      </c>
      <c r="D506" s="6">
        <v>584325</v>
      </c>
      <c r="E506" s="6">
        <f>C506-D506</f>
        <v>416875</v>
      </c>
      <c r="F506" s="6">
        <f>IF(C506&lt;&gt;0, ((C506-D506)/C506)*100, 0)</f>
        <v>41.637534958050338</v>
      </c>
    </row>
    <row r="507" spans="1:6" x14ac:dyDescent="0.25">
      <c r="A507" s="2" t="s">
        <v>724</v>
      </c>
      <c r="B507" s="2" t="s">
        <v>724</v>
      </c>
      <c r="C507" s="6">
        <v>637427</v>
      </c>
      <c r="D507" s="6">
        <v>387284.51</v>
      </c>
      <c r="E507" s="6">
        <f>C507-D507</f>
        <v>250142.49</v>
      </c>
      <c r="F507" s="6">
        <f>IF(C507&lt;&gt;0, ((C507-D507)/C507)*100, 0)</f>
        <v>39.242531301623558</v>
      </c>
    </row>
    <row r="508" spans="1:6" x14ac:dyDescent="0.25">
      <c r="A508" s="2" t="s">
        <v>725</v>
      </c>
      <c r="B508" s="2" t="s">
        <v>725</v>
      </c>
      <c r="C508" s="6">
        <v>163260</v>
      </c>
      <c r="E508" s="6">
        <f>C508-D508</f>
        <v>163260</v>
      </c>
      <c r="F508" s="6">
        <f>IF(C508&lt;&gt;0, ((C508-D508)/C508)*100, 0)</f>
        <v>100</v>
      </c>
    </row>
    <row r="509" spans="1:6" x14ac:dyDescent="0.25">
      <c r="A509" s="2" t="s">
        <v>726</v>
      </c>
      <c r="B509" s="2" t="s">
        <v>726</v>
      </c>
      <c r="C509" s="6">
        <v>24205</v>
      </c>
      <c r="E509" s="6">
        <f>C509-D509</f>
        <v>24205</v>
      </c>
      <c r="F509" s="6">
        <f>IF(C509&lt;&gt;0, ((C509-D509)/C509)*100, 0)</f>
        <v>100</v>
      </c>
    </row>
    <row r="510" spans="1:6" x14ac:dyDescent="0.25">
      <c r="A510" s="2" t="s">
        <v>727</v>
      </c>
      <c r="B510" s="2" t="s">
        <v>727</v>
      </c>
      <c r="C510" s="6">
        <v>683420.2</v>
      </c>
      <c r="D510" s="6">
        <v>534175</v>
      </c>
      <c r="E510" s="6">
        <f>C510-D510</f>
        <v>149245.19999999995</v>
      </c>
      <c r="F510" s="6">
        <f>IF(C510&lt;&gt;0, ((C510-D510)/C510)*100, 0)</f>
        <v>21.83798488836004</v>
      </c>
    </row>
    <row r="511" spans="1:6" x14ac:dyDescent="0.25">
      <c r="A511" s="2" t="s">
        <v>728</v>
      </c>
      <c r="B511" s="2" t="s">
        <v>728</v>
      </c>
      <c r="C511" s="6">
        <v>302570</v>
      </c>
      <c r="D511" s="6">
        <v>225881.2</v>
      </c>
      <c r="E511" s="6">
        <f>C511-D511</f>
        <v>76688.799999999988</v>
      </c>
      <c r="F511" s="6">
        <f>IF(C511&lt;&gt;0, ((C511-D511)/C511)*100, 0)</f>
        <v>25.345804276696299</v>
      </c>
    </row>
    <row r="512" spans="1:6" x14ac:dyDescent="0.25">
      <c r="A512" s="2" t="s">
        <v>729</v>
      </c>
      <c r="B512" s="2" t="s">
        <v>730</v>
      </c>
      <c r="C512" s="6">
        <v>1345655</v>
      </c>
      <c r="D512" s="6">
        <v>851193.95</v>
      </c>
      <c r="E512" s="6">
        <f>C512-D512</f>
        <v>494461.05000000005</v>
      </c>
      <c r="F512" s="6">
        <f>IF(C512&lt;&gt;0, ((C512-D512)/C512)*100, 0)</f>
        <v>36.745008936168631</v>
      </c>
    </row>
    <row r="513" spans="1:6" x14ac:dyDescent="0.25">
      <c r="A513" s="2" t="s">
        <v>731</v>
      </c>
      <c r="B513" s="2" t="s">
        <v>732</v>
      </c>
      <c r="C513" s="6">
        <v>64915</v>
      </c>
      <c r="D513" s="6">
        <v>51124.2</v>
      </c>
      <c r="E513" s="6">
        <f>C513-D513</f>
        <v>13790.800000000003</v>
      </c>
      <c r="F513" s="6">
        <f>IF(C513&lt;&gt;0, ((C513-D513)/C513)*100, 0)</f>
        <v>21.244396518524226</v>
      </c>
    </row>
    <row r="514" spans="1:6" x14ac:dyDescent="0.25">
      <c r="A514" s="2" t="s">
        <v>733</v>
      </c>
      <c r="B514" s="2" t="s">
        <v>734</v>
      </c>
      <c r="C514" s="6">
        <v>927224</v>
      </c>
      <c r="D514" s="6">
        <v>825861.19</v>
      </c>
      <c r="E514" s="6">
        <f>C514-D514</f>
        <v>101362.81000000006</v>
      </c>
      <c r="F514" s="6">
        <f>IF(C514&lt;&gt;0, ((C514-D514)/C514)*100, 0)</f>
        <v>10.931857889787155</v>
      </c>
    </row>
    <row r="515" spans="1:6" x14ac:dyDescent="0.25">
      <c r="A515" s="2" t="s">
        <v>735</v>
      </c>
      <c r="B515" s="2" t="s">
        <v>736</v>
      </c>
      <c r="C515" s="6">
        <v>596250</v>
      </c>
      <c r="D515" s="6">
        <v>469000</v>
      </c>
      <c r="E515" s="6">
        <f>C515-D515</f>
        <v>127250</v>
      </c>
      <c r="F515" s="6">
        <f>IF(C515&lt;&gt;0, ((C515-D515)/C515)*100, 0)</f>
        <v>21.341719077568133</v>
      </c>
    </row>
    <row r="516" spans="1:6" x14ac:dyDescent="0.25">
      <c r="A516" s="2" t="s">
        <v>737</v>
      </c>
      <c r="B516" s="2" t="s">
        <v>738</v>
      </c>
      <c r="C516" s="6">
        <v>13860</v>
      </c>
      <c r="D516" s="6">
        <v>11545</v>
      </c>
      <c r="E516" s="6">
        <f>C516-D516</f>
        <v>2315</v>
      </c>
      <c r="F516" s="6">
        <f>IF(C516&lt;&gt;0, ((C516-D516)/C516)*100, 0)</f>
        <v>16.702741702741701</v>
      </c>
    </row>
    <row r="517" spans="1:6" x14ac:dyDescent="0.25">
      <c r="A517" s="2" t="s">
        <v>739</v>
      </c>
      <c r="B517" s="2" t="s">
        <v>739</v>
      </c>
      <c r="C517" s="6">
        <v>2562471.36</v>
      </c>
      <c r="D517" s="6">
        <v>2052244.11</v>
      </c>
      <c r="E517" s="6">
        <f>C517-D517</f>
        <v>510227.24999999977</v>
      </c>
      <c r="F517" s="6">
        <f>IF(C517&lt;&gt;0, ((C517-D517)/C517)*100, 0)</f>
        <v>19.911529859986405</v>
      </c>
    </row>
    <row r="518" spans="1:6" x14ac:dyDescent="0.25">
      <c r="A518" s="2" t="s">
        <v>740</v>
      </c>
      <c r="B518" s="2" t="s">
        <v>741</v>
      </c>
      <c r="C518" s="6">
        <v>886611</v>
      </c>
      <c r="D518" s="6">
        <v>787299</v>
      </c>
      <c r="E518" s="6">
        <f>C518-D518</f>
        <v>99312</v>
      </c>
      <c r="F518" s="6">
        <f>IF(C518&lt;&gt;0, ((C518-D518)/C518)*100, 0)</f>
        <v>11.201304743568487</v>
      </c>
    </row>
    <row r="519" spans="1:6" x14ac:dyDescent="0.25">
      <c r="A519" s="2" t="s">
        <v>742</v>
      </c>
      <c r="B519" s="2" t="s">
        <v>742</v>
      </c>
      <c r="C519" s="6">
        <v>42783</v>
      </c>
      <c r="D519" s="6">
        <v>37516.870000000003</v>
      </c>
      <c r="E519" s="6">
        <f>C519-D519</f>
        <v>5266.1299999999974</v>
      </c>
      <c r="F519" s="6">
        <f>IF(C519&lt;&gt;0, ((C519-D519)/C519)*100, 0)</f>
        <v>12.308931117499936</v>
      </c>
    </row>
    <row r="520" spans="1:6" x14ac:dyDescent="0.25">
      <c r="A520" s="2" t="s">
        <v>743</v>
      </c>
      <c r="B520" s="2" t="s">
        <v>743</v>
      </c>
      <c r="C520" s="6">
        <v>7190</v>
      </c>
      <c r="D520" s="6">
        <v>6092.24</v>
      </c>
      <c r="E520" s="6">
        <f>C520-D520</f>
        <v>1097.7600000000002</v>
      </c>
      <c r="F520" s="6">
        <f>IF(C520&lt;&gt;0, ((C520-D520)/C520)*100, 0)</f>
        <v>15.267872044506262</v>
      </c>
    </row>
    <row r="521" spans="1:6" x14ac:dyDescent="0.25">
      <c r="A521" s="2" t="s">
        <v>744</v>
      </c>
      <c r="B521" s="2" t="s">
        <v>745</v>
      </c>
      <c r="C521" s="6">
        <v>29750</v>
      </c>
      <c r="D521" s="6">
        <v>21250</v>
      </c>
      <c r="E521" s="6">
        <f>C521-D521</f>
        <v>8500</v>
      </c>
      <c r="F521" s="6">
        <f>IF(C521&lt;&gt;0, ((C521-D521)/C521)*100, 0)</f>
        <v>28.571428571428569</v>
      </c>
    </row>
    <row r="522" spans="1:6" x14ac:dyDescent="0.25">
      <c r="A522" s="2" t="s">
        <v>746</v>
      </c>
      <c r="B522" s="2" t="s">
        <v>747</v>
      </c>
      <c r="C522" s="6">
        <v>6250</v>
      </c>
      <c r="D522" s="6">
        <v>5000</v>
      </c>
      <c r="E522" s="6">
        <f>C522-D522</f>
        <v>1250</v>
      </c>
      <c r="F522" s="6">
        <f>IF(C522&lt;&gt;0, ((C522-D522)/C522)*100, 0)</f>
        <v>20</v>
      </c>
    </row>
    <row r="523" spans="1:6" x14ac:dyDescent="0.25">
      <c r="A523" s="2" t="s">
        <v>748</v>
      </c>
      <c r="B523" s="2" t="s">
        <v>748</v>
      </c>
      <c r="C523" s="6">
        <v>316913</v>
      </c>
      <c r="D523" s="6">
        <v>162131.43</v>
      </c>
      <c r="E523" s="6">
        <f>C523-D523</f>
        <v>154781.57</v>
      </c>
      <c r="F523" s="6">
        <f>IF(C523&lt;&gt;0, ((C523-D523)/C523)*100, 0)</f>
        <v>48.840397837892418</v>
      </c>
    </row>
    <row r="524" spans="1:6" x14ac:dyDescent="0.25">
      <c r="A524" s="2" t="s">
        <v>749</v>
      </c>
      <c r="B524" s="2" t="s">
        <v>749</v>
      </c>
      <c r="C524" s="6">
        <v>-30</v>
      </c>
      <c r="E524" s="6">
        <f>C524-D524</f>
        <v>-30</v>
      </c>
      <c r="F524" s="6">
        <f>IF(C524&lt;&gt;0, ((C524-D524)/C524)*100, 0)</f>
        <v>100</v>
      </c>
    </row>
    <row r="525" spans="1:6" x14ac:dyDescent="0.25">
      <c r="A525" s="2" t="s">
        <v>750</v>
      </c>
      <c r="B525" s="2" t="s">
        <v>751</v>
      </c>
      <c r="C525" s="6">
        <v>6002653.9100000001</v>
      </c>
      <c r="D525" s="6">
        <v>4712755.41</v>
      </c>
      <c r="E525" s="6">
        <f>C525-D525</f>
        <v>1289898.5</v>
      </c>
      <c r="F525" s="6">
        <f>IF(C525&lt;&gt;0, ((C525-D525)/C525)*100, 0)</f>
        <v>21.488803441609715</v>
      </c>
    </row>
    <row r="526" spans="1:6" x14ac:dyDescent="0.25">
      <c r="A526" s="2" t="s">
        <v>752</v>
      </c>
      <c r="B526" s="2" t="s">
        <v>752</v>
      </c>
      <c r="C526" s="6">
        <v>533488.80000000005</v>
      </c>
      <c r="D526" s="6">
        <v>427937.46</v>
      </c>
      <c r="E526" s="6">
        <f>C526-D526</f>
        <v>105551.34000000003</v>
      </c>
      <c r="F526" s="6">
        <f>IF(C526&lt;&gt;0, ((C526-D526)/C526)*100, 0)</f>
        <v>19.785108890758345</v>
      </c>
    </row>
    <row r="527" spans="1:6" x14ac:dyDescent="0.25">
      <c r="A527" s="2" t="s">
        <v>753</v>
      </c>
      <c r="B527" s="2" t="s">
        <v>753</v>
      </c>
      <c r="C527" s="6">
        <v>12916</v>
      </c>
      <c r="D527" s="6">
        <v>11748</v>
      </c>
      <c r="E527" s="6">
        <f>C527-D527</f>
        <v>1168</v>
      </c>
      <c r="F527" s="6">
        <f>IF(C527&lt;&gt;0, ((C527-D527)/C527)*100, 0)</f>
        <v>9.0430473830907392</v>
      </c>
    </row>
    <row r="528" spans="1:6" x14ac:dyDescent="0.25">
      <c r="A528" s="2" t="s">
        <v>754</v>
      </c>
      <c r="B528" s="2" t="s">
        <v>754</v>
      </c>
      <c r="C528" s="6">
        <v>305195</v>
      </c>
      <c r="D528" s="6">
        <v>250407.52</v>
      </c>
      <c r="E528" s="6">
        <f>C528-D528</f>
        <v>54787.48000000001</v>
      </c>
      <c r="F528" s="6">
        <f>IF(C528&lt;&gt;0, ((C528-D528)/C528)*100, 0)</f>
        <v>17.951630924490903</v>
      </c>
    </row>
    <row r="529" spans="1:6" x14ac:dyDescent="0.25">
      <c r="A529" s="2" t="s">
        <v>755</v>
      </c>
      <c r="B529" s="2" t="s">
        <v>755</v>
      </c>
      <c r="C529" s="6">
        <v>115750</v>
      </c>
      <c r="D529" s="6">
        <v>95636.17</v>
      </c>
      <c r="E529" s="6">
        <f>C529-D529</f>
        <v>20113.830000000002</v>
      </c>
      <c r="F529" s="6">
        <f>IF(C529&lt;&gt;0, ((C529-D529)/C529)*100, 0)</f>
        <v>17.376958963282942</v>
      </c>
    </row>
    <row r="530" spans="1:6" x14ac:dyDescent="0.25">
      <c r="A530" s="2" t="s">
        <v>756</v>
      </c>
      <c r="B530" s="2" t="s">
        <v>757</v>
      </c>
      <c r="C530" s="6">
        <v>1068277</v>
      </c>
      <c r="D530" s="6">
        <v>862396.9</v>
      </c>
      <c r="E530" s="6">
        <f>C530-D530</f>
        <v>205880.09999999998</v>
      </c>
      <c r="F530" s="6">
        <f>IF(C530&lt;&gt;0, ((C530-D530)/C530)*100, 0)</f>
        <v>19.272164429263196</v>
      </c>
    </row>
    <row r="531" spans="1:6" x14ac:dyDescent="0.25">
      <c r="A531" s="2" t="s">
        <v>758</v>
      </c>
      <c r="B531" s="2" t="s">
        <v>759</v>
      </c>
      <c r="C531" s="6">
        <v>35</v>
      </c>
      <c r="E531" s="6">
        <f>C531-D531</f>
        <v>35</v>
      </c>
      <c r="F531" s="6">
        <f>IF(C531&lt;&gt;0, ((C531-D531)/C531)*100, 0)</f>
        <v>100</v>
      </c>
    </row>
    <row r="532" spans="1:6" x14ac:dyDescent="0.25">
      <c r="A532" s="2" t="s">
        <v>760</v>
      </c>
      <c r="B532" s="2" t="s">
        <v>761</v>
      </c>
      <c r="C532" s="6">
        <v>2805687</v>
      </c>
      <c r="D532" s="6">
        <v>1975431.8</v>
      </c>
      <c r="E532" s="6">
        <f>C532-D532</f>
        <v>830255.2</v>
      </c>
      <c r="F532" s="6">
        <f>IF(C532&lt;&gt;0, ((C532-D532)/C532)*100, 0)</f>
        <v>29.591868230490427</v>
      </c>
    </row>
    <row r="533" spans="1:6" x14ac:dyDescent="0.25">
      <c r="A533" s="2" t="s">
        <v>762</v>
      </c>
      <c r="B533" s="2" t="s">
        <v>762</v>
      </c>
      <c r="C533" s="6">
        <v>17020812</v>
      </c>
      <c r="D533" s="6">
        <v>14507808.24</v>
      </c>
      <c r="E533" s="6">
        <f>C533-D533</f>
        <v>2513003.7599999998</v>
      </c>
      <c r="F533" s="6">
        <f>IF(C533&lt;&gt;0, ((C533-D533)/C533)*100, 0)</f>
        <v>14.764300081570724</v>
      </c>
    </row>
    <row r="534" spans="1:6" x14ac:dyDescent="0.25">
      <c r="A534" s="2" t="s">
        <v>763</v>
      </c>
      <c r="B534" s="2" t="s">
        <v>764</v>
      </c>
      <c r="C534" s="6">
        <v>691882.2</v>
      </c>
      <c r="D534" s="6">
        <v>562646.5</v>
      </c>
      <c r="E534" s="6">
        <f>C534-D534</f>
        <v>129235.69999999995</v>
      </c>
      <c r="F534" s="6">
        <f>IF(C534&lt;&gt;0, ((C534-D534)/C534)*100, 0)</f>
        <v>18.678858915578399</v>
      </c>
    </row>
    <row r="535" spans="1:6" x14ac:dyDescent="0.25">
      <c r="A535" s="2" t="s">
        <v>765</v>
      </c>
      <c r="B535" s="2" t="s">
        <v>765</v>
      </c>
      <c r="C535" s="6">
        <v>13349425.74</v>
      </c>
      <c r="D535" s="6">
        <v>11013885.65</v>
      </c>
      <c r="E535" s="6">
        <f>C535-D535</f>
        <v>2335540.09</v>
      </c>
      <c r="F535" s="6">
        <f>IF(C535&lt;&gt;0, ((C535-D535)/C535)*100, 0)</f>
        <v>17.495434901007208</v>
      </c>
    </row>
    <row r="536" spans="1:6" x14ac:dyDescent="0.25">
      <c r="A536" s="2" t="s">
        <v>766</v>
      </c>
      <c r="B536" s="2" t="s">
        <v>766</v>
      </c>
      <c r="C536" s="6">
        <v>26000</v>
      </c>
      <c r="D536" s="6">
        <v>25885</v>
      </c>
      <c r="E536" s="6">
        <f>C536-D536</f>
        <v>115</v>
      </c>
      <c r="F536" s="6">
        <f>IF(C536&lt;&gt;0, ((C536-D536)/C536)*100, 0)</f>
        <v>0.44230769230769229</v>
      </c>
    </row>
    <row r="537" spans="1:6" x14ac:dyDescent="0.25">
      <c r="A537" s="2" t="s">
        <v>767</v>
      </c>
      <c r="B537" s="2" t="s">
        <v>768</v>
      </c>
      <c r="C537" s="6">
        <v>165614</v>
      </c>
      <c r="D537" s="6">
        <v>98341.35</v>
      </c>
      <c r="E537" s="6">
        <f>C537-D537</f>
        <v>67272.649999999994</v>
      </c>
      <c r="F537" s="6">
        <f>IF(C537&lt;&gt;0, ((C537-D537)/C537)*100, 0)</f>
        <v>40.620146847488733</v>
      </c>
    </row>
    <row r="538" spans="1:6" x14ac:dyDescent="0.25">
      <c r="A538" s="2" t="s">
        <v>769</v>
      </c>
      <c r="B538" s="2" t="s">
        <v>770</v>
      </c>
      <c r="C538" s="6">
        <v>3675624</v>
      </c>
      <c r="D538" s="6">
        <v>2819316.7</v>
      </c>
      <c r="E538" s="6">
        <f>C538-D538</f>
        <v>856307.29999999981</v>
      </c>
      <c r="F538" s="6">
        <f>IF(C538&lt;&gt;0, ((C538-D538)/C538)*100, 0)</f>
        <v>23.296923189096592</v>
      </c>
    </row>
    <row r="539" spans="1:6" x14ac:dyDescent="0.25">
      <c r="A539" s="2" t="s">
        <v>771</v>
      </c>
      <c r="B539" s="2" t="s">
        <v>772</v>
      </c>
      <c r="C539" s="6">
        <v>-15</v>
      </c>
      <c r="E539" s="6">
        <f>C539-D539</f>
        <v>-15</v>
      </c>
      <c r="F539" s="6">
        <f>IF(C539&lt;&gt;0, ((C539-D539)/C539)*100, 0)</f>
        <v>100</v>
      </c>
    </row>
    <row r="540" spans="1:6" x14ac:dyDescent="0.25">
      <c r="A540" s="2" t="s">
        <v>773</v>
      </c>
      <c r="B540" s="2" t="s">
        <v>774</v>
      </c>
      <c r="C540" s="6">
        <v>68575</v>
      </c>
      <c r="D540" s="6">
        <v>61830</v>
      </c>
      <c r="E540" s="6">
        <f>C540-D540</f>
        <v>6745</v>
      </c>
      <c r="F540" s="6">
        <f>IF(C540&lt;&gt;0, ((C540-D540)/C540)*100, 0)</f>
        <v>9.8359460444768487</v>
      </c>
    </row>
    <row r="541" spans="1:6" x14ac:dyDescent="0.25">
      <c r="A541" s="2" t="s">
        <v>775</v>
      </c>
      <c r="B541" s="2" t="s">
        <v>775</v>
      </c>
      <c r="C541" s="6">
        <v>26691</v>
      </c>
      <c r="D541" s="6">
        <v>22760</v>
      </c>
      <c r="E541" s="6">
        <f>C541-D541</f>
        <v>3931</v>
      </c>
      <c r="F541" s="6">
        <f>IF(C541&lt;&gt;0, ((C541-D541)/C541)*100, 0)</f>
        <v>14.727810872578772</v>
      </c>
    </row>
    <row r="542" spans="1:6" x14ac:dyDescent="0.25">
      <c r="A542" s="2" t="s">
        <v>776</v>
      </c>
      <c r="B542" s="2" t="s">
        <v>777</v>
      </c>
      <c r="C542" s="6">
        <v>1439866</v>
      </c>
      <c r="D542" s="6">
        <v>1191185.1200000001</v>
      </c>
      <c r="E542" s="6">
        <f>C542-D542</f>
        <v>248680.87999999989</v>
      </c>
      <c r="F542" s="6">
        <f>IF(C542&lt;&gt;0, ((C542-D542)/C542)*100, 0)</f>
        <v>17.271112728545564</v>
      </c>
    </row>
    <row r="543" spans="1:6" x14ac:dyDescent="0.25">
      <c r="A543" s="2" t="s">
        <v>778</v>
      </c>
      <c r="B543" s="2" t="s">
        <v>779</v>
      </c>
      <c r="C543" s="6">
        <v>59840</v>
      </c>
      <c r="D543" s="6">
        <v>50500</v>
      </c>
      <c r="E543" s="6">
        <f>C543-D543</f>
        <v>9340</v>
      </c>
      <c r="F543" s="6">
        <f>IF(C543&lt;&gt;0, ((C543-D543)/C543)*100, 0)</f>
        <v>15.608288770053477</v>
      </c>
    </row>
    <row r="544" spans="1:6" x14ac:dyDescent="0.25">
      <c r="A544" s="2" t="s">
        <v>780</v>
      </c>
      <c r="B544" s="2" t="s">
        <v>781</v>
      </c>
      <c r="C544" s="6">
        <v>2780089.8</v>
      </c>
      <c r="D544" s="6">
        <v>2174559.65</v>
      </c>
      <c r="E544" s="6">
        <f>C544-D544</f>
        <v>605530.14999999991</v>
      </c>
      <c r="F544" s="6">
        <f>IF(C544&lt;&gt;0, ((C544-D544)/C544)*100, 0)</f>
        <v>21.780956500038233</v>
      </c>
    </row>
    <row r="545" spans="1:6" x14ac:dyDescent="0.25">
      <c r="A545" s="2" t="s">
        <v>782</v>
      </c>
      <c r="B545" s="2" t="s">
        <v>783</v>
      </c>
      <c r="C545" s="6">
        <v>385526</v>
      </c>
      <c r="D545" s="6">
        <v>292400.49</v>
      </c>
      <c r="E545" s="6">
        <f>C545-D545</f>
        <v>93125.510000000009</v>
      </c>
      <c r="F545" s="6">
        <f>IF(C545&lt;&gt;0, ((C545-D545)/C545)*100, 0)</f>
        <v>24.15544217510622</v>
      </c>
    </row>
    <row r="546" spans="1:6" x14ac:dyDescent="0.25">
      <c r="A546" s="2" t="s">
        <v>784</v>
      </c>
      <c r="B546" s="2" t="s">
        <v>785</v>
      </c>
      <c r="C546" s="6">
        <v>6780</v>
      </c>
      <c r="D546" s="6">
        <v>5600</v>
      </c>
      <c r="E546" s="6">
        <f>C546-D546</f>
        <v>1180</v>
      </c>
      <c r="F546" s="6">
        <f>IF(C546&lt;&gt;0, ((C546-D546)/C546)*100, 0)</f>
        <v>17.404129793510325</v>
      </c>
    </row>
    <row r="547" spans="1:6" x14ac:dyDescent="0.25">
      <c r="A547" s="2" t="s">
        <v>786</v>
      </c>
      <c r="B547" s="2" t="s">
        <v>786</v>
      </c>
      <c r="C547" s="6">
        <v>31685</v>
      </c>
      <c r="E547" s="6">
        <f>C547-D547</f>
        <v>31685</v>
      </c>
      <c r="F547" s="6">
        <f>IF(C547&lt;&gt;0, ((C547-D547)/C547)*100, 0)</f>
        <v>100</v>
      </c>
    </row>
    <row r="548" spans="1:6" x14ac:dyDescent="0.25">
      <c r="A548" s="2" t="s">
        <v>787</v>
      </c>
      <c r="B548" s="2" t="s">
        <v>788</v>
      </c>
      <c r="C548" s="6">
        <v>4537</v>
      </c>
      <c r="D548" s="6">
        <v>4470.3999999999996</v>
      </c>
      <c r="E548" s="6">
        <f>C548-D548</f>
        <v>66.600000000000364</v>
      </c>
      <c r="F548" s="6">
        <f>IF(C548&lt;&gt;0, ((C548-D548)/C548)*100, 0)</f>
        <v>1.4679303504518484</v>
      </c>
    </row>
    <row r="549" spans="1:6" x14ac:dyDescent="0.25">
      <c r="A549" s="2" t="s">
        <v>789</v>
      </c>
      <c r="B549" s="2" t="s">
        <v>789</v>
      </c>
      <c r="C549" s="6">
        <v>37552</v>
      </c>
      <c r="D549" s="6">
        <v>27759.599999999999</v>
      </c>
      <c r="E549" s="6">
        <f>C549-D549</f>
        <v>9792.4000000000015</v>
      </c>
      <c r="F549" s="6">
        <f>IF(C549&lt;&gt;0, ((C549-D549)/C549)*100, 0)</f>
        <v>26.076906689390718</v>
      </c>
    </row>
    <row r="550" spans="1:6" x14ac:dyDescent="0.25">
      <c r="A550" s="2" t="s">
        <v>790</v>
      </c>
      <c r="B550" s="2" t="s">
        <v>791</v>
      </c>
      <c r="C550" s="6">
        <v>94600</v>
      </c>
      <c r="D550" s="6">
        <v>79944.600000000006</v>
      </c>
      <c r="E550" s="6">
        <f>C550-D550</f>
        <v>14655.399999999994</v>
      </c>
      <c r="F550" s="6">
        <f>IF(C550&lt;&gt;0, ((C550-D550)/C550)*100, 0)</f>
        <v>15.491966173361515</v>
      </c>
    </row>
    <row r="551" spans="1:6" x14ac:dyDescent="0.25">
      <c r="A551" s="2" t="s">
        <v>792</v>
      </c>
      <c r="B551" s="2" t="s">
        <v>793</v>
      </c>
      <c r="C551" s="6">
        <v>5309943.74</v>
      </c>
      <c r="D551" s="6">
        <v>4026338.04</v>
      </c>
      <c r="E551" s="6">
        <f>C551-D551</f>
        <v>1283605.7000000002</v>
      </c>
      <c r="F551" s="6">
        <f>IF(C551&lt;&gt;0, ((C551-D551)/C551)*100, 0)</f>
        <v>24.173621470422589</v>
      </c>
    </row>
    <row r="552" spans="1:6" x14ac:dyDescent="0.25">
      <c r="A552" s="2" t="s">
        <v>794</v>
      </c>
      <c r="B552" s="2" t="s">
        <v>795</v>
      </c>
      <c r="C552" s="6">
        <v>957583</v>
      </c>
      <c r="D552" s="6">
        <v>699816.24</v>
      </c>
      <c r="E552" s="6">
        <f>C552-D552</f>
        <v>257766.76</v>
      </c>
      <c r="F552" s="6">
        <f>IF(C552&lt;&gt;0, ((C552-D552)/C552)*100, 0)</f>
        <v>26.91847704063251</v>
      </c>
    </row>
    <row r="553" spans="1:6" x14ac:dyDescent="0.25">
      <c r="A553" s="2" t="s">
        <v>796</v>
      </c>
      <c r="B553" s="2" t="s">
        <v>796</v>
      </c>
      <c r="C553" s="6">
        <v>4000</v>
      </c>
      <c r="D553" s="6">
        <v>3309.2</v>
      </c>
      <c r="E553" s="6">
        <f>C553-D553</f>
        <v>690.80000000000018</v>
      </c>
      <c r="F553" s="6">
        <f>IF(C553&lt;&gt;0, ((C553-D553)/C553)*100, 0)</f>
        <v>17.270000000000003</v>
      </c>
    </row>
    <row r="554" spans="1:6" x14ac:dyDescent="0.25">
      <c r="A554" s="2" t="s">
        <v>797</v>
      </c>
      <c r="B554" s="2" t="s">
        <v>797</v>
      </c>
      <c r="C554" s="6">
        <v>49555</v>
      </c>
      <c r="D554" s="6">
        <v>29825.16</v>
      </c>
      <c r="E554" s="6">
        <f>C554-D554</f>
        <v>19729.84</v>
      </c>
      <c r="F554" s="6">
        <f>IF(C554&lt;&gt;0, ((C554-D554)/C554)*100, 0)</f>
        <v>39.814024820906063</v>
      </c>
    </row>
    <row r="555" spans="1:6" x14ac:dyDescent="0.25">
      <c r="A555" s="2" t="s">
        <v>798</v>
      </c>
      <c r="B555" s="2" t="s">
        <v>799</v>
      </c>
      <c r="C555" s="6">
        <v>7270</v>
      </c>
      <c r="D555" s="6">
        <v>4837.78</v>
      </c>
      <c r="E555" s="6">
        <f>C555-D555</f>
        <v>2432.2200000000003</v>
      </c>
      <c r="F555" s="6">
        <f>IF(C555&lt;&gt;0, ((C555-D555)/C555)*100, 0)</f>
        <v>33.455570839064649</v>
      </c>
    </row>
    <row r="556" spans="1:6" x14ac:dyDescent="0.25">
      <c r="A556" s="2" t="s">
        <v>800</v>
      </c>
      <c r="B556" s="2" t="s">
        <v>800</v>
      </c>
      <c r="C556" s="6">
        <v>215502247.58000001</v>
      </c>
      <c r="D556" s="6">
        <v>171327772.93000001</v>
      </c>
      <c r="E556" s="6">
        <f>C556-D556</f>
        <v>44174474.650000006</v>
      </c>
      <c r="F556" s="6">
        <f>IF(C556&lt;&gt;0, ((C556-D556)/C556)*100, 0)</f>
        <v>20.498382335247477</v>
      </c>
    </row>
    <row r="557" spans="1:6" x14ac:dyDescent="0.25">
      <c r="A557" s="2" t="s">
        <v>801</v>
      </c>
      <c r="B557" s="2" t="s">
        <v>802</v>
      </c>
      <c r="C557" s="6">
        <v>7950</v>
      </c>
      <c r="D557" s="6">
        <v>7224</v>
      </c>
      <c r="E557" s="6">
        <f>C557-D557</f>
        <v>726</v>
      </c>
      <c r="F557" s="6">
        <f>IF(C557&lt;&gt;0, ((C557-D557)/C557)*100, 0)</f>
        <v>9.1320754716981138</v>
      </c>
    </row>
    <row r="558" spans="1:6" x14ac:dyDescent="0.25">
      <c r="A558" s="2" t="s">
        <v>803</v>
      </c>
      <c r="B558" s="2" t="s">
        <v>804</v>
      </c>
      <c r="C558" s="6">
        <v>15900</v>
      </c>
      <c r="D558" s="6">
        <v>13604.84</v>
      </c>
      <c r="E558" s="6">
        <f>C558-D558</f>
        <v>2295.16</v>
      </c>
      <c r="F558" s="6">
        <f>IF(C558&lt;&gt;0, ((C558-D558)/C558)*100, 0)</f>
        <v>14.434968553459118</v>
      </c>
    </row>
    <row r="559" spans="1:6" x14ac:dyDescent="0.25">
      <c r="A559" s="2" t="s">
        <v>805</v>
      </c>
      <c r="B559" s="2" t="s">
        <v>805</v>
      </c>
      <c r="C559" s="6">
        <v>-1005</v>
      </c>
      <c r="E559" s="6">
        <f>C559-D559</f>
        <v>-1005</v>
      </c>
      <c r="F559" s="6">
        <f>IF(C559&lt;&gt;0, ((C559-D559)/C559)*100, 0)</f>
        <v>100</v>
      </c>
    </row>
    <row r="560" spans="1:6" x14ac:dyDescent="0.25">
      <c r="A560" s="2" t="s">
        <v>806</v>
      </c>
      <c r="B560" s="2" t="s">
        <v>806</v>
      </c>
      <c r="C560" s="6">
        <v>316915</v>
      </c>
      <c r="D560" s="6">
        <v>199240</v>
      </c>
      <c r="E560" s="6">
        <f>C560-D560</f>
        <v>117675</v>
      </c>
      <c r="F560" s="6">
        <f>IF(C560&lt;&gt;0, ((C560-D560)/C560)*100, 0)</f>
        <v>37.131407475190507</v>
      </c>
    </row>
    <row r="561" spans="1:6" x14ac:dyDescent="0.25">
      <c r="A561" s="2" t="s">
        <v>807</v>
      </c>
      <c r="B561" s="2" t="s">
        <v>807</v>
      </c>
      <c r="C561" s="6">
        <v>31790</v>
      </c>
      <c r="D561" s="6">
        <v>18619</v>
      </c>
      <c r="E561" s="6">
        <f>C561-D561</f>
        <v>13171</v>
      </c>
      <c r="F561" s="6">
        <f>IF(C561&lt;&gt;0, ((C561-D561)/C561)*100, 0)</f>
        <v>41.431267694243473</v>
      </c>
    </row>
    <row r="562" spans="1:6" x14ac:dyDescent="0.25">
      <c r="A562" s="2" t="s">
        <v>808</v>
      </c>
      <c r="B562" s="2" t="s">
        <v>808</v>
      </c>
      <c r="C562" s="6">
        <v>-20</v>
      </c>
      <c r="E562" s="6">
        <f>C562-D562</f>
        <v>-20</v>
      </c>
      <c r="F562" s="6">
        <f>IF(C562&lt;&gt;0, ((C562-D562)/C562)*100, 0)</f>
        <v>100</v>
      </c>
    </row>
    <row r="563" spans="1:6" x14ac:dyDescent="0.25">
      <c r="A563" s="2" t="s">
        <v>809</v>
      </c>
      <c r="B563" s="2" t="s">
        <v>809</v>
      </c>
      <c r="C563" s="6">
        <v>858932.64</v>
      </c>
      <c r="D563" s="6">
        <v>750558.26</v>
      </c>
      <c r="E563" s="6">
        <f>C563-D563</f>
        <v>108374.38</v>
      </c>
      <c r="F563" s="6">
        <f>IF(C563&lt;&gt;0, ((C563-D563)/C563)*100, 0)</f>
        <v>12.617331668755771</v>
      </c>
    </row>
    <row r="564" spans="1:6" x14ac:dyDescent="0.25">
      <c r="A564" s="2" t="s">
        <v>810</v>
      </c>
      <c r="B564" s="2" t="s">
        <v>811</v>
      </c>
      <c r="C564" s="6">
        <v>5275</v>
      </c>
      <c r="D564" s="6">
        <v>4645</v>
      </c>
      <c r="E564" s="6">
        <f>C564-D564</f>
        <v>630</v>
      </c>
      <c r="F564" s="6">
        <f>IF(C564&lt;&gt;0, ((C564-D564)/C564)*100, 0)</f>
        <v>11.943127962085308</v>
      </c>
    </row>
    <row r="565" spans="1:6" x14ac:dyDescent="0.25">
      <c r="A565" s="2" t="s">
        <v>812</v>
      </c>
      <c r="B565" s="2" t="s">
        <v>812</v>
      </c>
      <c r="C565" s="6">
        <v>12410</v>
      </c>
      <c r="D565" s="6">
        <v>10790</v>
      </c>
      <c r="E565" s="6">
        <f>C565-D565</f>
        <v>1620</v>
      </c>
      <c r="F565" s="6">
        <f>IF(C565&lt;&gt;0, ((C565-D565)/C565)*100, 0)</f>
        <v>13.05398871877518</v>
      </c>
    </row>
    <row r="566" spans="1:6" x14ac:dyDescent="0.25">
      <c r="A566" s="2" t="s">
        <v>813</v>
      </c>
      <c r="B566" s="2" t="s">
        <v>814</v>
      </c>
      <c r="C566" s="6">
        <v>9147490</v>
      </c>
      <c r="D566" s="6">
        <v>7263942.5999999996</v>
      </c>
      <c r="E566" s="6">
        <f>C566-D566</f>
        <v>1883547.4000000004</v>
      </c>
      <c r="F566" s="6">
        <f>IF(C566&lt;&gt;0, ((C566-D566)/C566)*100, 0)</f>
        <v>20.590865909664842</v>
      </c>
    </row>
    <row r="567" spans="1:6" x14ac:dyDescent="0.25">
      <c r="A567" s="2" t="s">
        <v>815</v>
      </c>
      <c r="B567" s="2" t="s">
        <v>815</v>
      </c>
      <c r="C567" s="6">
        <v>202950</v>
      </c>
      <c r="D567" s="6">
        <v>184500</v>
      </c>
      <c r="E567" s="6">
        <f>C567-D567</f>
        <v>18450</v>
      </c>
      <c r="F567" s="6">
        <f>IF(C567&lt;&gt;0, ((C567-D567)/C567)*100, 0)</f>
        <v>9.0909090909090917</v>
      </c>
    </row>
    <row r="568" spans="1:6" x14ac:dyDescent="0.25">
      <c r="A568" s="2" t="s">
        <v>816</v>
      </c>
      <c r="B568" s="2" t="s">
        <v>816</v>
      </c>
      <c r="C568" s="6">
        <v>12000</v>
      </c>
      <c r="D568" s="6">
        <v>9927.6</v>
      </c>
      <c r="E568" s="6">
        <f>C568-D568</f>
        <v>2072.3999999999996</v>
      </c>
      <c r="F568" s="6">
        <f>IF(C568&lt;&gt;0, ((C568-D568)/C568)*100, 0)</f>
        <v>17.269999999999996</v>
      </c>
    </row>
    <row r="569" spans="1:6" x14ac:dyDescent="0.25">
      <c r="A569" s="2" t="s">
        <v>817</v>
      </c>
      <c r="B569" s="2" t="s">
        <v>817</v>
      </c>
      <c r="C569" s="6">
        <v>-15</v>
      </c>
      <c r="E569" s="6">
        <f>C569-D569</f>
        <v>-15</v>
      </c>
      <c r="F569" s="6">
        <f>IF(C569&lt;&gt;0, ((C569-D569)/C569)*100, 0)</f>
        <v>100</v>
      </c>
    </row>
    <row r="570" spans="1:6" x14ac:dyDescent="0.25">
      <c r="A570" s="2" t="s">
        <v>818</v>
      </c>
      <c r="B570" s="2" t="s">
        <v>818</v>
      </c>
      <c r="C570" s="6">
        <v>181287.6</v>
      </c>
      <c r="D570" s="6">
        <v>154546.4</v>
      </c>
      <c r="E570" s="6">
        <f>C570-D570</f>
        <v>26741.200000000012</v>
      </c>
      <c r="F570" s="6">
        <f>IF(C570&lt;&gt;0, ((C570-D570)/C570)*100, 0)</f>
        <v>14.75070550881583</v>
      </c>
    </row>
    <row r="571" spans="1:6" x14ac:dyDescent="0.25">
      <c r="A571" s="2" t="s">
        <v>819</v>
      </c>
      <c r="B571" s="2" t="s">
        <v>820</v>
      </c>
      <c r="C571" s="6">
        <v>27330</v>
      </c>
      <c r="D571" s="6">
        <v>21962.25</v>
      </c>
      <c r="E571" s="6">
        <f>C571-D571</f>
        <v>5367.75</v>
      </c>
      <c r="F571" s="6">
        <f>IF(C571&lt;&gt;0, ((C571-D571)/C571)*100, 0)</f>
        <v>19.640504939626783</v>
      </c>
    </row>
    <row r="572" spans="1:6" x14ac:dyDescent="0.25">
      <c r="A572" s="2" t="s">
        <v>821</v>
      </c>
      <c r="B572" s="2" t="s">
        <v>822</v>
      </c>
      <c r="C572" s="6">
        <v>45877</v>
      </c>
      <c r="D572" s="6">
        <v>37995.9</v>
      </c>
      <c r="E572" s="6">
        <f>C572-D572</f>
        <v>7881.0999999999985</v>
      </c>
      <c r="F572" s="6">
        <f>IF(C572&lt;&gt;0, ((C572-D572)/C572)*100, 0)</f>
        <v>17.178760598992955</v>
      </c>
    </row>
    <row r="573" spans="1:6" x14ac:dyDescent="0.25">
      <c r="A573" s="2" t="s">
        <v>823</v>
      </c>
      <c r="B573" s="2" t="s">
        <v>823</v>
      </c>
      <c r="C573" s="6">
        <v>74039</v>
      </c>
      <c r="D573" s="6">
        <v>65520</v>
      </c>
      <c r="E573" s="6">
        <f>C573-D573</f>
        <v>8519</v>
      </c>
      <c r="F573" s="6">
        <f>IF(C573&lt;&gt;0, ((C573-D573)/C573)*100, 0)</f>
        <v>11.506098137468092</v>
      </c>
    </row>
    <row r="574" spans="1:6" x14ac:dyDescent="0.25">
      <c r="A574" s="2" t="s">
        <v>824</v>
      </c>
      <c r="B574" s="2" t="s">
        <v>824</v>
      </c>
      <c r="C574" s="6">
        <v>3928724.24</v>
      </c>
      <c r="D574" s="6">
        <v>2634907.73</v>
      </c>
      <c r="E574" s="6">
        <f>C574-D574</f>
        <v>1293816.5100000002</v>
      </c>
      <c r="F574" s="6">
        <f>IF(C574&lt;&gt;0, ((C574-D574)/C574)*100, 0)</f>
        <v>32.932230183709713</v>
      </c>
    </row>
    <row r="575" spans="1:6" x14ac:dyDescent="0.25">
      <c r="A575" s="2" t="s">
        <v>825</v>
      </c>
      <c r="B575" s="2" t="s">
        <v>825</v>
      </c>
      <c r="C575" s="6">
        <v>372515</v>
      </c>
      <c r="D575" s="6">
        <v>322520</v>
      </c>
      <c r="E575" s="6">
        <f>C575-D575</f>
        <v>49995</v>
      </c>
      <c r="F575" s="6">
        <f>IF(C575&lt;&gt;0, ((C575-D575)/C575)*100, 0)</f>
        <v>13.420936069688469</v>
      </c>
    </row>
    <row r="576" spans="1:6" x14ac:dyDescent="0.25">
      <c r="A576" s="2" t="s">
        <v>826</v>
      </c>
      <c r="B576" s="2" t="s">
        <v>827</v>
      </c>
      <c r="C576" s="6">
        <v>11535664.1</v>
      </c>
      <c r="D576" s="6">
        <v>8791593.3399999999</v>
      </c>
      <c r="E576" s="6">
        <f>C576-D576</f>
        <v>2744070.76</v>
      </c>
      <c r="F576" s="6">
        <f>IF(C576&lt;&gt;0, ((C576-D576)/C576)*100, 0)</f>
        <v>23.787713791007491</v>
      </c>
    </row>
    <row r="577" spans="1:6" x14ac:dyDescent="0.25">
      <c r="A577" s="2" t="s">
        <v>828</v>
      </c>
      <c r="B577" s="2" t="s">
        <v>828</v>
      </c>
      <c r="C577" s="6">
        <v>10705632</v>
      </c>
      <c r="D577" s="6">
        <v>7676525</v>
      </c>
      <c r="E577" s="6">
        <f>C577-D577</f>
        <v>3029107</v>
      </c>
      <c r="F577" s="6">
        <f>IF(C577&lt;&gt;0, ((C577-D577)/C577)*100, 0)</f>
        <v>28.294518249833363</v>
      </c>
    </row>
    <row r="578" spans="1:6" x14ac:dyDescent="0.25">
      <c r="A578" s="2" t="s">
        <v>829</v>
      </c>
      <c r="B578" s="2" t="s">
        <v>830</v>
      </c>
      <c r="C578" s="6">
        <v>539220</v>
      </c>
      <c r="D578" s="6">
        <v>506490</v>
      </c>
      <c r="E578" s="6">
        <f>C578-D578</f>
        <v>32730</v>
      </c>
      <c r="F578" s="6">
        <f>IF(C578&lt;&gt;0, ((C578-D578)/C578)*100, 0)</f>
        <v>6.0698787136975625</v>
      </c>
    </row>
    <row r="579" spans="1:6" x14ac:dyDescent="0.25">
      <c r="A579" s="2" t="s">
        <v>831</v>
      </c>
      <c r="B579" s="2" t="s">
        <v>831</v>
      </c>
      <c r="C579" s="6">
        <v>59346821.100000001</v>
      </c>
      <c r="D579" s="6">
        <v>53050930.68</v>
      </c>
      <c r="E579" s="6">
        <f>C579-D579</f>
        <v>6295890.4200000018</v>
      </c>
      <c r="F579" s="6">
        <f>IF(C579&lt;&gt;0, ((C579-D579)/C579)*100, 0)</f>
        <v>10.608639693424122</v>
      </c>
    </row>
    <row r="580" spans="1:6" x14ac:dyDescent="0.25">
      <c r="A580" s="2" t="s">
        <v>832</v>
      </c>
      <c r="B580" s="2" t="s">
        <v>832</v>
      </c>
      <c r="C580" s="6">
        <v>21025</v>
      </c>
      <c r="D580" s="6">
        <v>19141.5</v>
      </c>
      <c r="E580" s="6">
        <f>C580-D580</f>
        <v>1883.5</v>
      </c>
      <c r="F580" s="6">
        <f>IF(C580&lt;&gt;0, ((C580-D580)/C580)*100, 0)</f>
        <v>8.9583828775267538</v>
      </c>
    </row>
    <row r="581" spans="1:6" x14ac:dyDescent="0.25">
      <c r="A581" s="2" t="s">
        <v>833</v>
      </c>
      <c r="B581" s="2" t="s">
        <v>833</v>
      </c>
      <c r="C581" s="6">
        <v>1580934.76</v>
      </c>
      <c r="D581" s="6">
        <v>1244854.73</v>
      </c>
      <c r="E581" s="6">
        <f>C581-D581</f>
        <v>336080.03</v>
      </c>
      <c r="F581" s="6">
        <f>IF(C581&lt;&gt;0, ((C581-D581)/C581)*100, 0)</f>
        <v>21.258311127272577</v>
      </c>
    </row>
    <row r="582" spans="1:6" x14ac:dyDescent="0.25">
      <c r="A582" s="2" t="s">
        <v>834</v>
      </c>
      <c r="B582" s="2" t="s">
        <v>834</v>
      </c>
      <c r="C582" s="6">
        <v>31911</v>
      </c>
      <c r="D582" s="6">
        <v>25963.8</v>
      </c>
      <c r="E582" s="6">
        <f>C582-D582</f>
        <v>5947.2000000000007</v>
      </c>
      <c r="F582" s="6">
        <f>IF(C582&lt;&gt;0, ((C582-D582)/C582)*100, 0)</f>
        <v>18.636833693710635</v>
      </c>
    </row>
    <row r="583" spans="1:6" x14ac:dyDescent="0.25">
      <c r="A583" s="2" t="s">
        <v>835</v>
      </c>
      <c r="B583" s="2" t="s">
        <v>835</v>
      </c>
      <c r="C583" s="6">
        <v>9438</v>
      </c>
      <c r="D583" s="6">
        <v>6604.6</v>
      </c>
      <c r="E583" s="6">
        <f>C583-D583</f>
        <v>2833.3999999999996</v>
      </c>
      <c r="F583" s="6">
        <f>IF(C583&lt;&gt;0, ((C583-D583)/C583)*100, 0)</f>
        <v>30.02119093028184</v>
      </c>
    </row>
    <row r="584" spans="1:6" x14ac:dyDescent="0.25">
      <c r="A584" s="2" t="s">
        <v>836</v>
      </c>
      <c r="B584" s="2" t="s">
        <v>837</v>
      </c>
      <c r="C584" s="6">
        <v>13334591.960000001</v>
      </c>
      <c r="D584" s="6">
        <v>10939494.619999999</v>
      </c>
      <c r="E584" s="6">
        <f>C584-D584</f>
        <v>2395097.3400000017</v>
      </c>
      <c r="F584" s="6">
        <f>IF(C584&lt;&gt;0, ((C584-D584)/C584)*100, 0)</f>
        <v>17.961534535024509</v>
      </c>
    </row>
    <row r="585" spans="1:6" x14ac:dyDescent="0.25">
      <c r="A585" s="2" t="s">
        <v>838</v>
      </c>
      <c r="B585" s="2" t="s">
        <v>839</v>
      </c>
      <c r="C585" s="6">
        <v>296200</v>
      </c>
      <c r="E585" s="6">
        <f>C585-D585</f>
        <v>296200</v>
      </c>
      <c r="F585" s="6">
        <f>IF(C585&lt;&gt;0, ((C585-D585)/C585)*100, 0)</f>
        <v>100</v>
      </c>
    </row>
    <row r="586" spans="1:6" x14ac:dyDescent="0.25">
      <c r="A586" s="2" t="s">
        <v>840</v>
      </c>
      <c r="B586" s="2" t="s">
        <v>840</v>
      </c>
      <c r="C586" s="6">
        <v>17850</v>
      </c>
      <c r="D586" s="6">
        <v>12750</v>
      </c>
      <c r="E586" s="6">
        <f>C586-D586</f>
        <v>5100</v>
      </c>
      <c r="F586" s="6">
        <f>IF(C586&lt;&gt;0, ((C586-D586)/C586)*100, 0)</f>
        <v>28.571428571428569</v>
      </c>
    </row>
    <row r="587" spans="1:6" x14ac:dyDescent="0.25">
      <c r="A587" s="2" t="s">
        <v>841</v>
      </c>
      <c r="B587" s="2" t="s">
        <v>841</v>
      </c>
      <c r="C587" s="6">
        <v>2382631.2000000002</v>
      </c>
      <c r="D587" s="6">
        <v>1855303.58</v>
      </c>
      <c r="E587" s="6">
        <f>C587-D587</f>
        <v>527327.62000000011</v>
      </c>
      <c r="F587" s="6">
        <f>IF(C587&lt;&gt;0, ((C587-D587)/C587)*100, 0)</f>
        <v>22.13215456928458</v>
      </c>
    </row>
    <row r="588" spans="1:6" x14ac:dyDescent="0.25">
      <c r="A588" s="2" t="s">
        <v>842</v>
      </c>
      <c r="B588" s="2" t="s">
        <v>842</v>
      </c>
      <c r="C588" s="6">
        <v>2320650.4</v>
      </c>
      <c r="D588" s="6">
        <v>1999476.3</v>
      </c>
      <c r="E588" s="6">
        <f>C588-D588</f>
        <v>321174.09999999986</v>
      </c>
      <c r="F588" s="6">
        <f>IF(C588&lt;&gt;0, ((C588-D588)/C588)*100, 0)</f>
        <v>13.839831281782033</v>
      </c>
    </row>
    <row r="589" spans="1:6" x14ac:dyDescent="0.25">
      <c r="A589" s="2" t="s">
        <v>843</v>
      </c>
      <c r="B589" s="2" t="s">
        <v>843</v>
      </c>
      <c r="C589" s="6">
        <v>28858154.449999999</v>
      </c>
      <c r="D589" s="6">
        <v>23130624.23</v>
      </c>
      <c r="E589" s="6">
        <f>C589-D589</f>
        <v>5727530.2199999988</v>
      </c>
      <c r="F589" s="6">
        <f>IF(C589&lt;&gt;0, ((C589-D589)/C589)*100, 0)</f>
        <v>19.847181253131033</v>
      </c>
    </row>
    <row r="590" spans="1:6" x14ac:dyDescent="0.25">
      <c r="A590" s="2" t="s">
        <v>844</v>
      </c>
      <c r="B590" s="2" t="s">
        <v>845</v>
      </c>
      <c r="C590" s="6">
        <v>21557563.07</v>
      </c>
      <c r="D590" s="6">
        <v>17370944.489999998</v>
      </c>
      <c r="E590" s="6">
        <f>C590-D590</f>
        <v>4186618.5800000019</v>
      </c>
      <c r="F590" s="6">
        <f>IF(C590&lt;&gt;0, ((C590-D590)/C590)*100, 0)</f>
        <v>19.420648643845077</v>
      </c>
    </row>
    <row r="591" spans="1:6" x14ac:dyDescent="0.25">
      <c r="A591" s="2" t="s">
        <v>846</v>
      </c>
      <c r="B591" s="2" t="s">
        <v>847</v>
      </c>
      <c r="C591" s="6">
        <v>1209906.6000000001</v>
      </c>
      <c r="D591" s="6">
        <v>933787.22</v>
      </c>
      <c r="E591" s="6">
        <f>C591-D591</f>
        <v>276119.38000000012</v>
      </c>
      <c r="F591" s="6">
        <f>IF(C591&lt;&gt;0, ((C591-D591)/C591)*100, 0)</f>
        <v>22.821545068024268</v>
      </c>
    </row>
    <row r="592" spans="1:6" x14ac:dyDescent="0.25">
      <c r="A592" s="2" t="s">
        <v>848</v>
      </c>
      <c r="B592" s="2" t="s">
        <v>849</v>
      </c>
      <c r="C592" s="6">
        <v>104465</v>
      </c>
      <c r="D592" s="6">
        <v>95072</v>
      </c>
      <c r="E592" s="6">
        <f>C592-D592</f>
        <v>9393</v>
      </c>
      <c r="F592" s="6">
        <f>IF(C592&lt;&gt;0, ((C592-D592)/C592)*100, 0)</f>
        <v>8.9915282630546116</v>
      </c>
    </row>
    <row r="593" spans="1:6" x14ac:dyDescent="0.25">
      <c r="A593" s="2" t="s">
        <v>850</v>
      </c>
      <c r="B593" s="2" t="s">
        <v>850</v>
      </c>
      <c r="C593" s="6">
        <v>3366441.86</v>
      </c>
      <c r="D593" s="6">
        <v>2700970.77</v>
      </c>
      <c r="E593" s="6">
        <f>C593-D593</f>
        <v>665471.08999999985</v>
      </c>
      <c r="F593" s="6">
        <f>IF(C593&lt;&gt;0, ((C593-D593)/C593)*100, 0)</f>
        <v>19.767787999166568</v>
      </c>
    </row>
    <row r="594" spans="1:6" x14ac:dyDescent="0.25">
      <c r="A594" s="2" t="s">
        <v>851</v>
      </c>
      <c r="B594" s="2" t="s">
        <v>852</v>
      </c>
      <c r="C594" s="6">
        <v>164769.4</v>
      </c>
      <c r="D594" s="6">
        <v>122597</v>
      </c>
      <c r="E594" s="6">
        <f>C594-D594</f>
        <v>42172.399999999994</v>
      </c>
      <c r="F594" s="6">
        <f>IF(C594&lt;&gt;0, ((C594-D594)/C594)*100, 0)</f>
        <v>25.59480097639489</v>
      </c>
    </row>
    <row r="595" spans="1:6" x14ac:dyDescent="0.25">
      <c r="A595" s="2" t="s">
        <v>853</v>
      </c>
      <c r="B595" s="2" t="s">
        <v>854</v>
      </c>
      <c r="C595" s="6">
        <v>52</v>
      </c>
      <c r="E595" s="6">
        <f>C595-D595</f>
        <v>52</v>
      </c>
      <c r="F595" s="6">
        <f>IF(C595&lt;&gt;0, ((C595-D595)/C595)*100, 0)</f>
        <v>100</v>
      </c>
    </row>
    <row r="596" spans="1:6" x14ac:dyDescent="0.25">
      <c r="A596" s="2" t="s">
        <v>855</v>
      </c>
      <c r="B596" s="2" t="s">
        <v>855</v>
      </c>
      <c r="C596" s="6">
        <v>37038283.539999999</v>
      </c>
      <c r="D596" s="6">
        <v>28417897.940000001</v>
      </c>
      <c r="E596" s="6">
        <f>C596-D596</f>
        <v>8620385.5999999978</v>
      </c>
      <c r="F596" s="6">
        <f>IF(C596&lt;&gt;0, ((C596-D596)/C596)*100, 0)</f>
        <v>23.274257811354286</v>
      </c>
    </row>
    <row r="597" spans="1:6" x14ac:dyDescent="0.25">
      <c r="A597" s="2" t="s">
        <v>856</v>
      </c>
      <c r="B597" s="2" t="s">
        <v>857</v>
      </c>
      <c r="C597" s="6">
        <v>195652623.30000001</v>
      </c>
      <c r="D597" s="6">
        <v>157307335.69</v>
      </c>
      <c r="E597" s="6">
        <f>C597-D597</f>
        <v>38345287.610000014</v>
      </c>
      <c r="F597" s="6">
        <f>IF(C597&lt;&gt;0, ((C597-D597)/C597)*100, 0)</f>
        <v>19.59865754071901</v>
      </c>
    </row>
    <row r="598" spans="1:6" x14ac:dyDescent="0.25">
      <c r="A598" s="2" t="s">
        <v>858</v>
      </c>
      <c r="B598" s="2" t="s">
        <v>859</v>
      </c>
      <c r="C598" s="6">
        <v>176492</v>
      </c>
      <c r="D598" s="6">
        <v>148611.25</v>
      </c>
      <c r="E598" s="6">
        <f>C598-D598</f>
        <v>27880.75</v>
      </c>
      <c r="F598" s="6">
        <f>IF(C598&lt;&gt;0, ((C598-D598)/C598)*100, 0)</f>
        <v>15.797174942773609</v>
      </c>
    </row>
    <row r="599" spans="1:6" x14ac:dyDescent="0.25">
      <c r="A599" s="2" t="s">
        <v>860</v>
      </c>
      <c r="B599" s="2" t="s">
        <v>861</v>
      </c>
      <c r="C599" s="6">
        <v>2000</v>
      </c>
      <c r="D599" s="6">
        <v>1654.6</v>
      </c>
      <c r="E599" s="6">
        <f>C599-D599</f>
        <v>345.40000000000009</v>
      </c>
      <c r="F599" s="6">
        <f>IF(C599&lt;&gt;0, ((C599-D599)/C599)*100, 0)</f>
        <v>17.270000000000003</v>
      </c>
    </row>
    <row r="600" spans="1:6" x14ac:dyDescent="0.25">
      <c r="A600" s="2" t="s">
        <v>862</v>
      </c>
      <c r="B600" s="2" t="s">
        <v>862</v>
      </c>
      <c r="C600" s="6">
        <v>1638215.7</v>
      </c>
      <c r="D600" s="6">
        <v>1279224.74</v>
      </c>
      <c r="E600" s="6">
        <f>C600-D600</f>
        <v>358990.95999999996</v>
      </c>
      <c r="F600" s="6">
        <f>IF(C600&lt;&gt;0, ((C600-D600)/C600)*100, 0)</f>
        <v>21.913534341051669</v>
      </c>
    </row>
    <row r="601" spans="1:6" x14ac:dyDescent="0.25">
      <c r="A601" s="2" t="s">
        <v>863</v>
      </c>
      <c r="B601" s="2" t="s">
        <v>863</v>
      </c>
      <c r="C601" s="6">
        <v>100</v>
      </c>
      <c r="E601" s="6">
        <f>C601-D601</f>
        <v>100</v>
      </c>
      <c r="F601" s="6">
        <f>IF(C601&lt;&gt;0, ((C601-D601)/C601)*100, 0)</f>
        <v>100</v>
      </c>
    </row>
    <row r="602" spans="1:6" x14ac:dyDescent="0.25">
      <c r="A602" s="2" t="s">
        <v>864</v>
      </c>
      <c r="B602" s="2" t="s">
        <v>864</v>
      </c>
      <c r="C602" s="6">
        <v>27755</v>
      </c>
      <c r="D602" s="6">
        <v>24131</v>
      </c>
      <c r="E602" s="6">
        <f>C602-D602</f>
        <v>3624</v>
      </c>
      <c r="F602" s="6">
        <f>IF(C602&lt;&gt;0, ((C602-D602)/C602)*100, 0)</f>
        <v>13.057106827598631</v>
      </c>
    </row>
    <row r="603" spans="1:6" x14ac:dyDescent="0.25">
      <c r="A603" s="2" t="s">
        <v>865</v>
      </c>
      <c r="B603" s="2" t="s">
        <v>866</v>
      </c>
      <c r="C603" s="6">
        <v>7972652.7999999998</v>
      </c>
      <c r="D603" s="6">
        <v>5847523.2300000004</v>
      </c>
      <c r="E603" s="6">
        <f>C603-D603</f>
        <v>2125129.5699999994</v>
      </c>
      <c r="F603" s="6">
        <f>IF(C603&lt;&gt;0, ((C603-D603)/C603)*100, 0)</f>
        <v>26.655237890203864</v>
      </c>
    </row>
    <row r="604" spans="1:6" x14ac:dyDescent="0.25">
      <c r="A604" s="2" t="s">
        <v>867</v>
      </c>
      <c r="B604" s="2" t="s">
        <v>867</v>
      </c>
      <c r="C604" s="6">
        <v>490786.84</v>
      </c>
      <c r="D604" s="6">
        <v>390065.61</v>
      </c>
      <c r="E604" s="6">
        <f>C604-D604</f>
        <v>100721.23000000004</v>
      </c>
      <c r="F604" s="6">
        <f>IF(C604&lt;&gt;0, ((C604-D604)/C604)*100, 0)</f>
        <v>20.522398277834842</v>
      </c>
    </row>
    <row r="605" spans="1:6" x14ac:dyDescent="0.25">
      <c r="A605" s="2" t="s">
        <v>868</v>
      </c>
      <c r="B605" s="2" t="s">
        <v>869</v>
      </c>
      <c r="C605" s="6">
        <v>78044</v>
      </c>
      <c r="D605" s="6">
        <v>60414.48</v>
      </c>
      <c r="E605" s="6">
        <f>C605-D605</f>
        <v>17629.519999999997</v>
      </c>
      <c r="F605" s="6">
        <f>IF(C605&lt;&gt;0, ((C605-D605)/C605)*100, 0)</f>
        <v>22.589206088872942</v>
      </c>
    </row>
    <row r="606" spans="1:6" x14ac:dyDescent="0.25">
      <c r="A606" s="2" t="s">
        <v>870</v>
      </c>
      <c r="B606" s="2" t="s">
        <v>871</v>
      </c>
      <c r="C606" s="6">
        <v>4049004.4</v>
      </c>
      <c r="D606" s="6">
        <v>3320799.09</v>
      </c>
      <c r="E606" s="6">
        <f>C606-D606</f>
        <v>728205.31</v>
      </c>
      <c r="F606" s="6">
        <f>IF(C606&lt;&gt;0, ((C606-D606)/C606)*100, 0)</f>
        <v>17.984799176805044</v>
      </c>
    </row>
    <row r="607" spans="1:6" x14ac:dyDescent="0.25">
      <c r="A607" s="2" t="s">
        <v>872</v>
      </c>
      <c r="B607" s="2" t="s">
        <v>872</v>
      </c>
      <c r="C607" s="6">
        <v>1356600</v>
      </c>
      <c r="D607" s="6">
        <v>1007300</v>
      </c>
      <c r="E607" s="6">
        <f>C607-D607</f>
        <v>349300</v>
      </c>
      <c r="F607" s="6">
        <f>IF(C607&lt;&gt;0, ((C607-D607)/C607)*100, 0)</f>
        <v>25.748194014447883</v>
      </c>
    </row>
    <row r="608" spans="1:6" x14ac:dyDescent="0.25">
      <c r="A608" s="2" t="s">
        <v>873</v>
      </c>
      <c r="B608" s="2" t="s">
        <v>873</v>
      </c>
      <c r="C608" s="6">
        <v>353400</v>
      </c>
      <c r="D608" s="6">
        <v>323160</v>
      </c>
      <c r="E608" s="6">
        <f>C608-D608</f>
        <v>30240</v>
      </c>
      <c r="F608" s="6">
        <f>IF(C608&lt;&gt;0, ((C608-D608)/C608)*100, 0)</f>
        <v>8.5568760611205423</v>
      </c>
    </row>
    <row r="609" spans="1:6" x14ac:dyDescent="0.25">
      <c r="A609" s="2" t="s">
        <v>874</v>
      </c>
      <c r="B609" s="2" t="s">
        <v>874</v>
      </c>
      <c r="C609" s="6">
        <v>334605</v>
      </c>
      <c r="D609" s="6">
        <v>294607</v>
      </c>
      <c r="E609" s="6">
        <f>C609-D609</f>
        <v>39998</v>
      </c>
      <c r="F609" s="6">
        <f>IF(C609&lt;&gt;0, ((C609-D609)/C609)*100, 0)</f>
        <v>11.953796267240477</v>
      </c>
    </row>
    <row r="610" spans="1:6" x14ac:dyDescent="0.25">
      <c r="A610" s="2" t="s">
        <v>875</v>
      </c>
      <c r="B610" s="2" t="s">
        <v>876</v>
      </c>
      <c r="C610" s="6">
        <v>103332</v>
      </c>
      <c r="D610" s="6">
        <v>99240.04</v>
      </c>
      <c r="E610" s="6">
        <f>C610-D610</f>
        <v>4091.9600000000064</v>
      </c>
      <c r="F610" s="6">
        <f>IF(C610&lt;&gt;0, ((C610-D610)/C610)*100, 0)</f>
        <v>3.960012387256616</v>
      </c>
    </row>
    <row r="611" spans="1:6" x14ac:dyDescent="0.25">
      <c r="A611" s="2" t="s">
        <v>877</v>
      </c>
      <c r="B611" s="2" t="s">
        <v>877</v>
      </c>
      <c r="C611" s="6">
        <v>285500</v>
      </c>
      <c r="D611" s="6">
        <v>248200</v>
      </c>
      <c r="E611" s="6">
        <f>C611-D611</f>
        <v>37300</v>
      </c>
      <c r="F611" s="6">
        <f>IF(C611&lt;&gt;0, ((C611-D611)/C611)*100, 0)</f>
        <v>13.064798598949212</v>
      </c>
    </row>
    <row r="612" spans="1:6" x14ac:dyDescent="0.25">
      <c r="A612" s="2" t="s">
        <v>878</v>
      </c>
      <c r="B612" s="2" t="s">
        <v>878</v>
      </c>
      <c r="C612" s="6">
        <v>240103</v>
      </c>
      <c r="D612" s="6">
        <v>194105</v>
      </c>
      <c r="E612" s="6">
        <f>C612-D612</f>
        <v>45998</v>
      </c>
      <c r="F612" s="6">
        <f>IF(C612&lt;&gt;0, ((C612-D612)/C612)*100, 0)</f>
        <v>19.157611525053831</v>
      </c>
    </row>
    <row r="613" spans="1:6" x14ac:dyDescent="0.25">
      <c r="A613" s="2" t="s">
        <v>879</v>
      </c>
      <c r="B613" s="2" t="s">
        <v>880</v>
      </c>
      <c r="C613" s="6">
        <v>19200</v>
      </c>
      <c r="D613" s="6">
        <v>14250</v>
      </c>
      <c r="E613" s="6">
        <f>C613-D613</f>
        <v>4950</v>
      </c>
      <c r="F613" s="6">
        <f>IF(C613&lt;&gt;0, ((C613-D613)/C613)*100, 0)</f>
        <v>25.78125</v>
      </c>
    </row>
    <row r="614" spans="1:6" x14ac:dyDescent="0.25">
      <c r="A614" s="2" t="s">
        <v>881</v>
      </c>
      <c r="B614" s="2" t="s">
        <v>882</v>
      </c>
      <c r="C614" s="6">
        <v>14108799.199999999</v>
      </c>
      <c r="D614" s="6">
        <v>11172788.07</v>
      </c>
      <c r="E614" s="6">
        <f>C614-D614</f>
        <v>2936011.129999999</v>
      </c>
      <c r="F614" s="6">
        <f>IF(C614&lt;&gt;0, ((C614-D614)/C614)*100, 0)</f>
        <v>20.809787483544305</v>
      </c>
    </row>
    <row r="615" spans="1:6" x14ac:dyDescent="0.25">
      <c r="A615" s="2" t="s">
        <v>883</v>
      </c>
      <c r="B615" s="2" t="s">
        <v>884</v>
      </c>
      <c r="C615" s="6">
        <v>1325053</v>
      </c>
      <c r="D615" s="6">
        <v>1012979.31</v>
      </c>
      <c r="E615" s="6">
        <f>C615-D615</f>
        <v>312073.68999999994</v>
      </c>
      <c r="F615" s="6">
        <f>IF(C615&lt;&gt;0, ((C615-D615)/C615)*100, 0)</f>
        <v>23.551789249184747</v>
      </c>
    </row>
    <row r="616" spans="1:6" x14ac:dyDescent="0.25">
      <c r="A616" s="2" t="s">
        <v>885</v>
      </c>
      <c r="B616" s="2" t="s">
        <v>886</v>
      </c>
      <c r="C616" s="6">
        <v>1162860</v>
      </c>
      <c r="D616" s="6">
        <v>1011300</v>
      </c>
      <c r="E616" s="6">
        <f>C616-D616</f>
        <v>151560</v>
      </c>
      <c r="F616" s="6">
        <f>IF(C616&lt;&gt;0, ((C616-D616)/C616)*100, 0)</f>
        <v>13.033383210360663</v>
      </c>
    </row>
    <row r="617" spans="1:6" x14ac:dyDescent="0.25">
      <c r="A617" s="2" t="s">
        <v>887</v>
      </c>
      <c r="B617" s="2" t="s">
        <v>888</v>
      </c>
      <c r="C617" s="6">
        <v>64977</v>
      </c>
      <c r="D617" s="6">
        <v>52470</v>
      </c>
      <c r="E617" s="6">
        <f>C617-D617</f>
        <v>12507</v>
      </c>
      <c r="F617" s="6">
        <f>IF(C617&lt;&gt;0, ((C617-D617)/C617)*100, 0)</f>
        <v>19.248349415947182</v>
      </c>
    </row>
    <row r="618" spans="1:6" x14ac:dyDescent="0.25">
      <c r="A618" s="2" t="s">
        <v>889</v>
      </c>
      <c r="B618" s="2" t="s">
        <v>889</v>
      </c>
      <c r="C618" s="6">
        <v>31880</v>
      </c>
      <c r="D618" s="6">
        <v>26549.200000000001</v>
      </c>
      <c r="E618" s="6">
        <f>C618-D618</f>
        <v>5330.7999999999993</v>
      </c>
      <c r="F618" s="6">
        <f>IF(C618&lt;&gt;0, ((C618-D618)/C618)*100, 0)</f>
        <v>16.721455457967373</v>
      </c>
    </row>
    <row r="619" spans="1:6" x14ac:dyDescent="0.25">
      <c r="A619" s="2" t="s">
        <v>890</v>
      </c>
      <c r="B619" s="2" t="s">
        <v>890</v>
      </c>
      <c r="C619" s="6">
        <v>19995</v>
      </c>
      <c r="D619" s="6">
        <v>16247.6</v>
      </c>
      <c r="E619" s="6">
        <f>C619-D619</f>
        <v>3747.3999999999996</v>
      </c>
      <c r="F619" s="6">
        <f>IF(C619&lt;&gt;0, ((C619-D619)/C619)*100, 0)</f>
        <v>18.741685421355335</v>
      </c>
    </row>
    <row r="620" spans="1:6" x14ac:dyDescent="0.25">
      <c r="A620" s="2" t="s">
        <v>891</v>
      </c>
      <c r="B620" s="2" t="s">
        <v>891</v>
      </c>
      <c r="C620" s="6">
        <v>812230</v>
      </c>
      <c r="D620" s="6">
        <v>693875.72</v>
      </c>
      <c r="E620" s="6">
        <f>C620-D620</f>
        <v>118354.28000000003</v>
      </c>
      <c r="F620" s="6">
        <f>IF(C620&lt;&gt;0, ((C620-D620)/C620)*100, 0)</f>
        <v>14.57152284451449</v>
      </c>
    </row>
    <row r="621" spans="1:6" x14ac:dyDescent="0.25">
      <c r="A621" s="2" t="s">
        <v>892</v>
      </c>
      <c r="B621" s="2" t="s">
        <v>892</v>
      </c>
      <c r="C621" s="6">
        <v>191299</v>
      </c>
      <c r="D621" s="6">
        <v>153663.14000000001</v>
      </c>
      <c r="E621" s="6">
        <f>C621-D621</f>
        <v>37635.859999999986</v>
      </c>
      <c r="F621" s="6">
        <f>IF(C621&lt;&gt;0, ((C621-D621)/C621)*100, 0)</f>
        <v>19.673840427811953</v>
      </c>
    </row>
    <row r="622" spans="1:6" x14ac:dyDescent="0.25">
      <c r="A622" s="2" t="s">
        <v>893</v>
      </c>
      <c r="B622" s="2" t="s">
        <v>893</v>
      </c>
      <c r="C622" s="6">
        <v>26400</v>
      </c>
      <c r="D622" s="6">
        <v>24000</v>
      </c>
      <c r="E622" s="6">
        <f>C622-D622</f>
        <v>2400</v>
      </c>
      <c r="F622" s="6">
        <f>IF(C622&lt;&gt;0, ((C622-D622)/C622)*100, 0)</f>
        <v>9.0909090909090917</v>
      </c>
    </row>
    <row r="623" spans="1:6" x14ac:dyDescent="0.25">
      <c r="A623" s="2" t="s">
        <v>894</v>
      </c>
      <c r="B623" s="2" t="s">
        <v>894</v>
      </c>
      <c r="C623" s="6">
        <v>776939</v>
      </c>
      <c r="D623" s="6">
        <v>669491</v>
      </c>
      <c r="E623" s="6">
        <f>C623-D623</f>
        <v>107448</v>
      </c>
      <c r="F623" s="6">
        <f>IF(C623&lt;&gt;0, ((C623-D623)/C623)*100, 0)</f>
        <v>13.829657154551386</v>
      </c>
    </row>
    <row r="624" spans="1:6" x14ac:dyDescent="0.25">
      <c r="A624" s="2" t="s">
        <v>895</v>
      </c>
      <c r="B624" s="2" t="s">
        <v>896</v>
      </c>
      <c r="C624" s="6">
        <v>135</v>
      </c>
      <c r="E624" s="6">
        <f>C624-D624</f>
        <v>135</v>
      </c>
      <c r="F624" s="6">
        <f>IF(C624&lt;&gt;0, ((C624-D624)/C624)*100, 0)</f>
        <v>100</v>
      </c>
    </row>
    <row r="625" spans="1:6" x14ac:dyDescent="0.25">
      <c r="A625" s="2" t="s">
        <v>897</v>
      </c>
      <c r="B625" s="2" t="s">
        <v>898</v>
      </c>
      <c r="C625" s="6">
        <v>21971</v>
      </c>
      <c r="D625" s="6">
        <v>18142.86</v>
      </c>
      <c r="E625" s="6">
        <f>C625-D625</f>
        <v>3828.1399999999994</v>
      </c>
      <c r="F625" s="6">
        <f>IF(C625&lt;&gt;0, ((C625-D625)/C625)*100, 0)</f>
        <v>17.423603841427333</v>
      </c>
    </row>
    <row r="626" spans="1:6" x14ac:dyDescent="0.25">
      <c r="A626" s="2" t="s">
        <v>899</v>
      </c>
      <c r="B626" s="2" t="s">
        <v>900</v>
      </c>
      <c r="C626" s="6">
        <v>308798</v>
      </c>
      <c r="D626" s="6">
        <v>262899.87</v>
      </c>
      <c r="E626" s="6">
        <f>C626-D626</f>
        <v>45898.130000000005</v>
      </c>
      <c r="F626" s="6">
        <f>IF(C626&lt;&gt;0, ((C626-D626)/C626)*100, 0)</f>
        <v>14.863480333421849</v>
      </c>
    </row>
    <row r="627" spans="1:6" x14ac:dyDescent="0.25">
      <c r="A627" s="2" t="s">
        <v>901</v>
      </c>
      <c r="B627" s="2" t="s">
        <v>901</v>
      </c>
      <c r="C627" s="6">
        <v>65455</v>
      </c>
      <c r="E627" s="6">
        <f>C627-D627</f>
        <v>65455</v>
      </c>
      <c r="F627" s="6">
        <f>IF(C627&lt;&gt;0, ((C627-D627)/C627)*100, 0)</f>
        <v>100</v>
      </c>
    </row>
    <row r="628" spans="1:6" x14ac:dyDescent="0.25">
      <c r="A628" s="2" t="s">
        <v>902</v>
      </c>
      <c r="B628" s="2" t="s">
        <v>902</v>
      </c>
      <c r="C628" s="6">
        <v>173090</v>
      </c>
      <c r="D628" s="6">
        <v>146370</v>
      </c>
      <c r="E628" s="6">
        <f>C628-D628</f>
        <v>26720</v>
      </c>
      <c r="F628" s="6">
        <f>IF(C628&lt;&gt;0, ((C628-D628)/C628)*100, 0)</f>
        <v>15.437055866890056</v>
      </c>
    </row>
    <row r="629" spans="1:6" x14ac:dyDescent="0.25">
      <c r="A629" s="2" t="s">
        <v>903</v>
      </c>
      <c r="B629" s="2" t="s">
        <v>904</v>
      </c>
      <c r="C629" s="6">
        <v>525259.4</v>
      </c>
      <c r="D629" s="6">
        <v>423154</v>
      </c>
      <c r="E629" s="6">
        <f>C629-D629</f>
        <v>102105.40000000002</v>
      </c>
      <c r="F629" s="6">
        <f>IF(C629&lt;&gt;0, ((C629-D629)/C629)*100, 0)</f>
        <v>19.439042880527225</v>
      </c>
    </row>
    <row r="630" spans="1:6" x14ac:dyDescent="0.25">
      <c r="A630" s="2" t="s">
        <v>905</v>
      </c>
      <c r="B630" s="2" t="s">
        <v>906</v>
      </c>
      <c r="C630" s="6">
        <v>26570</v>
      </c>
      <c r="D630" s="6">
        <v>24155</v>
      </c>
      <c r="E630" s="6">
        <f>C630-D630</f>
        <v>2415</v>
      </c>
      <c r="F630" s="6">
        <f>IF(C630&lt;&gt;0, ((C630-D630)/C630)*100, 0)</f>
        <v>9.0891983439969888</v>
      </c>
    </row>
    <row r="631" spans="1:6" x14ac:dyDescent="0.25">
      <c r="A631" s="2" t="s">
        <v>907</v>
      </c>
      <c r="B631" s="2" t="s">
        <v>907</v>
      </c>
      <c r="C631" s="6">
        <v>49729</v>
      </c>
      <c r="D631" s="6">
        <v>43847</v>
      </c>
      <c r="E631" s="6">
        <f>C631-D631</f>
        <v>5882</v>
      </c>
      <c r="F631" s="6">
        <f>IF(C631&lt;&gt;0, ((C631-D631)/C631)*100, 0)</f>
        <v>11.828108347242052</v>
      </c>
    </row>
    <row r="632" spans="1:6" x14ac:dyDescent="0.25">
      <c r="A632" s="2" t="s">
        <v>908</v>
      </c>
      <c r="B632" s="2" t="s">
        <v>909</v>
      </c>
      <c r="C632" s="6">
        <v>76610</v>
      </c>
      <c r="D632" s="6">
        <v>61915</v>
      </c>
      <c r="E632" s="6">
        <f>C632-D632</f>
        <v>14695</v>
      </c>
      <c r="F632" s="6">
        <f>IF(C632&lt;&gt;0, ((C632-D632)/C632)*100, 0)</f>
        <v>19.181568985772092</v>
      </c>
    </row>
    <row r="633" spans="1:6" x14ac:dyDescent="0.25">
      <c r="A633" s="2" t="s">
        <v>910</v>
      </c>
      <c r="B633" s="2" t="s">
        <v>910</v>
      </c>
      <c r="C633" s="6">
        <v>2949453.6</v>
      </c>
      <c r="D633" s="6">
        <v>2448794</v>
      </c>
      <c r="E633" s="6">
        <f>C633-D633</f>
        <v>500659.60000000009</v>
      </c>
      <c r="F633" s="6">
        <f>IF(C633&lt;&gt;0, ((C633-D633)/C633)*100, 0)</f>
        <v>16.974655915929652</v>
      </c>
    </row>
    <row r="634" spans="1:6" x14ac:dyDescent="0.25">
      <c r="A634" s="2" t="s">
        <v>911</v>
      </c>
      <c r="B634" s="2" t="s">
        <v>911</v>
      </c>
      <c r="C634" s="6">
        <v>145420</v>
      </c>
      <c r="D634" s="6">
        <v>128742</v>
      </c>
      <c r="E634" s="6">
        <f>C634-D634</f>
        <v>16678</v>
      </c>
      <c r="F634" s="6">
        <f>IF(C634&lt;&gt;0, ((C634-D634)/C634)*100, 0)</f>
        <v>11.468848851602255</v>
      </c>
    </row>
    <row r="635" spans="1:6" x14ac:dyDescent="0.25">
      <c r="A635" s="2" t="s">
        <v>912</v>
      </c>
      <c r="B635" s="2" t="s">
        <v>912</v>
      </c>
      <c r="C635" s="6">
        <v>113035</v>
      </c>
      <c r="D635" s="6">
        <v>76776.320000000007</v>
      </c>
      <c r="E635" s="6">
        <f>C635-D635</f>
        <v>36258.679999999993</v>
      </c>
      <c r="F635" s="6">
        <f>IF(C635&lt;&gt;0, ((C635-D635)/C635)*100, 0)</f>
        <v>32.07739195824302</v>
      </c>
    </row>
    <row r="636" spans="1:6" x14ac:dyDescent="0.25">
      <c r="A636" s="2" t="s">
        <v>913</v>
      </c>
      <c r="B636" s="2" t="s">
        <v>914</v>
      </c>
      <c r="C636" s="6">
        <v>54080</v>
      </c>
      <c r="D636" s="6">
        <v>51503.81</v>
      </c>
      <c r="E636" s="6">
        <f>C636-D636</f>
        <v>2576.1900000000023</v>
      </c>
      <c r="F636" s="6">
        <f>IF(C636&lt;&gt;0, ((C636-D636)/C636)*100, 0)</f>
        <v>4.7636649408284066</v>
      </c>
    </row>
    <row r="637" spans="1:6" x14ac:dyDescent="0.25">
      <c r="A637" s="2" t="s">
        <v>915</v>
      </c>
      <c r="B637" s="2" t="s">
        <v>916</v>
      </c>
      <c r="C637" s="6">
        <v>-260</v>
      </c>
      <c r="E637" s="6">
        <f>C637-D637</f>
        <v>-260</v>
      </c>
      <c r="F637" s="6">
        <f>IF(C637&lt;&gt;0, ((C637-D637)/C637)*100, 0)</f>
        <v>100</v>
      </c>
    </row>
    <row r="638" spans="1:6" x14ac:dyDescent="0.25">
      <c r="A638" s="2" t="s">
        <v>917</v>
      </c>
      <c r="B638" s="2" t="s">
        <v>918</v>
      </c>
      <c r="C638" s="6">
        <v>1569845</v>
      </c>
      <c r="D638" s="6">
        <v>1155977.3999999999</v>
      </c>
      <c r="E638" s="6">
        <f>C638-D638</f>
        <v>413867.60000000009</v>
      </c>
      <c r="F638" s="6">
        <f>IF(C638&lt;&gt;0, ((C638-D638)/C638)*100, 0)</f>
        <v>26.363596406014612</v>
      </c>
    </row>
    <row r="639" spans="1:6" x14ac:dyDescent="0.25">
      <c r="A639" s="2" t="s">
        <v>919</v>
      </c>
      <c r="B639" s="2" t="s">
        <v>919</v>
      </c>
      <c r="C639" s="6">
        <v>81980</v>
      </c>
      <c r="D639" s="6">
        <v>74520</v>
      </c>
      <c r="E639" s="6">
        <f>C639-D639</f>
        <v>7460</v>
      </c>
      <c r="F639" s="6">
        <f>IF(C639&lt;&gt;0, ((C639-D639)/C639)*100, 0)</f>
        <v>9.0997804342522564</v>
      </c>
    </row>
    <row r="640" spans="1:6" x14ac:dyDescent="0.25">
      <c r="A640" s="2" t="s">
        <v>920</v>
      </c>
      <c r="B640" s="2" t="s">
        <v>920</v>
      </c>
      <c r="C640" s="6">
        <v>382230</v>
      </c>
      <c r="D640" s="6">
        <v>245531</v>
      </c>
      <c r="E640" s="6">
        <f>C640-D640</f>
        <v>136699</v>
      </c>
      <c r="F640" s="6">
        <f>IF(C640&lt;&gt;0, ((C640-D640)/C640)*100, 0)</f>
        <v>35.76354550924836</v>
      </c>
    </row>
    <row r="641" spans="1:6" x14ac:dyDescent="0.25">
      <c r="A641" s="2" t="s">
        <v>921</v>
      </c>
      <c r="B641" s="2" t="s">
        <v>921</v>
      </c>
      <c r="C641" s="6">
        <v>16884161</v>
      </c>
      <c r="D641" s="6">
        <v>11692016.1</v>
      </c>
      <c r="E641" s="6">
        <f>C641-D641</f>
        <v>5192144.9000000004</v>
      </c>
      <c r="F641" s="6">
        <f>IF(C641&lt;&gt;0, ((C641-D641)/C641)*100, 0)</f>
        <v>30.751571842983495</v>
      </c>
    </row>
    <row r="642" spans="1:6" x14ac:dyDescent="0.25">
      <c r="A642" s="2" t="s">
        <v>922</v>
      </c>
      <c r="B642" s="2" t="s">
        <v>923</v>
      </c>
      <c r="C642" s="6">
        <v>5176688</v>
      </c>
      <c r="D642" s="6">
        <v>4789358.42</v>
      </c>
      <c r="E642" s="6">
        <f>C642-D642</f>
        <v>387329.58000000007</v>
      </c>
      <c r="F642" s="6">
        <f>IF(C642&lt;&gt;0, ((C642-D642)/C642)*100, 0)</f>
        <v>7.4821889980620826</v>
      </c>
    </row>
    <row r="643" spans="1:6" x14ac:dyDescent="0.25">
      <c r="A643" s="2" t="s">
        <v>924</v>
      </c>
      <c r="B643" s="2" t="s">
        <v>925</v>
      </c>
      <c r="C643" s="6">
        <v>965790</v>
      </c>
      <c r="D643" s="6">
        <v>877989</v>
      </c>
      <c r="E643" s="6">
        <f>C643-D643</f>
        <v>87801</v>
      </c>
      <c r="F643" s="6">
        <f>IF(C643&lt;&gt;0, ((C643-D643)/C643)*100, 0)</f>
        <v>9.0911067623396384</v>
      </c>
    </row>
    <row r="644" spans="1:6" x14ac:dyDescent="0.25">
      <c r="A644" s="2" t="s">
        <v>926</v>
      </c>
      <c r="B644" s="2" t="s">
        <v>927</v>
      </c>
      <c r="C644" s="6">
        <v>244200</v>
      </c>
      <c r="D644" s="6">
        <v>207000</v>
      </c>
      <c r="E644" s="6">
        <f>C644-D644</f>
        <v>37200</v>
      </c>
      <c r="F644" s="6">
        <f>IF(C644&lt;&gt;0, ((C644-D644)/C644)*100, 0)</f>
        <v>15.233415233415235</v>
      </c>
    </row>
    <row r="645" spans="1:6" x14ac:dyDescent="0.25">
      <c r="A645" s="2" t="s">
        <v>928</v>
      </c>
      <c r="B645" s="2" t="s">
        <v>929</v>
      </c>
      <c r="C645" s="6">
        <v>213085</v>
      </c>
      <c r="D645" s="6">
        <v>177097.84</v>
      </c>
      <c r="E645" s="6">
        <f>C645-D645</f>
        <v>35987.160000000003</v>
      </c>
      <c r="F645" s="6">
        <f>IF(C645&lt;&gt;0, ((C645-D645)/C645)*100, 0)</f>
        <v>16.888640683295399</v>
      </c>
    </row>
    <row r="646" spans="1:6" x14ac:dyDescent="0.25">
      <c r="A646" s="2" t="s">
        <v>930</v>
      </c>
      <c r="B646" s="2" t="s">
        <v>931</v>
      </c>
      <c r="C646" s="6">
        <v>26420</v>
      </c>
      <c r="D646" s="6">
        <v>22354.6</v>
      </c>
      <c r="E646" s="6">
        <f>C646-D646</f>
        <v>4065.4000000000015</v>
      </c>
      <c r="F646" s="6">
        <f>IF(C646&lt;&gt;0, ((C646-D646)/C646)*100, 0)</f>
        <v>15.387585162755494</v>
      </c>
    </row>
    <row r="647" spans="1:6" x14ac:dyDescent="0.25">
      <c r="A647" s="2" t="s">
        <v>932</v>
      </c>
      <c r="B647" s="2" t="s">
        <v>932</v>
      </c>
      <c r="C647" s="6">
        <v>299625</v>
      </c>
      <c r="D647" s="6">
        <v>256585</v>
      </c>
      <c r="E647" s="6">
        <f>C647-D647</f>
        <v>43040</v>
      </c>
      <c r="F647" s="6">
        <f>IF(C647&lt;&gt;0, ((C647-D647)/C647)*100, 0)</f>
        <v>14.364622444722569</v>
      </c>
    </row>
    <row r="648" spans="1:6" x14ac:dyDescent="0.25">
      <c r="A648" s="2" t="s">
        <v>933</v>
      </c>
      <c r="B648" s="2" t="s">
        <v>933</v>
      </c>
      <c r="C648" s="6">
        <v>2524882</v>
      </c>
      <c r="D648" s="6">
        <v>2217677.1800000002</v>
      </c>
      <c r="E648" s="6">
        <f>C648-D648</f>
        <v>307204.81999999983</v>
      </c>
      <c r="F648" s="6">
        <f>IF(C648&lt;&gt;0, ((C648-D648)/C648)*100, 0)</f>
        <v>12.167096125680322</v>
      </c>
    </row>
    <row r="649" spans="1:6" x14ac:dyDescent="0.25">
      <c r="A649" s="2" t="s">
        <v>934</v>
      </c>
      <c r="B649" s="2" t="s">
        <v>934</v>
      </c>
      <c r="C649" s="6">
        <v>-5500</v>
      </c>
      <c r="E649" s="6">
        <f>C649-D649</f>
        <v>-5500</v>
      </c>
      <c r="F649" s="6">
        <f>IF(C649&lt;&gt;0, ((C649-D649)/C649)*100, 0)</f>
        <v>100</v>
      </c>
    </row>
    <row r="650" spans="1:6" x14ac:dyDescent="0.25">
      <c r="A650" s="2" t="s">
        <v>935</v>
      </c>
      <c r="B650" s="2" t="s">
        <v>935</v>
      </c>
      <c r="C650" s="6">
        <v>101595</v>
      </c>
      <c r="D650" s="6">
        <v>92358</v>
      </c>
      <c r="E650" s="6">
        <f>C650-D650</f>
        <v>9237</v>
      </c>
      <c r="F650" s="6">
        <f>IF(C650&lt;&gt;0, ((C650-D650)/C650)*100, 0)</f>
        <v>9.091982873172892</v>
      </c>
    </row>
    <row r="651" spans="1:6" x14ac:dyDescent="0.25">
      <c r="A651" s="2" t="s">
        <v>936</v>
      </c>
      <c r="B651" s="2" t="s">
        <v>936</v>
      </c>
      <c r="C651" s="6">
        <v>425160</v>
      </c>
      <c r="D651" s="6">
        <v>340193.98</v>
      </c>
      <c r="E651" s="6">
        <f>C651-D651</f>
        <v>84966.020000000019</v>
      </c>
      <c r="F651" s="6">
        <f>IF(C651&lt;&gt;0, ((C651-D651)/C651)*100, 0)</f>
        <v>19.984481136513317</v>
      </c>
    </row>
    <row r="652" spans="1:6" x14ac:dyDescent="0.25">
      <c r="A652" s="2" t="s">
        <v>937</v>
      </c>
      <c r="B652" s="2" t="s">
        <v>937</v>
      </c>
      <c r="C652" s="6">
        <v>188657.06</v>
      </c>
      <c r="D652" s="6">
        <v>158523.79999999999</v>
      </c>
      <c r="E652" s="6">
        <f>C652-D652</f>
        <v>30133.260000000009</v>
      </c>
      <c r="F652" s="6">
        <f>IF(C652&lt;&gt;0, ((C652-D652)/C652)*100, 0)</f>
        <v>15.972505879186292</v>
      </c>
    </row>
    <row r="653" spans="1:6" x14ac:dyDescent="0.25">
      <c r="A653" s="2" t="s">
        <v>938</v>
      </c>
      <c r="B653" s="2" t="s">
        <v>938</v>
      </c>
      <c r="C653" s="6">
        <v>833014</v>
      </c>
      <c r="D653" s="6">
        <v>502775</v>
      </c>
      <c r="E653" s="6">
        <f>C653-D653</f>
        <v>330239</v>
      </c>
      <c r="F653" s="6">
        <f>IF(C653&lt;&gt;0, ((C653-D653)/C653)*100, 0)</f>
        <v>39.643871531570895</v>
      </c>
    </row>
    <row r="654" spans="1:6" x14ac:dyDescent="0.25">
      <c r="A654" s="2" t="s">
        <v>939</v>
      </c>
      <c r="B654" s="2" t="s">
        <v>940</v>
      </c>
      <c r="C654" s="6">
        <v>1045663</v>
      </c>
      <c r="D654" s="6">
        <v>796015.45</v>
      </c>
      <c r="E654" s="6">
        <f>C654-D654</f>
        <v>249647.55000000005</v>
      </c>
      <c r="F654" s="6">
        <f>IF(C654&lt;&gt;0, ((C654-D654)/C654)*100, 0)</f>
        <v>23.874570487814911</v>
      </c>
    </row>
    <row r="655" spans="1:6" x14ac:dyDescent="0.25">
      <c r="A655" s="2" t="s">
        <v>941</v>
      </c>
      <c r="B655" s="2" t="s">
        <v>941</v>
      </c>
      <c r="C655" s="6">
        <v>3165952</v>
      </c>
      <c r="D655" s="6">
        <v>2684186</v>
      </c>
      <c r="E655" s="6">
        <f>C655-D655</f>
        <v>481766</v>
      </c>
      <c r="F655" s="6">
        <f>IF(C655&lt;&gt;0, ((C655-D655)/C655)*100, 0)</f>
        <v>15.217097416511685</v>
      </c>
    </row>
    <row r="656" spans="1:6" x14ac:dyDescent="0.25">
      <c r="A656" s="2" t="s">
        <v>942</v>
      </c>
      <c r="B656" s="2" t="s">
        <v>943</v>
      </c>
      <c r="C656" s="6">
        <v>1856609.5</v>
      </c>
      <c r="D656" s="6">
        <v>1441845.23</v>
      </c>
      <c r="E656" s="6">
        <f>C656-D656</f>
        <v>414764.27</v>
      </c>
      <c r="F656" s="6">
        <f>IF(C656&lt;&gt;0, ((C656-D656)/C656)*100, 0)</f>
        <v>22.339876533002766</v>
      </c>
    </row>
    <row r="657" spans="1:6" x14ac:dyDescent="0.25">
      <c r="A657" s="2" t="s">
        <v>944</v>
      </c>
      <c r="B657" s="2" t="s">
        <v>945</v>
      </c>
      <c r="C657" s="6">
        <v>2701698</v>
      </c>
      <c r="D657" s="6">
        <v>2310289.9900000002</v>
      </c>
      <c r="E657" s="6">
        <f>C657-D657</f>
        <v>391408.00999999978</v>
      </c>
      <c r="F657" s="6">
        <f>IF(C657&lt;&gt;0, ((C657-D657)/C657)*100, 0)</f>
        <v>14.4874819465388</v>
      </c>
    </row>
    <row r="658" spans="1:6" x14ac:dyDescent="0.25">
      <c r="A658" s="2" t="s">
        <v>946</v>
      </c>
      <c r="B658" s="2" t="s">
        <v>946</v>
      </c>
      <c r="C658" s="6">
        <v>11200</v>
      </c>
      <c r="D658" s="6">
        <v>9290</v>
      </c>
      <c r="E658" s="6">
        <f>C658-D658</f>
        <v>1910</v>
      </c>
      <c r="F658" s="6">
        <f>IF(C658&lt;&gt;0, ((C658-D658)/C658)*100, 0)</f>
        <v>17.053571428571431</v>
      </c>
    </row>
    <row r="659" spans="1:6" x14ac:dyDescent="0.25">
      <c r="A659" s="2" t="s">
        <v>947</v>
      </c>
      <c r="B659" s="2" t="s">
        <v>947</v>
      </c>
      <c r="C659" s="6">
        <v>213875</v>
      </c>
      <c r="D659" s="6">
        <v>187246.36</v>
      </c>
      <c r="E659" s="6">
        <f>C659-D659</f>
        <v>26628.640000000014</v>
      </c>
      <c r="F659" s="6">
        <f>IF(C659&lt;&gt;0, ((C659-D659)/C659)*100, 0)</f>
        <v>12.450562244301585</v>
      </c>
    </row>
    <row r="660" spans="1:6" x14ac:dyDescent="0.25">
      <c r="A660" s="2" t="s">
        <v>948</v>
      </c>
      <c r="B660" s="2" t="s">
        <v>949</v>
      </c>
      <c r="C660" s="6">
        <v>94185</v>
      </c>
      <c r="D660" s="6">
        <v>62790</v>
      </c>
      <c r="E660" s="6">
        <f>C660-D660</f>
        <v>31395</v>
      </c>
      <c r="F660" s="6">
        <f>IF(C660&lt;&gt;0, ((C660-D660)/C660)*100, 0)</f>
        <v>33.333333333333329</v>
      </c>
    </row>
    <row r="661" spans="1:6" x14ac:dyDescent="0.25">
      <c r="A661" s="2" t="s">
        <v>950</v>
      </c>
      <c r="B661" s="2" t="s">
        <v>950</v>
      </c>
      <c r="C661" s="6">
        <v>54496</v>
      </c>
      <c r="D661" s="6">
        <v>46044</v>
      </c>
      <c r="E661" s="6">
        <f>C661-D661</f>
        <v>8452</v>
      </c>
      <c r="F661" s="6">
        <f>IF(C661&lt;&gt;0, ((C661-D661)/C661)*100, 0)</f>
        <v>15.509395184967703</v>
      </c>
    </row>
    <row r="662" spans="1:6" x14ac:dyDescent="0.25">
      <c r="A662" s="2" t="s">
        <v>951</v>
      </c>
      <c r="B662" s="2" t="s">
        <v>951</v>
      </c>
      <c r="C662" s="6">
        <v>5600</v>
      </c>
      <c r="D662" s="6">
        <v>4645</v>
      </c>
      <c r="E662" s="6">
        <f>C662-D662</f>
        <v>955</v>
      </c>
      <c r="F662" s="6">
        <f>IF(C662&lt;&gt;0, ((C662-D662)/C662)*100, 0)</f>
        <v>17.053571428571431</v>
      </c>
    </row>
    <row r="663" spans="1:6" x14ac:dyDescent="0.25">
      <c r="A663" s="2" t="s">
        <v>952</v>
      </c>
      <c r="B663" s="2" t="s">
        <v>953</v>
      </c>
      <c r="C663" s="6">
        <v>479691.7</v>
      </c>
      <c r="E663" s="6">
        <f>C663-D663</f>
        <v>479691.7</v>
      </c>
      <c r="F663" s="6">
        <f>IF(C663&lt;&gt;0, ((C663-D663)/C663)*100, 0)</f>
        <v>100</v>
      </c>
    </row>
    <row r="664" spans="1:6" x14ac:dyDescent="0.25">
      <c r="A664" s="2" t="s">
        <v>954</v>
      </c>
      <c r="B664" s="2" t="s">
        <v>954</v>
      </c>
      <c r="C664" s="6">
        <v>835767</v>
      </c>
      <c r="D664" s="6">
        <v>642694.98</v>
      </c>
      <c r="E664" s="6">
        <f>C664-D664</f>
        <v>193072.02000000002</v>
      </c>
      <c r="F664" s="6">
        <f>IF(C664&lt;&gt;0, ((C664-D664)/C664)*100, 0)</f>
        <v>23.101177720584808</v>
      </c>
    </row>
    <row r="665" spans="1:6" x14ac:dyDescent="0.25">
      <c r="A665" s="2" t="s">
        <v>955</v>
      </c>
      <c r="B665" s="2" t="s">
        <v>955</v>
      </c>
      <c r="C665" s="6">
        <v>-112</v>
      </c>
      <c r="E665" s="6">
        <f>C665-D665</f>
        <v>-112</v>
      </c>
      <c r="F665" s="6">
        <f>IF(C665&lt;&gt;0, ((C665-D665)/C665)*100, 0)</f>
        <v>100</v>
      </c>
    </row>
    <row r="666" spans="1:6" x14ac:dyDescent="0.25">
      <c r="A666" s="2" t="s">
        <v>956</v>
      </c>
      <c r="B666" s="2" t="s">
        <v>956</v>
      </c>
      <c r="C666" s="6">
        <v>59365</v>
      </c>
      <c r="D666" s="6">
        <v>24420</v>
      </c>
      <c r="E666" s="6">
        <f>C666-D666</f>
        <v>34945</v>
      </c>
      <c r="F666" s="6">
        <f>IF(C666&lt;&gt;0, ((C666-D666)/C666)*100, 0)</f>
        <v>58.864650888570701</v>
      </c>
    </row>
    <row r="667" spans="1:6" x14ac:dyDescent="0.25">
      <c r="A667" s="2" t="s">
        <v>957</v>
      </c>
      <c r="B667" s="2" t="s">
        <v>958</v>
      </c>
      <c r="C667" s="6">
        <v>208505</v>
      </c>
      <c r="D667" s="6">
        <v>163317</v>
      </c>
      <c r="E667" s="6">
        <f>C667-D667</f>
        <v>45188</v>
      </c>
      <c r="F667" s="6">
        <f>IF(C667&lt;&gt;0, ((C667-D667)/C667)*100, 0)</f>
        <v>21.672381957267213</v>
      </c>
    </row>
    <row r="668" spans="1:6" x14ac:dyDescent="0.25">
      <c r="A668" s="2" t="s">
        <v>959</v>
      </c>
      <c r="B668" s="2" t="s">
        <v>959</v>
      </c>
      <c r="C668" s="6">
        <v>689850</v>
      </c>
      <c r="D668" s="6">
        <v>627135</v>
      </c>
      <c r="E668" s="6">
        <f>C668-D668</f>
        <v>62715</v>
      </c>
      <c r="F668" s="6">
        <f>IF(C668&lt;&gt;0, ((C668-D668)/C668)*100, 0)</f>
        <v>9.0911067623396384</v>
      </c>
    </row>
    <row r="669" spans="1:6" x14ac:dyDescent="0.25">
      <c r="A669" s="2" t="s">
        <v>960</v>
      </c>
      <c r="B669" s="2" t="s">
        <v>960</v>
      </c>
      <c r="C669" s="6">
        <v>21344</v>
      </c>
      <c r="D669" s="6">
        <v>17550</v>
      </c>
      <c r="E669" s="6">
        <f>C669-D669</f>
        <v>3794</v>
      </c>
      <c r="F669" s="6">
        <f>IF(C669&lt;&gt;0, ((C669-D669)/C669)*100, 0)</f>
        <v>17.775487256371814</v>
      </c>
    </row>
    <row r="670" spans="1:6" x14ac:dyDescent="0.25">
      <c r="A670" s="2" t="s">
        <v>961</v>
      </c>
      <c r="B670" s="2" t="s">
        <v>961</v>
      </c>
      <c r="C670" s="6">
        <v>2630126</v>
      </c>
      <c r="D670" s="6">
        <v>2274613.86</v>
      </c>
      <c r="E670" s="6">
        <f>C670-D670</f>
        <v>355512.14000000013</v>
      </c>
      <c r="F670" s="6">
        <f>IF(C670&lt;&gt;0, ((C670-D670)/C670)*100, 0)</f>
        <v>13.516924284235818</v>
      </c>
    </row>
    <row r="671" spans="1:6" x14ac:dyDescent="0.25">
      <c r="A671" s="2" t="s">
        <v>962</v>
      </c>
      <c r="B671" s="2" t="s">
        <v>962</v>
      </c>
      <c r="C671" s="6">
        <v>10125</v>
      </c>
      <c r="D671" s="6">
        <v>8246</v>
      </c>
      <c r="E671" s="6">
        <f>C671-D671</f>
        <v>1879</v>
      </c>
      <c r="F671" s="6">
        <f>IF(C671&lt;&gt;0, ((C671-D671)/C671)*100, 0)</f>
        <v>18.558024691358025</v>
      </c>
    </row>
    <row r="672" spans="1:6" x14ac:dyDescent="0.25">
      <c r="A672" s="2" t="s">
        <v>963</v>
      </c>
      <c r="B672" s="2" t="s">
        <v>963</v>
      </c>
      <c r="C672" s="6">
        <v>83758</v>
      </c>
      <c r="D672" s="6">
        <v>76611</v>
      </c>
      <c r="E672" s="6">
        <f>C672-D672</f>
        <v>7147</v>
      </c>
      <c r="F672" s="6">
        <f>IF(C672&lt;&gt;0, ((C672-D672)/C672)*100, 0)</f>
        <v>8.5329162587454341</v>
      </c>
    </row>
    <row r="673" spans="1:6" x14ac:dyDescent="0.25">
      <c r="A673" s="2" t="s">
        <v>964</v>
      </c>
      <c r="B673" s="2" t="s">
        <v>964</v>
      </c>
      <c r="C673" s="6">
        <v>-1</v>
      </c>
      <c r="E673" s="6">
        <f>C673-D673</f>
        <v>-1</v>
      </c>
      <c r="F673" s="6">
        <f>IF(C673&lt;&gt;0, ((C673-D673)/C673)*100, 0)</f>
        <v>100</v>
      </c>
    </row>
    <row r="674" spans="1:6" x14ac:dyDescent="0.25">
      <c r="A674" s="2" t="s">
        <v>965</v>
      </c>
      <c r="B674" s="2" t="s">
        <v>965</v>
      </c>
      <c r="C674" s="6">
        <v>593580</v>
      </c>
      <c r="D674" s="6">
        <v>445516.5</v>
      </c>
      <c r="E674" s="6">
        <f>C674-D674</f>
        <v>148063.5</v>
      </c>
      <c r="F674" s="6">
        <f>IF(C674&lt;&gt;0, ((C674-D674)/C674)*100, 0)</f>
        <v>24.944152431011826</v>
      </c>
    </row>
    <row r="675" spans="1:6" x14ac:dyDescent="0.25">
      <c r="A675" s="2" t="s">
        <v>966</v>
      </c>
      <c r="B675" s="2" t="s">
        <v>966</v>
      </c>
      <c r="C675" s="6">
        <v>87010</v>
      </c>
      <c r="D675" s="6">
        <v>74740</v>
      </c>
      <c r="E675" s="6">
        <f>C675-D675</f>
        <v>12270</v>
      </c>
      <c r="F675" s="6">
        <f>IF(C675&lt;&gt;0, ((C675-D675)/C675)*100, 0)</f>
        <v>14.101827376163659</v>
      </c>
    </row>
    <row r="676" spans="1:6" x14ac:dyDescent="0.25">
      <c r="A676" s="2" t="s">
        <v>967</v>
      </c>
      <c r="B676" s="2" t="s">
        <v>967</v>
      </c>
      <c r="C676" s="6">
        <v>47493</v>
      </c>
      <c r="D676" s="6">
        <v>58860</v>
      </c>
      <c r="E676" s="6">
        <f>C676-D676</f>
        <v>-11367</v>
      </c>
      <c r="F676" s="6">
        <f>IF(C676&lt;&gt;0, ((C676-D676)/C676)*100, 0)</f>
        <v>-23.934053439454235</v>
      </c>
    </row>
    <row r="677" spans="1:6" x14ac:dyDescent="0.25">
      <c r="A677" s="2" t="s">
        <v>968</v>
      </c>
      <c r="B677" s="2" t="s">
        <v>969</v>
      </c>
      <c r="C677" s="6">
        <v>95000</v>
      </c>
      <c r="D677" s="6">
        <v>84189.41</v>
      </c>
      <c r="E677" s="6">
        <f>C677-D677</f>
        <v>10810.589999999997</v>
      </c>
      <c r="F677" s="6">
        <f>IF(C677&lt;&gt;0, ((C677-D677)/C677)*100, 0)</f>
        <v>11.379568421052628</v>
      </c>
    </row>
    <row r="678" spans="1:6" x14ac:dyDescent="0.25">
      <c r="A678" s="2" t="s">
        <v>970</v>
      </c>
      <c r="B678" s="2" t="s">
        <v>971</v>
      </c>
      <c r="C678" s="6">
        <v>41400</v>
      </c>
      <c r="D678" s="6">
        <v>36000</v>
      </c>
      <c r="E678" s="6">
        <f>C678-D678</f>
        <v>5400</v>
      </c>
      <c r="F678" s="6">
        <f>IF(C678&lt;&gt;0, ((C678-D678)/C678)*100, 0)</f>
        <v>13.043478260869565</v>
      </c>
    </row>
    <row r="679" spans="1:6" x14ac:dyDescent="0.25">
      <c r="A679" s="2" t="s">
        <v>972</v>
      </c>
      <c r="B679" s="2" t="s">
        <v>972</v>
      </c>
      <c r="C679" s="6">
        <v>634495</v>
      </c>
      <c r="D679" s="6">
        <v>546687.23</v>
      </c>
      <c r="E679" s="6">
        <f>C679-D679</f>
        <v>87807.770000000019</v>
      </c>
      <c r="F679" s="6">
        <f>IF(C679&lt;&gt;0, ((C679-D679)/C679)*100, 0)</f>
        <v>13.839001095359304</v>
      </c>
    </row>
    <row r="680" spans="1:6" x14ac:dyDescent="0.25">
      <c r="A680" s="2" t="s">
        <v>973</v>
      </c>
      <c r="B680" s="2" t="s">
        <v>973</v>
      </c>
      <c r="C680" s="6">
        <v>32560</v>
      </c>
      <c r="D680" s="6">
        <v>27600</v>
      </c>
      <c r="E680" s="6">
        <f>C680-D680</f>
        <v>4960</v>
      </c>
      <c r="F680" s="6">
        <f>IF(C680&lt;&gt;0, ((C680-D680)/C680)*100, 0)</f>
        <v>15.233415233415235</v>
      </c>
    </row>
    <row r="681" spans="1:6" x14ac:dyDescent="0.25">
      <c r="A681" s="2" t="s">
        <v>974</v>
      </c>
      <c r="B681" s="2" t="s">
        <v>974</v>
      </c>
      <c r="C681" s="6">
        <v>54850</v>
      </c>
      <c r="D681" s="6">
        <v>44869.68</v>
      </c>
      <c r="E681" s="6">
        <f>C681-D681</f>
        <v>9980.32</v>
      </c>
      <c r="F681" s="6">
        <f>IF(C681&lt;&gt;0, ((C681-D681)/C681)*100, 0)</f>
        <v>18.195660893345487</v>
      </c>
    </row>
    <row r="682" spans="1:6" x14ac:dyDescent="0.25">
      <c r="A682" s="2" t="s">
        <v>975</v>
      </c>
      <c r="B682" s="2" t="s">
        <v>976</v>
      </c>
      <c r="C682" s="6">
        <v>48882</v>
      </c>
      <c r="E682" s="6">
        <f>C682-D682</f>
        <v>48882</v>
      </c>
      <c r="F682" s="6">
        <f>IF(C682&lt;&gt;0, ((C682-D682)/C682)*100, 0)</f>
        <v>100</v>
      </c>
    </row>
    <row r="683" spans="1:6" x14ac:dyDescent="0.25">
      <c r="A683" s="2" t="s">
        <v>977</v>
      </c>
      <c r="B683" s="2" t="s">
        <v>977</v>
      </c>
      <c r="C683" s="6">
        <v>18465</v>
      </c>
      <c r="E683" s="6">
        <f>C683-D683</f>
        <v>18465</v>
      </c>
      <c r="F683" s="6">
        <f>IF(C683&lt;&gt;0, ((C683-D683)/C683)*100, 0)</f>
        <v>100</v>
      </c>
    </row>
    <row r="684" spans="1:6" x14ac:dyDescent="0.25">
      <c r="A684" s="2" t="s">
        <v>978</v>
      </c>
      <c r="B684" s="2" t="s">
        <v>979</v>
      </c>
      <c r="C684" s="6">
        <v>637393</v>
      </c>
      <c r="D684" s="6">
        <v>520798</v>
      </c>
      <c r="E684" s="6">
        <f>C684-D684</f>
        <v>116595</v>
      </c>
      <c r="F684" s="6">
        <f>IF(C684&lt;&gt;0, ((C684-D684)/C684)*100, 0)</f>
        <v>18.292482032278361</v>
      </c>
    </row>
    <row r="685" spans="1:6" x14ac:dyDescent="0.25">
      <c r="A685" s="2" t="s">
        <v>980</v>
      </c>
      <c r="B685" s="2" t="s">
        <v>980</v>
      </c>
      <c r="C685" s="6">
        <v>31500</v>
      </c>
      <c r="D685" s="6">
        <v>26340.720000000001</v>
      </c>
      <c r="E685" s="6">
        <f>C685-D685</f>
        <v>5159.2799999999988</v>
      </c>
      <c r="F685" s="6">
        <f>IF(C685&lt;&gt;0, ((C685-D685)/C685)*100, 0)</f>
        <v>16.378666666666664</v>
      </c>
    </row>
    <row r="686" spans="1:6" x14ac:dyDescent="0.25">
      <c r="A686" s="2" t="s">
        <v>981</v>
      </c>
      <c r="B686" s="2" t="s">
        <v>981</v>
      </c>
      <c r="C686" s="6">
        <v>283142</v>
      </c>
      <c r="D686" s="6">
        <v>231945</v>
      </c>
      <c r="E686" s="6">
        <f>C686-D686</f>
        <v>51197</v>
      </c>
      <c r="F686" s="6">
        <f>IF(C686&lt;&gt;0, ((C686-D686)/C686)*100, 0)</f>
        <v>18.081739904358944</v>
      </c>
    </row>
    <row r="687" spans="1:6" x14ac:dyDescent="0.25">
      <c r="A687" s="2" t="s">
        <v>982</v>
      </c>
      <c r="B687" s="2" t="s">
        <v>982</v>
      </c>
      <c r="C687" s="6">
        <v>8140</v>
      </c>
      <c r="D687" s="6">
        <v>6900</v>
      </c>
      <c r="E687" s="6">
        <f>C687-D687</f>
        <v>1240</v>
      </c>
      <c r="F687" s="6">
        <f>IF(C687&lt;&gt;0, ((C687-D687)/C687)*100, 0)</f>
        <v>15.233415233415235</v>
      </c>
    </row>
    <row r="688" spans="1:6" x14ac:dyDescent="0.25">
      <c r="A688" s="2" t="s">
        <v>983</v>
      </c>
      <c r="B688" s="2" t="s">
        <v>983</v>
      </c>
      <c r="C688" s="6">
        <v>-10</v>
      </c>
      <c r="E688" s="6">
        <f>C688-D688</f>
        <v>-10</v>
      </c>
      <c r="F688" s="6">
        <f>IF(C688&lt;&gt;0, ((C688-D688)/C688)*100, 0)</f>
        <v>100</v>
      </c>
    </row>
    <row r="689" spans="1:6" x14ac:dyDescent="0.25">
      <c r="A689" s="2" t="s">
        <v>984</v>
      </c>
      <c r="B689" s="2" t="s">
        <v>984</v>
      </c>
      <c r="C689" s="6">
        <v>20350</v>
      </c>
      <c r="D689" s="6">
        <v>16673</v>
      </c>
      <c r="E689" s="6">
        <f>C689-D689</f>
        <v>3677</v>
      </c>
      <c r="F689" s="6">
        <f>IF(C689&lt;&gt;0, ((C689-D689)/C689)*100, 0)</f>
        <v>18.068796068796068</v>
      </c>
    </row>
    <row r="690" spans="1:6" x14ac:dyDescent="0.25">
      <c r="A690" s="2" t="s">
        <v>985</v>
      </c>
      <c r="B690" s="2" t="s">
        <v>985</v>
      </c>
      <c r="C690" s="6">
        <v>12212159.800000001</v>
      </c>
      <c r="D690" s="6">
        <v>9885795.3000000007</v>
      </c>
      <c r="E690" s="6">
        <f>C690-D690</f>
        <v>2326364.5</v>
      </c>
      <c r="F690" s="6">
        <f>IF(C690&lt;&gt;0, ((C690-D690)/C690)*100, 0)</f>
        <v>19.049574670649168</v>
      </c>
    </row>
    <row r="691" spans="1:6" x14ac:dyDescent="0.25">
      <c r="A691" s="2" t="s">
        <v>986</v>
      </c>
      <c r="B691" s="2" t="s">
        <v>986</v>
      </c>
      <c r="C691" s="6">
        <v>378285</v>
      </c>
      <c r="D691" s="6">
        <v>326731</v>
      </c>
      <c r="E691" s="6">
        <f>C691-D691</f>
        <v>51554</v>
      </c>
      <c r="F691" s="6">
        <f>IF(C691&lt;&gt;0, ((C691-D691)/C691)*100, 0)</f>
        <v>13.62834899612726</v>
      </c>
    </row>
    <row r="692" spans="1:6" x14ac:dyDescent="0.25">
      <c r="A692" s="2" t="s">
        <v>987</v>
      </c>
      <c r="B692" s="2" t="s">
        <v>987</v>
      </c>
      <c r="C692" s="6">
        <v>418111</v>
      </c>
      <c r="D692" s="6">
        <v>384800.05</v>
      </c>
      <c r="E692" s="6">
        <f>C692-D692</f>
        <v>33310.950000000012</v>
      </c>
      <c r="F692" s="6">
        <f>IF(C692&lt;&gt;0, ((C692-D692)/C692)*100, 0)</f>
        <v>7.9670111525408354</v>
      </c>
    </row>
    <row r="693" spans="1:6" x14ac:dyDescent="0.25">
      <c r="A693" s="2" t="s">
        <v>988</v>
      </c>
      <c r="B693" s="2" t="s">
        <v>988</v>
      </c>
      <c r="C693" s="6">
        <v>1940</v>
      </c>
      <c r="E693" s="6">
        <f>C693-D693</f>
        <v>1940</v>
      </c>
      <c r="F693" s="6">
        <f>IF(C693&lt;&gt;0, ((C693-D693)/C693)*100, 0)</f>
        <v>100</v>
      </c>
    </row>
    <row r="694" spans="1:6" x14ac:dyDescent="0.25">
      <c r="A694" s="2" t="s">
        <v>989</v>
      </c>
      <c r="B694" s="2" t="s">
        <v>989</v>
      </c>
      <c r="C694" s="6">
        <v>2121776</v>
      </c>
      <c r="D694" s="6">
        <v>1866875.24</v>
      </c>
      <c r="E694" s="6">
        <f>C694-D694</f>
        <v>254900.76</v>
      </c>
      <c r="F694" s="6">
        <f>IF(C694&lt;&gt;0, ((C694-D694)/C694)*100, 0)</f>
        <v>12.013556567705546</v>
      </c>
    </row>
    <row r="695" spans="1:6" x14ac:dyDescent="0.25">
      <c r="A695" s="2" t="s">
        <v>990</v>
      </c>
      <c r="B695" s="2" t="s">
        <v>990</v>
      </c>
      <c r="C695" s="6">
        <v>37440</v>
      </c>
      <c r="D695" s="6">
        <v>34028</v>
      </c>
      <c r="E695" s="6">
        <f>C695-D695</f>
        <v>3412</v>
      </c>
      <c r="F695" s="6">
        <f>IF(C695&lt;&gt;0, ((C695-D695)/C695)*100, 0)</f>
        <v>9.113247863247862</v>
      </c>
    </row>
    <row r="696" spans="1:6" x14ac:dyDescent="0.25">
      <c r="A696" s="2" t="s">
        <v>991</v>
      </c>
      <c r="B696" s="2" t="s">
        <v>991</v>
      </c>
      <c r="C696" s="6">
        <v>940910</v>
      </c>
      <c r="D696" s="6">
        <v>797388.66</v>
      </c>
      <c r="E696" s="6">
        <f>C696-D696</f>
        <v>143521.33999999997</v>
      </c>
      <c r="F696" s="6">
        <f>IF(C696&lt;&gt;0, ((C696-D696)/C696)*100, 0)</f>
        <v>15.253461011148778</v>
      </c>
    </row>
    <row r="697" spans="1:6" x14ac:dyDescent="0.25">
      <c r="A697" s="2" t="s">
        <v>992</v>
      </c>
      <c r="B697" s="2" t="s">
        <v>992</v>
      </c>
      <c r="C697" s="6">
        <v>2571628.84</v>
      </c>
      <c r="D697" s="6">
        <v>2087975.27</v>
      </c>
      <c r="E697" s="6">
        <f>C697-D697</f>
        <v>483653.56999999983</v>
      </c>
      <c r="F697" s="6">
        <f>IF(C697&lt;&gt;0, ((C697-D697)/C697)*100, 0)</f>
        <v>18.807285191279774</v>
      </c>
    </row>
    <row r="698" spans="1:6" x14ac:dyDescent="0.25">
      <c r="A698" s="2" t="s">
        <v>993</v>
      </c>
      <c r="B698" s="2" t="s">
        <v>994</v>
      </c>
      <c r="C698" s="6">
        <v>1601657.54</v>
      </c>
      <c r="D698" s="6">
        <v>1286495.68</v>
      </c>
      <c r="E698" s="6">
        <f>C698-D698</f>
        <v>315161.8600000001</v>
      </c>
      <c r="F698" s="6">
        <f>IF(C698&lt;&gt;0, ((C698-D698)/C698)*100, 0)</f>
        <v>19.677231376190448</v>
      </c>
    </row>
    <row r="699" spans="1:6" x14ac:dyDescent="0.25">
      <c r="A699" s="2" t="s">
        <v>995</v>
      </c>
      <c r="B699" s="2" t="s">
        <v>996</v>
      </c>
      <c r="C699" s="6">
        <v>816604</v>
      </c>
      <c r="D699" s="6">
        <v>715824.08</v>
      </c>
      <c r="E699" s="6">
        <f>C699-D699</f>
        <v>100779.92000000004</v>
      </c>
      <c r="F699" s="6">
        <f>IF(C699&lt;&gt;0, ((C699-D699)/C699)*100, 0)</f>
        <v>12.341345376706462</v>
      </c>
    </row>
    <row r="700" spans="1:6" x14ac:dyDescent="0.25">
      <c r="A700" s="2" t="s">
        <v>997</v>
      </c>
      <c r="B700" s="2" t="s">
        <v>998</v>
      </c>
      <c r="C700" s="6">
        <v>917359.5</v>
      </c>
      <c r="D700" s="6">
        <v>748666.06</v>
      </c>
      <c r="E700" s="6">
        <f>C700-D700</f>
        <v>168693.43999999994</v>
      </c>
      <c r="F700" s="6">
        <f>IF(C700&lt;&gt;0, ((C700-D700)/C700)*100, 0)</f>
        <v>18.389021970121849</v>
      </c>
    </row>
    <row r="701" spans="1:6" x14ac:dyDescent="0.25">
      <c r="A701" s="2" t="s">
        <v>999</v>
      </c>
      <c r="B701" s="2" t="s">
        <v>1000</v>
      </c>
      <c r="C701" s="6">
        <v>575670.18000000005</v>
      </c>
      <c r="D701" s="6">
        <v>481379.79</v>
      </c>
      <c r="E701" s="6">
        <f>C701-D701</f>
        <v>94290.390000000072</v>
      </c>
      <c r="F701" s="6">
        <f>IF(C701&lt;&gt;0, ((C701-D701)/C701)*100, 0)</f>
        <v>16.379238195037317</v>
      </c>
    </row>
    <row r="702" spans="1:6" x14ac:dyDescent="0.25">
      <c r="A702" s="2" t="s">
        <v>1001</v>
      </c>
      <c r="B702" s="2" t="s">
        <v>1002</v>
      </c>
      <c r="C702" s="6">
        <v>-112</v>
      </c>
      <c r="E702" s="6">
        <f>C702-D702</f>
        <v>-112</v>
      </c>
      <c r="F702" s="6">
        <f>IF(C702&lt;&gt;0, ((C702-D702)/C702)*100, 0)</f>
        <v>100</v>
      </c>
    </row>
    <row r="703" spans="1:6" x14ac:dyDescent="0.25">
      <c r="A703" s="2" t="s">
        <v>1003</v>
      </c>
      <c r="B703" s="2" t="s">
        <v>1004</v>
      </c>
      <c r="C703" s="6">
        <v>182934</v>
      </c>
      <c r="D703" s="6">
        <v>134560.07999999999</v>
      </c>
      <c r="E703" s="6">
        <f>C703-D703</f>
        <v>48373.920000000013</v>
      </c>
      <c r="F703" s="6">
        <f>IF(C703&lt;&gt;0, ((C703-D703)/C703)*100, 0)</f>
        <v>26.443373019777631</v>
      </c>
    </row>
    <row r="704" spans="1:6" x14ac:dyDescent="0.25">
      <c r="A704" s="2" t="s">
        <v>1005</v>
      </c>
      <c r="B704" s="2" t="s">
        <v>1005</v>
      </c>
      <c r="C704" s="6">
        <v>863815</v>
      </c>
      <c r="D704" s="6">
        <v>604882.09</v>
      </c>
      <c r="E704" s="6">
        <f>C704-D704</f>
        <v>258932.91000000003</v>
      </c>
      <c r="F704" s="6">
        <f>IF(C704&lt;&gt;0, ((C704-D704)/C704)*100, 0)</f>
        <v>29.975505171824992</v>
      </c>
    </row>
    <row r="705" spans="1:6" x14ac:dyDescent="0.25">
      <c r="A705" s="2" t="s">
        <v>1006</v>
      </c>
      <c r="B705" s="2" t="s">
        <v>1006</v>
      </c>
      <c r="C705" s="6">
        <v>1749577</v>
      </c>
      <c r="D705" s="6">
        <v>1465754.41</v>
      </c>
      <c r="E705" s="6">
        <f>C705-D705</f>
        <v>283822.59000000008</v>
      </c>
      <c r="F705" s="6">
        <f>IF(C705&lt;&gt;0, ((C705-D705)/C705)*100, 0)</f>
        <v>16.222354889210369</v>
      </c>
    </row>
    <row r="706" spans="1:6" x14ac:dyDescent="0.25">
      <c r="A706" s="2" t="s">
        <v>1007</v>
      </c>
      <c r="B706" s="2" t="s">
        <v>1007</v>
      </c>
      <c r="C706" s="6">
        <v>49030</v>
      </c>
      <c r="D706" s="6">
        <v>43235</v>
      </c>
      <c r="E706" s="6">
        <f>C706-D706</f>
        <v>5795</v>
      </c>
      <c r="F706" s="6">
        <f>IF(C706&lt;&gt;0, ((C706-D706)/C706)*100, 0)</f>
        <v>11.819294309606363</v>
      </c>
    </row>
    <row r="707" spans="1:6" x14ac:dyDescent="0.25">
      <c r="A707" s="2" t="s">
        <v>1008</v>
      </c>
      <c r="B707" s="2" t="s">
        <v>1008</v>
      </c>
      <c r="C707" s="6">
        <v>21265</v>
      </c>
      <c r="D707" s="6">
        <v>18490</v>
      </c>
      <c r="E707" s="6">
        <f>C707-D707</f>
        <v>2775</v>
      </c>
      <c r="F707" s="6">
        <f>IF(C707&lt;&gt;0, ((C707-D707)/C707)*100, 0)</f>
        <v>13.049612038561015</v>
      </c>
    </row>
    <row r="708" spans="1:6" x14ac:dyDescent="0.25">
      <c r="A708" s="2" t="s">
        <v>1009</v>
      </c>
      <c r="B708" s="2" t="s">
        <v>1009</v>
      </c>
      <c r="C708" s="6">
        <v>3616540</v>
      </c>
      <c r="D708" s="6">
        <v>2911800</v>
      </c>
      <c r="E708" s="6">
        <f>C708-D708</f>
        <v>704740</v>
      </c>
      <c r="F708" s="6">
        <f>IF(C708&lt;&gt;0, ((C708-D708)/C708)*100, 0)</f>
        <v>19.486581096849477</v>
      </c>
    </row>
    <row r="709" spans="1:6" x14ac:dyDescent="0.25">
      <c r="A709" s="2" t="s">
        <v>1010</v>
      </c>
      <c r="B709" s="2" t="s">
        <v>1010</v>
      </c>
      <c r="C709" s="6">
        <v>325466</v>
      </c>
      <c r="D709" s="6">
        <v>296910.59999999998</v>
      </c>
      <c r="E709" s="6">
        <f>C709-D709</f>
        <v>28555.400000000023</v>
      </c>
      <c r="F709" s="6">
        <f>IF(C709&lt;&gt;0, ((C709-D709)/C709)*100, 0)</f>
        <v>8.7736967916771711</v>
      </c>
    </row>
    <row r="710" spans="1:6" x14ac:dyDescent="0.25">
      <c r="A710" s="2" t="s">
        <v>1011</v>
      </c>
      <c r="B710" s="2" t="s">
        <v>1011</v>
      </c>
      <c r="C710" s="6">
        <v>329206</v>
      </c>
      <c r="D710" s="6">
        <v>251575.26</v>
      </c>
      <c r="E710" s="6">
        <f>C710-D710</f>
        <v>77630.739999999991</v>
      </c>
      <c r="F710" s="6">
        <f>IF(C710&lt;&gt;0, ((C710-D710)/C710)*100, 0)</f>
        <v>23.581204473794521</v>
      </c>
    </row>
    <row r="711" spans="1:6" x14ac:dyDescent="0.25">
      <c r="A711" s="2" t="s">
        <v>1012</v>
      </c>
      <c r="B711" s="2" t="s">
        <v>1012</v>
      </c>
      <c r="C711" s="6">
        <v>90825</v>
      </c>
      <c r="D711" s="6">
        <v>73891.039999999994</v>
      </c>
      <c r="E711" s="6">
        <f>C711-D711</f>
        <v>16933.960000000006</v>
      </c>
      <c r="F711" s="6">
        <f>IF(C711&lt;&gt;0, ((C711-D711)/C711)*100, 0)</f>
        <v>18.644602257087815</v>
      </c>
    </row>
    <row r="712" spans="1:6" x14ac:dyDescent="0.25">
      <c r="A712" s="2" t="s">
        <v>1013</v>
      </c>
      <c r="B712" s="2" t="s">
        <v>1013</v>
      </c>
      <c r="C712" s="6">
        <v>5054019</v>
      </c>
      <c r="D712" s="6">
        <v>3729340.87</v>
      </c>
      <c r="E712" s="6">
        <f>C712-D712</f>
        <v>1324678.1299999999</v>
      </c>
      <c r="F712" s="6">
        <f>IF(C712&lt;&gt;0, ((C712-D712)/C712)*100, 0)</f>
        <v>26.210390780090059</v>
      </c>
    </row>
    <row r="713" spans="1:6" x14ac:dyDescent="0.25">
      <c r="A713" s="2" t="s">
        <v>1014</v>
      </c>
      <c r="B713" s="2" t="s">
        <v>1014</v>
      </c>
      <c r="C713" s="6">
        <v>161340</v>
      </c>
      <c r="D713" s="6">
        <v>135330</v>
      </c>
      <c r="E713" s="6">
        <f>C713-D713</f>
        <v>26010</v>
      </c>
      <c r="F713" s="6">
        <f>IF(C713&lt;&gt;0, ((C713-D713)/C713)*100, 0)</f>
        <v>16.121234659724802</v>
      </c>
    </row>
    <row r="714" spans="1:6" x14ac:dyDescent="0.25">
      <c r="A714" s="2" t="s">
        <v>1015</v>
      </c>
      <c r="B714" s="2" t="s">
        <v>1015</v>
      </c>
      <c r="C714" s="6">
        <v>2687981.18</v>
      </c>
      <c r="D714" s="6">
        <v>2190971.83</v>
      </c>
      <c r="E714" s="6">
        <f>C714-D714</f>
        <v>497009.35000000009</v>
      </c>
      <c r="F714" s="6">
        <f>IF(C714&lt;&gt;0, ((C714-D714)/C714)*100, 0)</f>
        <v>18.490060633534647</v>
      </c>
    </row>
    <row r="715" spans="1:6" x14ac:dyDescent="0.25">
      <c r="A715" s="2" t="s">
        <v>1016</v>
      </c>
      <c r="B715" s="2" t="s">
        <v>1016</v>
      </c>
      <c r="C715" s="6">
        <v>86850</v>
      </c>
      <c r="D715" s="6">
        <v>53860</v>
      </c>
      <c r="E715" s="6">
        <f>C715-D715</f>
        <v>32990</v>
      </c>
      <c r="F715" s="6">
        <f>IF(C715&lt;&gt;0, ((C715-D715)/C715)*100, 0)</f>
        <v>37.985031663788135</v>
      </c>
    </row>
    <row r="716" spans="1:6" x14ac:dyDescent="0.25">
      <c r="A716" s="2" t="s">
        <v>1017</v>
      </c>
      <c r="B716" s="2" t="s">
        <v>1018</v>
      </c>
      <c r="C716" s="6">
        <v>133633</v>
      </c>
      <c r="D716" s="6">
        <v>102370.4</v>
      </c>
      <c r="E716" s="6">
        <f>C716-D716</f>
        <v>31262.600000000006</v>
      </c>
      <c r="F716" s="6">
        <f>IF(C716&lt;&gt;0, ((C716-D716)/C716)*100, 0)</f>
        <v>23.394371150838495</v>
      </c>
    </row>
    <row r="717" spans="1:6" x14ac:dyDescent="0.25">
      <c r="A717" s="2" t="s">
        <v>1019</v>
      </c>
      <c r="B717" s="2" t="s">
        <v>1019</v>
      </c>
      <c r="C717" s="6">
        <v>5813762.6399999997</v>
      </c>
      <c r="D717" s="6">
        <v>4449912.66</v>
      </c>
      <c r="E717" s="6">
        <f>C717-D717</f>
        <v>1363849.9799999995</v>
      </c>
      <c r="F717" s="6">
        <f>IF(C717&lt;&gt;0, ((C717-D717)/C717)*100, 0)</f>
        <v>23.458989718919788</v>
      </c>
    </row>
    <row r="718" spans="1:6" x14ac:dyDescent="0.25">
      <c r="A718" s="2" t="s">
        <v>1020</v>
      </c>
      <c r="B718" s="2" t="s">
        <v>1021</v>
      </c>
      <c r="C718" s="6">
        <v>18000</v>
      </c>
      <c r="E718" s="6">
        <f>C718-D718</f>
        <v>18000</v>
      </c>
      <c r="F718" s="6">
        <f>IF(C718&lt;&gt;0, ((C718-D718)/C718)*100, 0)</f>
        <v>100</v>
      </c>
    </row>
    <row r="719" spans="1:6" x14ac:dyDescent="0.25">
      <c r="A719" s="2" t="s">
        <v>1022</v>
      </c>
      <c r="B719" s="2" t="s">
        <v>1023</v>
      </c>
      <c r="C719" s="6">
        <v>65</v>
      </c>
      <c r="E719" s="6">
        <f>C719-D719</f>
        <v>65</v>
      </c>
      <c r="F719" s="6">
        <f>IF(C719&lt;&gt;0, ((C719-D719)/C719)*100, 0)</f>
        <v>100</v>
      </c>
    </row>
    <row r="720" spans="1:6" x14ac:dyDescent="0.25">
      <c r="A720" s="2" t="s">
        <v>1024</v>
      </c>
      <c r="B720" s="2" t="s">
        <v>1025</v>
      </c>
      <c r="C720" s="6">
        <v>511514.8</v>
      </c>
      <c r="D720" s="6">
        <v>429655.5</v>
      </c>
      <c r="E720" s="6">
        <f>C720-D720</f>
        <v>81859.299999999988</v>
      </c>
      <c r="F720" s="6">
        <f>IF(C720&lt;&gt;0, ((C720-D720)/C720)*100, 0)</f>
        <v>16.003310168151536</v>
      </c>
    </row>
    <row r="721" spans="1:6" x14ac:dyDescent="0.25">
      <c r="A721" s="2" t="s">
        <v>1026</v>
      </c>
      <c r="B721" s="2" t="s">
        <v>1026</v>
      </c>
      <c r="C721" s="6">
        <v>191667</v>
      </c>
      <c r="D721" s="6">
        <v>163544.64000000001</v>
      </c>
      <c r="E721" s="6">
        <f>C721-D721</f>
        <v>28122.359999999986</v>
      </c>
      <c r="F721" s="6">
        <f>IF(C721&lt;&gt;0, ((C721-D721)/C721)*100, 0)</f>
        <v>14.672510134764977</v>
      </c>
    </row>
    <row r="722" spans="1:6" x14ac:dyDescent="0.25">
      <c r="A722" s="2" t="s">
        <v>1027</v>
      </c>
      <c r="B722" s="2" t="s">
        <v>1028</v>
      </c>
      <c r="C722" s="6">
        <v>19841</v>
      </c>
      <c r="D722" s="6">
        <v>12150.9</v>
      </c>
      <c r="E722" s="6">
        <f>C722-D722</f>
        <v>7690.1</v>
      </c>
      <c r="F722" s="6">
        <f>IF(C722&lt;&gt;0, ((C722-D722)/C722)*100, 0)</f>
        <v>38.758631117383196</v>
      </c>
    </row>
    <row r="723" spans="1:6" x14ac:dyDescent="0.25">
      <c r="A723" s="2" t="s">
        <v>1029</v>
      </c>
      <c r="B723" s="2" t="s">
        <v>1030</v>
      </c>
      <c r="C723" s="6">
        <v>325600</v>
      </c>
      <c r="D723" s="6">
        <v>276000</v>
      </c>
      <c r="E723" s="6">
        <f>C723-D723</f>
        <v>49600</v>
      </c>
      <c r="F723" s="6">
        <f>IF(C723&lt;&gt;0, ((C723-D723)/C723)*100, 0)</f>
        <v>15.233415233415235</v>
      </c>
    </row>
    <row r="724" spans="1:6" x14ac:dyDescent="0.25">
      <c r="A724" s="2" t="s">
        <v>1031</v>
      </c>
      <c r="B724" s="2" t="s">
        <v>1032</v>
      </c>
      <c r="C724" s="6">
        <v>-60</v>
      </c>
      <c r="E724" s="6">
        <f>C724-D724</f>
        <v>-60</v>
      </c>
      <c r="F724" s="6">
        <f>IF(C724&lt;&gt;0, ((C724-D724)/C724)*100, 0)</f>
        <v>100</v>
      </c>
    </row>
    <row r="725" spans="1:6" x14ac:dyDescent="0.25">
      <c r="A725" s="2" t="s">
        <v>1033</v>
      </c>
      <c r="B725" s="2" t="s">
        <v>1033</v>
      </c>
      <c r="C725" s="6">
        <v>350</v>
      </c>
      <c r="E725" s="6">
        <f>C725-D725</f>
        <v>350</v>
      </c>
      <c r="F725" s="6">
        <f>IF(C725&lt;&gt;0, ((C725-D725)/C725)*100, 0)</f>
        <v>100</v>
      </c>
    </row>
    <row r="726" spans="1:6" x14ac:dyDescent="0.25">
      <c r="A726" s="2" t="s">
        <v>1034</v>
      </c>
      <c r="B726" s="2" t="s">
        <v>1034</v>
      </c>
      <c r="C726" s="6">
        <v>9960</v>
      </c>
      <c r="D726" s="6">
        <v>9445.56</v>
      </c>
      <c r="E726" s="6">
        <f>C726-D726</f>
        <v>514.44000000000051</v>
      </c>
      <c r="F726" s="6">
        <f>IF(C726&lt;&gt;0, ((C726-D726)/C726)*100, 0)</f>
        <v>5.1650602409638608</v>
      </c>
    </row>
    <row r="727" spans="1:6" x14ac:dyDescent="0.25">
      <c r="A727" s="2" t="s">
        <v>1035</v>
      </c>
      <c r="B727" s="2" t="s">
        <v>1036</v>
      </c>
      <c r="C727" s="6">
        <v>100749</v>
      </c>
      <c r="D727" s="6">
        <v>74935.199999999997</v>
      </c>
      <c r="E727" s="6">
        <f>C727-D727</f>
        <v>25813.800000000003</v>
      </c>
      <c r="F727" s="6">
        <f>IF(C727&lt;&gt;0, ((C727-D727)/C727)*100, 0)</f>
        <v>25.621892028705002</v>
      </c>
    </row>
    <row r="728" spans="1:6" x14ac:dyDescent="0.25">
      <c r="A728" s="2" t="s">
        <v>1037</v>
      </c>
      <c r="B728" s="2" t="s">
        <v>1038</v>
      </c>
      <c r="C728" s="6">
        <v>7880</v>
      </c>
      <c r="D728" s="6">
        <v>6301.8</v>
      </c>
      <c r="E728" s="6">
        <f>C728-D728</f>
        <v>1578.1999999999998</v>
      </c>
      <c r="F728" s="6">
        <f>IF(C728&lt;&gt;0, ((C728-D728)/C728)*100, 0)</f>
        <v>20.027918781725887</v>
      </c>
    </row>
    <row r="729" spans="1:6" x14ac:dyDescent="0.25">
      <c r="A729" s="2" t="s">
        <v>1039</v>
      </c>
      <c r="B729" s="2" t="s">
        <v>1040</v>
      </c>
      <c r="C729" s="6">
        <v>252340</v>
      </c>
      <c r="D729" s="6">
        <v>213900</v>
      </c>
      <c r="E729" s="6">
        <f>C729-D729</f>
        <v>38440</v>
      </c>
      <c r="F729" s="6">
        <f>IF(C729&lt;&gt;0, ((C729-D729)/C729)*100, 0)</f>
        <v>15.233415233415235</v>
      </c>
    </row>
    <row r="730" spans="1:6" x14ac:dyDescent="0.25">
      <c r="A730" s="2" t="s">
        <v>1041</v>
      </c>
      <c r="B730" s="2" t="s">
        <v>1042</v>
      </c>
      <c r="C730" s="6">
        <v>7923800</v>
      </c>
      <c r="D730" s="6">
        <v>6063120</v>
      </c>
      <c r="E730" s="6">
        <f>C730-D730</f>
        <v>1860680</v>
      </c>
      <c r="F730" s="6">
        <f>IF(C730&lt;&gt;0, ((C730-D730)/C730)*100, 0)</f>
        <v>23.482167646836114</v>
      </c>
    </row>
    <row r="731" spans="1:6" x14ac:dyDescent="0.25">
      <c r="A731" s="2" t="s">
        <v>1043</v>
      </c>
      <c r="B731" s="2" t="s">
        <v>1043</v>
      </c>
      <c r="C731" s="6">
        <v>10205</v>
      </c>
      <c r="D731" s="6">
        <v>8498</v>
      </c>
      <c r="E731" s="6">
        <f>C731-D731</f>
        <v>1707</v>
      </c>
      <c r="F731" s="6">
        <f>IF(C731&lt;&gt;0, ((C731-D731)/C731)*100, 0)</f>
        <v>16.727094561489466</v>
      </c>
    </row>
    <row r="732" spans="1:6" x14ac:dyDescent="0.25">
      <c r="A732" s="2" t="s">
        <v>1044</v>
      </c>
      <c r="B732" s="2" t="s">
        <v>1045</v>
      </c>
      <c r="C732" s="6">
        <v>39000000</v>
      </c>
      <c r="D732" s="6">
        <v>30000000</v>
      </c>
      <c r="E732" s="6">
        <f>C732-D732</f>
        <v>9000000</v>
      </c>
      <c r="F732" s="6">
        <f>IF(C732&lt;&gt;0, ((C732-D732)/C732)*100, 0)</f>
        <v>23.076923076923077</v>
      </c>
    </row>
    <row r="733" spans="1:6" x14ac:dyDescent="0.25">
      <c r="A733" s="2" t="s">
        <v>1046</v>
      </c>
      <c r="B733" s="2" t="s">
        <v>1047</v>
      </c>
      <c r="C733" s="6">
        <v>1738092</v>
      </c>
      <c r="D733" s="6">
        <v>1202379.8999999999</v>
      </c>
      <c r="E733" s="6">
        <f>C733-D733</f>
        <v>535712.10000000009</v>
      </c>
      <c r="F733" s="6">
        <f>IF(C733&lt;&gt;0, ((C733-D733)/C733)*100, 0)</f>
        <v>30.821849476322317</v>
      </c>
    </row>
    <row r="734" spans="1:6" x14ac:dyDescent="0.25">
      <c r="A734" s="2" t="s">
        <v>1048</v>
      </c>
      <c r="B734" s="2" t="s">
        <v>1048</v>
      </c>
      <c r="C734" s="6">
        <v>37481</v>
      </c>
      <c r="D734" s="6">
        <v>31952.7</v>
      </c>
      <c r="E734" s="6">
        <f>C734-D734</f>
        <v>5528.2999999999993</v>
      </c>
      <c r="F734" s="6">
        <f>IF(C734&lt;&gt;0, ((C734-D734)/C734)*100, 0)</f>
        <v>14.749606467276752</v>
      </c>
    </row>
    <row r="735" spans="1:6" x14ac:dyDescent="0.25">
      <c r="A735" s="2" t="s">
        <v>1049</v>
      </c>
      <c r="B735" s="2" t="s">
        <v>1050</v>
      </c>
      <c r="C735" s="6">
        <v>-4</v>
      </c>
      <c r="E735" s="6">
        <f>C735-D735</f>
        <v>-4</v>
      </c>
      <c r="F735" s="6">
        <f>IF(C735&lt;&gt;0, ((C735-D735)/C735)*100, 0)</f>
        <v>100</v>
      </c>
    </row>
    <row r="736" spans="1:6" x14ac:dyDescent="0.25">
      <c r="A736" s="2" t="s">
        <v>1051</v>
      </c>
      <c r="B736" s="2" t="s">
        <v>1051</v>
      </c>
      <c r="C736" s="6">
        <v>368524</v>
      </c>
      <c r="D736" s="6">
        <v>291411.28000000003</v>
      </c>
      <c r="E736" s="6">
        <f>C736-D736</f>
        <v>77112.719999999972</v>
      </c>
      <c r="F736" s="6">
        <f>IF(C736&lt;&gt;0, ((C736-D736)/C736)*100, 0)</f>
        <v>20.92474845600286</v>
      </c>
    </row>
    <row r="737" spans="1:6" x14ac:dyDescent="0.25">
      <c r="A737" s="2" t="s">
        <v>1052</v>
      </c>
      <c r="B737" s="2" t="s">
        <v>1052</v>
      </c>
      <c r="C737" s="6">
        <v>1377813</v>
      </c>
      <c r="D737" s="6">
        <v>1201977.1200000001</v>
      </c>
      <c r="E737" s="6">
        <f>C737-D737</f>
        <v>175835.87999999989</v>
      </c>
      <c r="F737" s="6">
        <f>IF(C737&lt;&gt;0, ((C737-D737)/C737)*100, 0)</f>
        <v>12.761955359689587</v>
      </c>
    </row>
    <row r="738" spans="1:6" x14ac:dyDescent="0.25">
      <c r="A738" s="2" t="s">
        <v>1053</v>
      </c>
      <c r="B738" s="2" t="s">
        <v>1053</v>
      </c>
      <c r="C738" s="6">
        <v>75975</v>
      </c>
      <c r="D738" s="6">
        <v>49270</v>
      </c>
      <c r="E738" s="6">
        <f>C738-D738</f>
        <v>26705</v>
      </c>
      <c r="F738" s="6">
        <f>IF(C738&lt;&gt;0, ((C738-D738)/C738)*100, 0)</f>
        <v>35.149720302731161</v>
      </c>
    </row>
    <row r="739" spans="1:6" x14ac:dyDescent="0.25">
      <c r="A739" s="2" t="s">
        <v>1054</v>
      </c>
      <c r="B739" s="2" t="s">
        <v>1055</v>
      </c>
      <c r="C739" s="6">
        <v>1437627</v>
      </c>
      <c r="D739" s="6">
        <v>987148.37</v>
      </c>
      <c r="E739" s="6">
        <f>C739-D739</f>
        <v>450478.63</v>
      </c>
      <c r="F739" s="6">
        <f>IF(C739&lt;&gt;0, ((C739-D739)/C739)*100, 0)</f>
        <v>31.334875457959537</v>
      </c>
    </row>
    <row r="740" spans="1:6" x14ac:dyDescent="0.25">
      <c r="A740" s="2" t="s">
        <v>1056</v>
      </c>
      <c r="B740" s="2" t="s">
        <v>1057</v>
      </c>
      <c r="C740" s="6">
        <v>17915</v>
      </c>
      <c r="D740" s="6">
        <v>15095</v>
      </c>
      <c r="E740" s="6">
        <f>C740-D740</f>
        <v>2820</v>
      </c>
      <c r="F740" s="6">
        <f>IF(C740&lt;&gt;0, ((C740-D740)/C740)*100, 0)</f>
        <v>15.740999162712811</v>
      </c>
    </row>
    <row r="741" spans="1:6" x14ac:dyDescent="0.25">
      <c r="A741" s="2" t="s">
        <v>1058</v>
      </c>
      <c r="B741" s="2" t="s">
        <v>1059</v>
      </c>
      <c r="C741" s="6">
        <v>406815</v>
      </c>
      <c r="D741" s="6">
        <v>308147.34000000003</v>
      </c>
      <c r="E741" s="6">
        <f>C741-D741</f>
        <v>98667.659999999974</v>
      </c>
      <c r="F741" s="6">
        <f>IF(C741&lt;&gt;0, ((C741-D741)/C741)*100, 0)</f>
        <v>24.253692710445772</v>
      </c>
    </row>
    <row r="742" spans="1:6" x14ac:dyDescent="0.25">
      <c r="A742" s="2" t="s">
        <v>1060</v>
      </c>
      <c r="B742" s="2" t="s">
        <v>1061</v>
      </c>
      <c r="C742" s="6">
        <v>66959</v>
      </c>
      <c r="D742" s="6">
        <v>53305.82</v>
      </c>
      <c r="E742" s="6">
        <f>C742-D742</f>
        <v>13653.18</v>
      </c>
      <c r="F742" s="6">
        <f>IF(C742&lt;&gt;0, ((C742-D742)/C742)*100, 0)</f>
        <v>20.39035827894682</v>
      </c>
    </row>
    <row r="743" spans="1:6" x14ac:dyDescent="0.25">
      <c r="A743" s="2" t="s">
        <v>1062</v>
      </c>
      <c r="B743" s="2" t="s">
        <v>1062</v>
      </c>
      <c r="C743" s="6">
        <v>906365.2</v>
      </c>
      <c r="D743" s="6">
        <v>749144.28</v>
      </c>
      <c r="E743" s="6">
        <f>C743-D743</f>
        <v>157220.91999999993</v>
      </c>
      <c r="F743" s="6">
        <f>IF(C743&lt;&gt;0, ((C743-D743)/C743)*100, 0)</f>
        <v>17.34631029523198</v>
      </c>
    </row>
    <row r="744" spans="1:6" x14ac:dyDescent="0.25">
      <c r="A744" s="2" t="s">
        <v>1063</v>
      </c>
      <c r="B744" s="2" t="s">
        <v>1064</v>
      </c>
      <c r="C744" s="6">
        <v>683915.23</v>
      </c>
      <c r="D744" s="6">
        <v>532097.67000000004</v>
      </c>
      <c r="E744" s="6">
        <f>C744-D744</f>
        <v>151817.55999999994</v>
      </c>
      <c r="F744" s="6">
        <f>IF(C744&lt;&gt;0, ((C744-D744)/C744)*100, 0)</f>
        <v>22.198300804033849</v>
      </c>
    </row>
    <row r="745" spans="1:6" x14ac:dyDescent="0.25">
      <c r="A745" s="2" t="s">
        <v>1065</v>
      </c>
      <c r="B745" s="2" t="s">
        <v>1066</v>
      </c>
      <c r="C745" s="6">
        <v>123582</v>
      </c>
      <c r="D745" s="6">
        <v>106948.1</v>
      </c>
      <c r="E745" s="6">
        <f>C745-D745</f>
        <v>16633.899999999994</v>
      </c>
      <c r="F745" s="6">
        <f>IF(C745&lt;&gt;0, ((C745-D745)/C745)*100, 0)</f>
        <v>13.459808062662843</v>
      </c>
    </row>
    <row r="746" spans="1:6" x14ac:dyDescent="0.25">
      <c r="A746" s="2" t="s">
        <v>1067</v>
      </c>
      <c r="B746" s="2" t="s">
        <v>1068</v>
      </c>
      <c r="C746" s="6">
        <v>139650</v>
      </c>
      <c r="D746" s="6">
        <v>108064</v>
      </c>
      <c r="E746" s="6">
        <f>C746-D746</f>
        <v>31586</v>
      </c>
      <c r="F746" s="6">
        <f>IF(C746&lt;&gt;0, ((C746-D746)/C746)*100, 0)</f>
        <v>22.61797350519155</v>
      </c>
    </row>
    <row r="747" spans="1:6" x14ac:dyDescent="0.25">
      <c r="A747" s="2" t="s">
        <v>1069</v>
      </c>
      <c r="B747" s="2" t="s">
        <v>1069</v>
      </c>
      <c r="C747" s="6">
        <v>518839</v>
      </c>
      <c r="D747" s="6">
        <v>415794.26</v>
      </c>
      <c r="E747" s="6">
        <f>C747-D747</f>
        <v>103044.73999999999</v>
      </c>
      <c r="F747" s="6">
        <f>IF(C747&lt;&gt;0, ((C747-D747)/C747)*100, 0)</f>
        <v>19.86063884943113</v>
      </c>
    </row>
    <row r="748" spans="1:6" x14ac:dyDescent="0.25">
      <c r="A748" s="2" t="s">
        <v>1070</v>
      </c>
      <c r="B748" s="2" t="s">
        <v>1071</v>
      </c>
      <c r="C748" s="6">
        <v>22425</v>
      </c>
      <c r="D748" s="6">
        <v>18675</v>
      </c>
      <c r="E748" s="6">
        <f>C748-D748</f>
        <v>3750</v>
      </c>
      <c r="F748" s="6">
        <f>IF(C748&lt;&gt;0, ((C748-D748)/C748)*100, 0)</f>
        <v>16.722408026755854</v>
      </c>
    </row>
    <row r="749" spans="1:6" x14ac:dyDescent="0.25">
      <c r="A749" s="2" t="s">
        <v>1072</v>
      </c>
      <c r="B749" s="2" t="s">
        <v>1072</v>
      </c>
      <c r="C749" s="6">
        <v>248589</v>
      </c>
      <c r="D749" s="6">
        <v>192211.4</v>
      </c>
      <c r="E749" s="6">
        <f>C749-D749</f>
        <v>56377.600000000006</v>
      </c>
      <c r="F749" s="6">
        <f>IF(C749&lt;&gt;0, ((C749-D749)/C749)*100, 0)</f>
        <v>22.679040504608011</v>
      </c>
    </row>
    <row r="750" spans="1:6" x14ac:dyDescent="0.25">
      <c r="A750" s="2" t="s">
        <v>1073</v>
      </c>
      <c r="B750" s="2" t="s">
        <v>1074</v>
      </c>
      <c r="C750" s="6">
        <v>73680</v>
      </c>
      <c r="D750" s="6">
        <v>54488</v>
      </c>
      <c r="E750" s="6">
        <f>C750-D750</f>
        <v>19192</v>
      </c>
      <c r="F750" s="6">
        <f>IF(C750&lt;&gt;0, ((C750-D750)/C750)*100, 0)</f>
        <v>26.047774158523346</v>
      </c>
    </row>
    <row r="751" spans="1:6" x14ac:dyDescent="0.25">
      <c r="A751" s="2" t="s">
        <v>1075</v>
      </c>
      <c r="B751" s="2" t="s">
        <v>1075</v>
      </c>
      <c r="C751" s="6">
        <v>2322721.58</v>
      </c>
      <c r="D751" s="6">
        <v>1854443.28</v>
      </c>
      <c r="E751" s="6">
        <f>C751-D751</f>
        <v>468278.30000000005</v>
      </c>
      <c r="F751" s="6">
        <f>IF(C751&lt;&gt;0, ((C751-D751)/C751)*100, 0)</f>
        <v>20.160759000654743</v>
      </c>
    </row>
    <row r="752" spans="1:6" x14ac:dyDescent="0.25">
      <c r="A752" s="2" t="s">
        <v>1076</v>
      </c>
      <c r="B752" s="2" t="s">
        <v>1076</v>
      </c>
      <c r="C752" s="6">
        <v>185515</v>
      </c>
      <c r="D752" s="6">
        <v>103176</v>
      </c>
      <c r="E752" s="6">
        <f>C752-D752</f>
        <v>82339</v>
      </c>
      <c r="F752" s="6">
        <f>IF(C752&lt;&gt;0, ((C752-D752)/C752)*100, 0)</f>
        <v>44.384012074495324</v>
      </c>
    </row>
    <row r="753" spans="1:6" x14ac:dyDescent="0.25">
      <c r="A753" s="2" t="s">
        <v>1077</v>
      </c>
      <c r="B753" s="2" t="s">
        <v>1077</v>
      </c>
      <c r="C753" s="6">
        <v>10000</v>
      </c>
      <c r="D753" s="6">
        <v>8273</v>
      </c>
      <c r="E753" s="6">
        <f>C753-D753</f>
        <v>1727</v>
      </c>
      <c r="F753" s="6">
        <f>IF(C753&lt;&gt;0, ((C753-D753)/C753)*100, 0)</f>
        <v>17.27</v>
      </c>
    </row>
    <row r="754" spans="1:6" x14ac:dyDescent="0.25">
      <c r="A754" s="2" t="s">
        <v>1078</v>
      </c>
      <c r="B754" s="2" t="s">
        <v>1079</v>
      </c>
      <c r="C754" s="6">
        <v>5260501</v>
      </c>
      <c r="D754" s="6">
        <v>4271574.28</v>
      </c>
      <c r="E754" s="6">
        <f>C754-D754</f>
        <v>988926.71999999974</v>
      </c>
      <c r="F754" s="6">
        <f>IF(C754&lt;&gt;0, ((C754-D754)/C754)*100, 0)</f>
        <v>18.799097652485948</v>
      </c>
    </row>
    <row r="755" spans="1:6" x14ac:dyDescent="0.25">
      <c r="A755" s="2" t="s">
        <v>1080</v>
      </c>
      <c r="B755" s="2" t="s">
        <v>1080</v>
      </c>
      <c r="C755" s="6">
        <v>16950</v>
      </c>
      <c r="D755" s="6">
        <v>11750</v>
      </c>
      <c r="E755" s="6">
        <f>C755-D755</f>
        <v>5200</v>
      </c>
      <c r="F755" s="6">
        <f>IF(C755&lt;&gt;0, ((C755-D755)/C755)*100, 0)</f>
        <v>30.678466076696164</v>
      </c>
    </row>
    <row r="756" spans="1:6" x14ac:dyDescent="0.25">
      <c r="A756" s="2" t="s">
        <v>1081</v>
      </c>
      <c r="B756" s="2" t="s">
        <v>1081</v>
      </c>
      <c r="E756" s="6">
        <f>C756-D756</f>
        <v>0</v>
      </c>
      <c r="F756" s="6">
        <f>IF(C756&lt;&gt;0, ((C756-D756)/C756)*100, 0)</f>
        <v>0</v>
      </c>
    </row>
    <row r="757" spans="1:6" x14ac:dyDescent="0.25">
      <c r="A757" s="2" t="s">
        <v>1082</v>
      </c>
      <c r="B757" s="2" t="s">
        <v>1083</v>
      </c>
      <c r="C757" s="6">
        <v>13191502.439999999</v>
      </c>
      <c r="D757" s="6">
        <v>9896940.4399999995</v>
      </c>
      <c r="E757" s="6">
        <f>C757-D757</f>
        <v>3294562</v>
      </c>
      <c r="F757" s="6">
        <f>IF(C757&lt;&gt;0, ((C757-D757)/C757)*100, 0)</f>
        <v>24.974880723290834</v>
      </c>
    </row>
    <row r="758" spans="1:6" x14ac:dyDescent="0.25">
      <c r="A758" s="2" t="s">
        <v>1084</v>
      </c>
      <c r="B758" s="2" t="s">
        <v>1084</v>
      </c>
      <c r="C758" s="6">
        <v>2436316</v>
      </c>
      <c r="D758" s="6">
        <v>1893549</v>
      </c>
      <c r="E758" s="6">
        <f>C758-D758</f>
        <v>542767</v>
      </c>
      <c r="F758" s="6">
        <f>IF(C758&lt;&gt;0, ((C758-D758)/C758)*100, 0)</f>
        <v>22.278185588404789</v>
      </c>
    </row>
    <row r="759" spans="1:6" x14ac:dyDescent="0.25">
      <c r="A759" s="2" t="s">
        <v>1085</v>
      </c>
      <c r="B759" s="2" t="s">
        <v>1085</v>
      </c>
      <c r="C759" s="6">
        <v>75000</v>
      </c>
      <c r="D759" s="6">
        <v>61000</v>
      </c>
      <c r="E759" s="6">
        <f>C759-D759</f>
        <v>14000</v>
      </c>
      <c r="F759" s="6">
        <f>IF(C759&lt;&gt;0, ((C759-D759)/C759)*100, 0)</f>
        <v>18.666666666666668</v>
      </c>
    </row>
    <row r="760" spans="1:6" x14ac:dyDescent="0.25">
      <c r="A760" s="2" t="s">
        <v>1086</v>
      </c>
      <c r="B760" s="2" t="s">
        <v>1087</v>
      </c>
      <c r="C760" s="6">
        <v>37094500.380000003</v>
      </c>
      <c r="D760" s="6">
        <v>29707266.02</v>
      </c>
      <c r="E760" s="6">
        <f>C760-D760</f>
        <v>7387234.3600000031</v>
      </c>
      <c r="F760" s="6">
        <f>IF(C760&lt;&gt;0, ((C760-D760)/C760)*100, 0)</f>
        <v>19.914635011455577</v>
      </c>
    </row>
    <row r="761" spans="1:6" x14ac:dyDescent="0.25">
      <c r="A761" s="2" t="s">
        <v>1088</v>
      </c>
      <c r="B761" s="2" t="s">
        <v>1088</v>
      </c>
      <c r="C761" s="6">
        <v>165255</v>
      </c>
      <c r="D761" s="6">
        <v>136022.57999999999</v>
      </c>
      <c r="E761" s="6">
        <f>C761-D761</f>
        <v>29232.420000000013</v>
      </c>
      <c r="F761" s="6">
        <f>IF(C761&lt;&gt;0, ((C761-D761)/C761)*100, 0)</f>
        <v>17.689280203322149</v>
      </c>
    </row>
    <row r="762" spans="1:6" x14ac:dyDescent="0.25">
      <c r="A762" s="2" t="s">
        <v>1089</v>
      </c>
      <c r="B762" s="2" t="s">
        <v>1090</v>
      </c>
      <c r="C762" s="6">
        <v>423478</v>
      </c>
      <c r="D762" s="6">
        <v>324290.26</v>
      </c>
      <c r="E762" s="6">
        <f>C762-D762</f>
        <v>99187.739999999991</v>
      </c>
      <c r="F762" s="6">
        <f>IF(C762&lt;&gt;0, ((C762-D762)/C762)*100, 0)</f>
        <v>23.422170691275578</v>
      </c>
    </row>
    <row r="763" spans="1:6" x14ac:dyDescent="0.25">
      <c r="A763" s="2" t="s">
        <v>1091</v>
      </c>
      <c r="B763" s="2" t="s">
        <v>1091</v>
      </c>
      <c r="C763" s="6">
        <v>59678</v>
      </c>
      <c r="D763" s="6">
        <v>51054.720000000001</v>
      </c>
      <c r="E763" s="6">
        <f>C763-D763</f>
        <v>8623.2799999999988</v>
      </c>
      <c r="F763" s="6">
        <f>IF(C763&lt;&gt;0, ((C763-D763)/C763)*100, 0)</f>
        <v>14.449679949059954</v>
      </c>
    </row>
    <row r="764" spans="1:6" x14ac:dyDescent="0.25">
      <c r="A764" s="2" t="s">
        <v>1092</v>
      </c>
      <c r="B764" s="2" t="s">
        <v>1092</v>
      </c>
      <c r="C764" s="6">
        <v>193618</v>
      </c>
      <c r="D764" s="6">
        <v>155988</v>
      </c>
      <c r="E764" s="6">
        <f>C764-D764</f>
        <v>37630</v>
      </c>
      <c r="F764" s="6">
        <f>IF(C764&lt;&gt;0, ((C764-D764)/C764)*100, 0)</f>
        <v>19.435176481525477</v>
      </c>
    </row>
    <row r="765" spans="1:6" x14ac:dyDescent="0.25">
      <c r="A765" s="2" t="s">
        <v>1093</v>
      </c>
      <c r="B765" s="2" t="s">
        <v>1094</v>
      </c>
      <c r="C765" s="6">
        <v>3208530</v>
      </c>
      <c r="D765" s="6">
        <v>1262553.5</v>
      </c>
      <c r="E765" s="6">
        <f>C765-D765</f>
        <v>1945976.5</v>
      </c>
      <c r="F765" s="6">
        <f>IF(C765&lt;&gt;0, ((C765-D765)/C765)*100, 0)</f>
        <v>60.650095214942667</v>
      </c>
    </row>
    <row r="766" spans="1:6" x14ac:dyDescent="0.25">
      <c r="A766" s="2" t="s">
        <v>1095</v>
      </c>
      <c r="B766" s="2" t="s">
        <v>1096</v>
      </c>
      <c r="C766" s="6">
        <v>102535</v>
      </c>
      <c r="D766" s="6">
        <v>61028.3</v>
      </c>
      <c r="E766" s="6">
        <f>C766-D766</f>
        <v>41506.699999999997</v>
      </c>
      <c r="F766" s="6">
        <f>IF(C766&lt;&gt;0, ((C766-D766)/C766)*100, 0)</f>
        <v>40.480518847222896</v>
      </c>
    </row>
    <row r="767" spans="1:6" x14ac:dyDescent="0.25">
      <c r="A767" s="2" t="s">
        <v>1097</v>
      </c>
      <c r="B767" s="2" t="s">
        <v>1097</v>
      </c>
      <c r="C767" s="6">
        <v>13800</v>
      </c>
      <c r="D767" s="6">
        <v>9897</v>
      </c>
      <c r="E767" s="6">
        <f>C767-D767</f>
        <v>3903</v>
      </c>
      <c r="F767" s="6">
        <f>IF(C767&lt;&gt;0, ((C767-D767)/C767)*100, 0)</f>
        <v>28.282608695652172</v>
      </c>
    </row>
    <row r="768" spans="1:6" x14ac:dyDescent="0.25">
      <c r="A768" s="2" t="s">
        <v>1098</v>
      </c>
      <c r="B768" s="2" t="s">
        <v>1098</v>
      </c>
      <c r="C768" s="6">
        <v>4204315</v>
      </c>
      <c r="D768" s="6">
        <v>3378473.25</v>
      </c>
      <c r="E768" s="6">
        <f>C768-D768</f>
        <v>825841.75</v>
      </c>
      <c r="F768" s="6">
        <f>IF(C768&lt;&gt;0, ((C768-D768)/C768)*100, 0)</f>
        <v>19.642718254935705</v>
      </c>
    </row>
    <row r="769" spans="1:6" x14ac:dyDescent="0.25">
      <c r="A769" s="2" t="s">
        <v>1099</v>
      </c>
      <c r="B769" s="2" t="s">
        <v>1100</v>
      </c>
      <c r="C769" s="6">
        <v>86400</v>
      </c>
      <c r="D769" s="6">
        <v>71393.600000000006</v>
      </c>
      <c r="E769" s="6">
        <f>C769-D769</f>
        <v>15006.399999999994</v>
      </c>
      <c r="F769" s="6">
        <f>IF(C769&lt;&gt;0, ((C769-D769)/C769)*100, 0)</f>
        <v>17.36851851851851</v>
      </c>
    </row>
    <row r="770" spans="1:6" x14ac:dyDescent="0.25">
      <c r="A770" s="2" t="s">
        <v>1101</v>
      </c>
      <c r="B770" s="2" t="s">
        <v>1102</v>
      </c>
      <c r="C770" s="6">
        <v>259257.60000000001</v>
      </c>
      <c r="D770" s="6">
        <v>208610.76</v>
      </c>
      <c r="E770" s="6">
        <f>C770-D770</f>
        <v>50646.84</v>
      </c>
      <c r="F770" s="6">
        <f>IF(C770&lt;&gt;0, ((C770-D770)/C770)*100, 0)</f>
        <v>19.535334740428052</v>
      </c>
    </row>
    <row r="771" spans="1:6" x14ac:dyDescent="0.25">
      <c r="A771" s="2" t="s">
        <v>1103</v>
      </c>
      <c r="B771" s="2" t="s">
        <v>1103</v>
      </c>
      <c r="C771" s="6">
        <v>25210</v>
      </c>
      <c r="D771" s="6">
        <v>20184.3</v>
      </c>
      <c r="E771" s="6">
        <f>C771-D771</f>
        <v>5025.7000000000007</v>
      </c>
      <c r="F771" s="6">
        <f>IF(C771&lt;&gt;0, ((C771-D771)/C771)*100, 0)</f>
        <v>19.935343117810394</v>
      </c>
    </row>
    <row r="772" spans="1:6" x14ac:dyDescent="0.25">
      <c r="A772" s="2" t="s">
        <v>1104</v>
      </c>
      <c r="B772" s="2" t="s">
        <v>1105</v>
      </c>
      <c r="C772" s="6">
        <v>31295</v>
      </c>
      <c r="D772" s="6">
        <v>23398.57</v>
      </c>
      <c r="E772" s="6">
        <f>C772-D772</f>
        <v>7896.43</v>
      </c>
      <c r="F772" s="6">
        <f>IF(C772&lt;&gt;0, ((C772-D772)/C772)*100, 0)</f>
        <v>25.232241572136125</v>
      </c>
    </row>
    <row r="773" spans="1:6" x14ac:dyDescent="0.25">
      <c r="A773" s="2" t="s">
        <v>1106</v>
      </c>
      <c r="B773" s="2" t="s">
        <v>1106</v>
      </c>
      <c r="C773" s="6">
        <v>5022754.24</v>
      </c>
      <c r="D773" s="6">
        <v>3998466.86</v>
      </c>
      <c r="E773" s="6">
        <f>C773-D773</f>
        <v>1024287.3800000004</v>
      </c>
      <c r="F773" s="6">
        <f>IF(C773&lt;&gt;0, ((C773-D773)/C773)*100, 0)</f>
        <v>20.392942418779388</v>
      </c>
    </row>
    <row r="774" spans="1:6" x14ac:dyDescent="0.25">
      <c r="A774" s="2" t="s">
        <v>1107</v>
      </c>
      <c r="B774" s="2" t="s">
        <v>1106</v>
      </c>
      <c r="C774" s="6">
        <v>14365</v>
      </c>
      <c r="D774" s="6">
        <v>11660.67</v>
      </c>
      <c r="E774" s="6">
        <f>C774-D774</f>
        <v>2704.33</v>
      </c>
      <c r="F774" s="6">
        <f>IF(C774&lt;&gt;0, ((C774-D774)/C774)*100, 0)</f>
        <v>18.825826662025758</v>
      </c>
    </row>
    <row r="775" spans="1:6" x14ac:dyDescent="0.25">
      <c r="A775" s="2" t="s">
        <v>1108</v>
      </c>
      <c r="B775" s="2" t="s">
        <v>1108</v>
      </c>
      <c r="C775" s="6">
        <v>236250</v>
      </c>
      <c r="D775" s="6">
        <v>225000</v>
      </c>
      <c r="E775" s="6">
        <f>C775-D775</f>
        <v>11250</v>
      </c>
      <c r="F775" s="6">
        <f>IF(C775&lt;&gt;0, ((C775-D775)/C775)*100, 0)</f>
        <v>4.7619047619047619</v>
      </c>
    </row>
    <row r="776" spans="1:6" x14ac:dyDescent="0.25">
      <c r="A776" s="2" t="s">
        <v>1109</v>
      </c>
      <c r="B776" s="2" t="s">
        <v>1110</v>
      </c>
      <c r="C776" s="6">
        <v>774185.06</v>
      </c>
      <c r="D776" s="6">
        <v>637518.89</v>
      </c>
      <c r="E776" s="6">
        <f>C776-D776</f>
        <v>136666.17000000004</v>
      </c>
      <c r="F776" s="6">
        <f>IF(C776&lt;&gt;0, ((C776-D776)/C776)*100, 0)</f>
        <v>17.652907174416416</v>
      </c>
    </row>
    <row r="777" spans="1:6" x14ac:dyDescent="0.25">
      <c r="A777" s="2" t="s">
        <v>1111</v>
      </c>
      <c r="B777" s="2" t="s">
        <v>1111</v>
      </c>
      <c r="C777" s="6">
        <v>19200</v>
      </c>
      <c r="D777" s="6">
        <v>15908.4</v>
      </c>
      <c r="E777" s="6">
        <f>C777-D777</f>
        <v>3291.6000000000004</v>
      </c>
      <c r="F777" s="6">
        <f>IF(C777&lt;&gt;0, ((C777-D777)/C777)*100, 0)</f>
        <v>17.143750000000001</v>
      </c>
    </row>
    <row r="778" spans="1:6" x14ac:dyDescent="0.25">
      <c r="A778" s="2" t="s">
        <v>1112</v>
      </c>
      <c r="B778" s="2" t="s">
        <v>1112</v>
      </c>
      <c r="C778" s="6">
        <v>53853</v>
      </c>
      <c r="E778" s="6">
        <f>C778-D778</f>
        <v>53853</v>
      </c>
      <c r="F778" s="6">
        <f>IF(C778&lt;&gt;0, ((C778-D778)/C778)*100, 0)</f>
        <v>100</v>
      </c>
    </row>
    <row r="779" spans="1:6" x14ac:dyDescent="0.25">
      <c r="A779" s="2" t="s">
        <v>1113</v>
      </c>
      <c r="B779" s="2" t="s">
        <v>1114</v>
      </c>
      <c r="C779" s="6">
        <v>50467</v>
      </c>
      <c r="D779" s="6">
        <v>42062.1</v>
      </c>
      <c r="E779" s="6">
        <f>C779-D779</f>
        <v>8404.9000000000015</v>
      </c>
      <c r="F779" s="6">
        <f>IF(C779&lt;&gt;0, ((C779-D779)/C779)*100, 0)</f>
        <v>16.654249311431236</v>
      </c>
    </row>
    <row r="780" spans="1:6" x14ac:dyDescent="0.25">
      <c r="A780" s="2" t="s">
        <v>1115</v>
      </c>
      <c r="B780" s="2" t="s">
        <v>1115</v>
      </c>
      <c r="C780" s="6">
        <v>268687</v>
      </c>
      <c r="D780" s="6">
        <v>186730</v>
      </c>
      <c r="E780" s="6">
        <f>C780-D780</f>
        <v>81957</v>
      </c>
      <c r="F780" s="6">
        <f>IF(C780&lt;&gt;0, ((C780-D780)/C780)*100, 0)</f>
        <v>30.502778325709841</v>
      </c>
    </row>
    <row r="781" spans="1:6" x14ac:dyDescent="0.25">
      <c r="A781" s="2" t="s">
        <v>1116</v>
      </c>
      <c r="B781" s="2" t="s">
        <v>1117</v>
      </c>
      <c r="C781" s="6">
        <v>7250</v>
      </c>
      <c r="D781" s="6">
        <v>6092.24</v>
      </c>
      <c r="E781" s="6">
        <f>C781-D781</f>
        <v>1157.7600000000002</v>
      </c>
      <c r="F781" s="6">
        <f>IF(C781&lt;&gt;0, ((C781-D781)/C781)*100, 0)</f>
        <v>15.969103448275865</v>
      </c>
    </row>
    <row r="782" spans="1:6" x14ac:dyDescent="0.25">
      <c r="A782" s="2" t="s">
        <v>1118</v>
      </c>
      <c r="B782" s="2" t="s">
        <v>1118</v>
      </c>
      <c r="C782" s="6">
        <v>25000</v>
      </c>
      <c r="D782" s="6">
        <v>22500</v>
      </c>
      <c r="E782" s="6">
        <f>C782-D782</f>
        <v>2500</v>
      </c>
      <c r="F782" s="6">
        <f>IF(C782&lt;&gt;0, ((C782-D782)/C782)*100, 0)</f>
        <v>10</v>
      </c>
    </row>
    <row r="783" spans="1:6" x14ac:dyDescent="0.25">
      <c r="A783" s="2" t="s">
        <v>1119</v>
      </c>
      <c r="B783" s="2" t="s">
        <v>1120</v>
      </c>
      <c r="C783" s="6">
        <v>12177831.15</v>
      </c>
      <c r="D783" s="6">
        <v>9793587.2599999998</v>
      </c>
      <c r="E783" s="6">
        <f>C783-D783</f>
        <v>2384243.8900000006</v>
      </c>
      <c r="F783" s="6">
        <f>IF(C783&lt;&gt;0, ((C783-D783)/C783)*100, 0)</f>
        <v>19.578559274078952</v>
      </c>
    </row>
    <row r="784" spans="1:6" x14ac:dyDescent="0.25">
      <c r="A784" s="2" t="s">
        <v>1121</v>
      </c>
      <c r="B784" s="2" t="s">
        <v>1122</v>
      </c>
      <c r="C784" s="6">
        <v>5400</v>
      </c>
      <c r="D784" s="6">
        <v>4500</v>
      </c>
      <c r="E784" s="6">
        <f>C784-D784</f>
        <v>900</v>
      </c>
      <c r="F784" s="6">
        <f>IF(C784&lt;&gt;0, ((C784-D784)/C784)*100, 0)</f>
        <v>16.666666666666664</v>
      </c>
    </row>
    <row r="785" spans="1:6" x14ac:dyDescent="0.25">
      <c r="A785" s="2" t="s">
        <v>1123</v>
      </c>
      <c r="B785" s="2" t="s">
        <v>1123</v>
      </c>
      <c r="C785" s="6">
        <v>2000000</v>
      </c>
      <c r="D785" s="6">
        <v>2040500</v>
      </c>
      <c r="E785" s="6">
        <f>C785-D785</f>
        <v>-40500</v>
      </c>
      <c r="F785" s="6">
        <f>IF(C785&lt;&gt;0, ((C785-D785)/C785)*100, 0)</f>
        <v>-2.0249999999999999</v>
      </c>
    </row>
    <row r="786" spans="1:6" x14ac:dyDescent="0.25">
      <c r="A786" s="2" t="s">
        <v>1124</v>
      </c>
      <c r="B786" s="2" t="s">
        <v>1124</v>
      </c>
      <c r="C786" s="6">
        <v>146300</v>
      </c>
      <c r="D786" s="6">
        <v>133000</v>
      </c>
      <c r="E786" s="6">
        <f>C786-D786</f>
        <v>13300</v>
      </c>
      <c r="F786" s="6">
        <f>IF(C786&lt;&gt;0, ((C786-D786)/C786)*100, 0)</f>
        <v>9.0909090909090917</v>
      </c>
    </row>
    <row r="787" spans="1:6" x14ac:dyDescent="0.25">
      <c r="A787" s="2" t="s">
        <v>1125</v>
      </c>
      <c r="B787" s="2" t="s">
        <v>1126</v>
      </c>
      <c r="C787" s="6">
        <v>49288180</v>
      </c>
      <c r="D787" s="6">
        <v>40297221.960000001</v>
      </c>
      <c r="E787" s="6">
        <f>C787-D787</f>
        <v>8990958.0399999991</v>
      </c>
      <c r="F787" s="6">
        <f>IF(C787&lt;&gt;0, ((C787-D787)/C787)*100, 0)</f>
        <v>18.241610950130436</v>
      </c>
    </row>
    <row r="788" spans="1:6" x14ac:dyDescent="0.25">
      <c r="A788" s="2" t="s">
        <v>1127</v>
      </c>
      <c r="B788" s="2" t="s">
        <v>1128</v>
      </c>
      <c r="C788" s="6">
        <v>643925.19999999995</v>
      </c>
      <c r="D788" s="6">
        <v>539742.81999999995</v>
      </c>
      <c r="E788" s="6">
        <f>C788-D788</f>
        <v>104182.38</v>
      </c>
      <c r="F788" s="6">
        <f>IF(C788&lt;&gt;0, ((C788-D788)/C788)*100, 0)</f>
        <v>16.179267405593073</v>
      </c>
    </row>
    <row r="789" spans="1:6" x14ac:dyDescent="0.25">
      <c r="A789" s="2" t="s">
        <v>1129</v>
      </c>
      <c r="B789" s="2" t="s">
        <v>1130</v>
      </c>
      <c r="C789" s="6">
        <v>4236168</v>
      </c>
      <c r="D789" s="6">
        <v>3170065.35</v>
      </c>
      <c r="E789" s="6">
        <f>C789-D789</f>
        <v>1066102.6499999999</v>
      </c>
      <c r="F789" s="6">
        <f>IF(C789&lt;&gt;0, ((C789-D789)/C789)*100, 0)</f>
        <v>25.166675400975596</v>
      </c>
    </row>
    <row r="790" spans="1:6" x14ac:dyDescent="0.25">
      <c r="A790" s="2" t="s">
        <v>1131</v>
      </c>
      <c r="B790" s="2" t="s">
        <v>1132</v>
      </c>
      <c r="C790" s="6">
        <v>14072</v>
      </c>
      <c r="D790" s="6">
        <v>12336.3</v>
      </c>
      <c r="E790" s="6">
        <f>C790-D790</f>
        <v>1735.7000000000007</v>
      </c>
      <c r="F790" s="6">
        <f>IF(C790&lt;&gt;0, ((C790-D790)/C790)*100, 0)</f>
        <v>12.334422967595229</v>
      </c>
    </row>
    <row r="791" spans="1:6" x14ac:dyDescent="0.25">
      <c r="A791" s="2" t="s">
        <v>1133</v>
      </c>
      <c r="B791" s="2" t="s">
        <v>1134</v>
      </c>
      <c r="C791" s="6">
        <v>140280</v>
      </c>
      <c r="D791" s="6">
        <v>98608.97</v>
      </c>
      <c r="E791" s="6">
        <f>C791-D791</f>
        <v>41671.03</v>
      </c>
      <c r="F791" s="6">
        <f>IF(C791&lt;&gt;0, ((C791-D791)/C791)*100, 0)</f>
        <v>29.705610208155122</v>
      </c>
    </row>
    <row r="792" spans="1:6" x14ac:dyDescent="0.25">
      <c r="A792" s="2" t="s">
        <v>1135</v>
      </c>
      <c r="B792" s="2" t="s">
        <v>1135</v>
      </c>
      <c r="C792" s="6">
        <v>43360749.880000003</v>
      </c>
      <c r="D792" s="6">
        <v>28404125.699999999</v>
      </c>
      <c r="E792" s="6">
        <f>C792-D792</f>
        <v>14956624.180000003</v>
      </c>
      <c r="F792" s="6">
        <f>IF(C792&lt;&gt;0, ((C792-D792)/C792)*100, 0)</f>
        <v>34.493462916098451</v>
      </c>
    </row>
    <row r="793" spans="1:6" x14ac:dyDescent="0.25">
      <c r="A793" s="2" t="s">
        <v>1136</v>
      </c>
      <c r="B793" s="2" t="s">
        <v>1136</v>
      </c>
      <c r="C793" s="6">
        <v>14697005</v>
      </c>
      <c r="D793" s="6">
        <v>12300180.029999999</v>
      </c>
      <c r="E793" s="6">
        <f>C793-D793</f>
        <v>2396824.9700000007</v>
      </c>
      <c r="F793" s="6">
        <f>IF(C793&lt;&gt;0, ((C793-D793)/C793)*100, 0)</f>
        <v>16.308254436873369</v>
      </c>
    </row>
    <row r="794" spans="1:6" x14ac:dyDescent="0.25">
      <c r="A794" s="2" t="s">
        <v>1137</v>
      </c>
      <c r="B794" s="2" t="s">
        <v>1137</v>
      </c>
      <c r="C794" s="6">
        <v>3585252</v>
      </c>
      <c r="D794" s="6">
        <v>2787400.57</v>
      </c>
      <c r="E794" s="6">
        <f>C794-D794</f>
        <v>797851.43000000017</v>
      </c>
      <c r="F794" s="6">
        <f>IF(C794&lt;&gt;0, ((C794-D794)/C794)*100, 0)</f>
        <v>22.253705736723674</v>
      </c>
    </row>
    <row r="795" spans="1:6" x14ac:dyDescent="0.25">
      <c r="A795" s="2" t="s">
        <v>1138</v>
      </c>
      <c r="B795" s="2" t="s">
        <v>1138</v>
      </c>
      <c r="C795" s="6">
        <v>1708797</v>
      </c>
      <c r="D795" s="6">
        <v>1447997.7</v>
      </c>
      <c r="E795" s="6">
        <f>C795-D795</f>
        <v>260799.30000000005</v>
      </c>
      <c r="F795" s="6">
        <f>IF(C795&lt;&gt;0, ((C795-D795)/C795)*100, 0)</f>
        <v>15.262158114743885</v>
      </c>
    </row>
    <row r="796" spans="1:6" x14ac:dyDescent="0.25">
      <c r="A796" s="2" t="s">
        <v>1139</v>
      </c>
      <c r="B796" s="2" t="s">
        <v>1139</v>
      </c>
      <c r="C796" s="6">
        <v>365710</v>
      </c>
      <c r="D796" s="6">
        <v>295827.59999999998</v>
      </c>
      <c r="E796" s="6">
        <f>C796-D796</f>
        <v>69882.400000000023</v>
      </c>
      <c r="F796" s="6">
        <f>IF(C796&lt;&gt;0, ((C796-D796)/C796)*100, 0)</f>
        <v>19.108692679992352</v>
      </c>
    </row>
    <row r="797" spans="1:6" x14ac:dyDescent="0.25">
      <c r="A797" s="2" t="s">
        <v>1140</v>
      </c>
      <c r="B797" s="2" t="s">
        <v>1141</v>
      </c>
      <c r="C797" s="6">
        <v>53960</v>
      </c>
      <c r="D797" s="6">
        <v>44400</v>
      </c>
      <c r="E797" s="6">
        <f>C797-D797</f>
        <v>9560</v>
      </c>
      <c r="F797" s="6">
        <f>IF(C797&lt;&gt;0, ((C797-D797)/C797)*100, 0)</f>
        <v>17.716827279466273</v>
      </c>
    </row>
    <row r="798" spans="1:6" x14ac:dyDescent="0.25">
      <c r="A798" s="2" t="s">
        <v>1142</v>
      </c>
      <c r="B798" s="2" t="s">
        <v>1142</v>
      </c>
      <c r="C798" s="6">
        <v>-1254</v>
      </c>
      <c r="E798" s="6">
        <f>C798-D798</f>
        <v>-1254</v>
      </c>
      <c r="F798" s="6">
        <f>IF(C798&lt;&gt;0, ((C798-D798)/C798)*100, 0)</f>
        <v>100</v>
      </c>
    </row>
    <row r="799" spans="1:6" x14ac:dyDescent="0.25">
      <c r="A799" s="2" t="s">
        <v>1143</v>
      </c>
      <c r="B799" s="2" t="s">
        <v>1143</v>
      </c>
      <c r="C799" s="6">
        <v>-50</v>
      </c>
      <c r="E799" s="6">
        <f>C799-D799</f>
        <v>-50</v>
      </c>
      <c r="F799" s="6">
        <f>IF(C799&lt;&gt;0, ((C799-D799)/C799)*100, 0)</f>
        <v>100</v>
      </c>
    </row>
    <row r="800" spans="1:6" x14ac:dyDescent="0.25">
      <c r="A800" s="2" t="s">
        <v>1144</v>
      </c>
      <c r="B800" s="2" t="s">
        <v>1144</v>
      </c>
      <c r="C800" s="6">
        <v>34089792.700000003</v>
      </c>
      <c r="D800" s="6">
        <v>27672301.890000001</v>
      </c>
      <c r="E800" s="6">
        <f>C800-D800</f>
        <v>6417490.8100000024</v>
      </c>
      <c r="F800" s="6">
        <f>IF(C800&lt;&gt;0, ((C800-D800)/C800)*100, 0)</f>
        <v>18.82525618878287</v>
      </c>
    </row>
    <row r="801" spans="1:6" x14ac:dyDescent="0.25">
      <c r="A801" s="2" t="s">
        <v>1145</v>
      </c>
      <c r="B801" s="2" t="s">
        <v>1145</v>
      </c>
      <c r="C801" s="6">
        <v>45842241.649999999</v>
      </c>
      <c r="D801" s="6">
        <v>36608009.729999997</v>
      </c>
      <c r="E801" s="6">
        <f>C801-D801</f>
        <v>9234231.9200000018</v>
      </c>
      <c r="F801" s="6">
        <f>IF(C801&lt;&gt;0, ((C801-D801)/C801)*100, 0)</f>
        <v>20.14349994160899</v>
      </c>
    </row>
    <row r="802" spans="1:6" x14ac:dyDescent="0.25">
      <c r="A802" s="2" t="s">
        <v>1146</v>
      </c>
      <c r="B802" s="2" t="s">
        <v>1146</v>
      </c>
      <c r="C802" s="6">
        <v>12000</v>
      </c>
      <c r="D802" s="6">
        <v>9927.6</v>
      </c>
      <c r="E802" s="6">
        <f>C802-D802</f>
        <v>2072.3999999999996</v>
      </c>
      <c r="F802" s="6">
        <f>IF(C802&lt;&gt;0, ((C802-D802)/C802)*100, 0)</f>
        <v>17.269999999999996</v>
      </c>
    </row>
    <row r="803" spans="1:6" x14ac:dyDescent="0.25">
      <c r="A803" s="2" t="s">
        <v>1147</v>
      </c>
      <c r="B803" s="2" t="s">
        <v>1148</v>
      </c>
      <c r="C803" s="6">
        <v>118400</v>
      </c>
      <c r="E803" s="6">
        <f>C803-D803</f>
        <v>118400</v>
      </c>
      <c r="F803" s="6">
        <f>IF(C803&lt;&gt;0, ((C803-D803)/C803)*100, 0)</f>
        <v>100</v>
      </c>
    </row>
    <row r="804" spans="1:6" x14ac:dyDescent="0.25">
      <c r="A804" s="2" t="s">
        <v>1149</v>
      </c>
      <c r="B804" s="2" t="s">
        <v>1150</v>
      </c>
      <c r="C804" s="6">
        <v>163322</v>
      </c>
      <c r="D804" s="6">
        <v>143709</v>
      </c>
      <c r="E804" s="6">
        <f>C804-D804</f>
        <v>19613</v>
      </c>
      <c r="F804" s="6">
        <f>IF(C804&lt;&gt;0, ((C804-D804)/C804)*100, 0)</f>
        <v>12.008792446822842</v>
      </c>
    </row>
    <row r="805" spans="1:6" x14ac:dyDescent="0.25">
      <c r="A805" s="2" t="s">
        <v>1151</v>
      </c>
      <c r="B805" s="2" t="s">
        <v>1151</v>
      </c>
      <c r="C805" s="6">
        <v>237098.5</v>
      </c>
      <c r="D805" s="6">
        <v>183639.8</v>
      </c>
      <c r="E805" s="6">
        <f>C805-D805</f>
        <v>53458.700000000012</v>
      </c>
      <c r="F805" s="6">
        <f>IF(C805&lt;&gt;0, ((C805-D805)/C805)*100, 0)</f>
        <v>22.547042684791347</v>
      </c>
    </row>
    <row r="806" spans="1:6" x14ac:dyDescent="0.25">
      <c r="A806" s="2" t="s">
        <v>1152</v>
      </c>
      <c r="B806" s="2" t="s">
        <v>1152</v>
      </c>
      <c r="C806" s="6">
        <v>134015</v>
      </c>
      <c r="D806" s="6">
        <v>113181.13</v>
      </c>
      <c r="E806" s="6">
        <f>C806-D806</f>
        <v>20833.869999999995</v>
      </c>
      <c r="F806" s="6">
        <f>IF(C806&lt;&gt;0, ((C806-D806)/C806)*100, 0)</f>
        <v>15.545923963735401</v>
      </c>
    </row>
    <row r="807" spans="1:6" x14ac:dyDescent="0.25">
      <c r="A807" s="2" t="s">
        <v>1153</v>
      </c>
      <c r="B807" s="2" t="s">
        <v>1154</v>
      </c>
      <c r="C807" s="6">
        <v>35210220.079999998</v>
      </c>
      <c r="D807" s="6">
        <v>29031169.57</v>
      </c>
      <c r="E807" s="6">
        <f>C807-D807</f>
        <v>6179050.5099999979</v>
      </c>
      <c r="F807" s="6">
        <f>IF(C807&lt;&gt;0, ((C807-D807)/C807)*100, 0)</f>
        <v>17.549025527136092</v>
      </c>
    </row>
    <row r="808" spans="1:6" x14ac:dyDescent="0.25">
      <c r="A808" s="2" t="s">
        <v>1155</v>
      </c>
      <c r="B808" s="2" t="s">
        <v>1155</v>
      </c>
      <c r="C808" s="6">
        <v>1862573</v>
      </c>
      <c r="D808" s="6">
        <v>1292435.79</v>
      </c>
      <c r="E808" s="6">
        <f>C808-D808</f>
        <v>570137.21</v>
      </c>
      <c r="F808" s="6">
        <f>IF(C808&lt;&gt;0, ((C808-D808)/C808)*100, 0)</f>
        <v>30.610194070245832</v>
      </c>
    </row>
    <row r="809" spans="1:6" x14ac:dyDescent="0.25">
      <c r="A809" s="2" t="s">
        <v>1156</v>
      </c>
      <c r="B809" s="2" t="s">
        <v>1156</v>
      </c>
      <c r="C809" s="6">
        <v>170045</v>
      </c>
      <c r="D809" s="6">
        <v>126627.08</v>
      </c>
      <c r="E809" s="6">
        <f>C809-D809</f>
        <v>43417.919999999998</v>
      </c>
      <c r="F809" s="6">
        <f>IF(C809&lt;&gt;0, ((C809-D809)/C809)*100, 0)</f>
        <v>25.533194154488513</v>
      </c>
    </row>
    <row r="810" spans="1:6" x14ac:dyDescent="0.25">
      <c r="A810" s="2" t="s">
        <v>1157</v>
      </c>
      <c r="B810" s="2" t="s">
        <v>1158</v>
      </c>
      <c r="C810" s="6">
        <v>970119</v>
      </c>
      <c r="D810" s="6">
        <v>679124.5</v>
      </c>
      <c r="E810" s="6">
        <f>C810-D810</f>
        <v>290994.5</v>
      </c>
      <c r="F810" s="6">
        <f>IF(C810&lt;&gt;0, ((C810-D810)/C810)*100, 0)</f>
        <v>29.995753098331235</v>
      </c>
    </row>
    <row r="811" spans="1:6" x14ac:dyDescent="0.25">
      <c r="A811" s="2" t="s">
        <v>1159</v>
      </c>
      <c r="B811" s="2" t="s">
        <v>1159</v>
      </c>
      <c r="C811" s="6">
        <v>4288</v>
      </c>
      <c r="D811" s="6">
        <v>3430</v>
      </c>
      <c r="E811" s="6">
        <f>C811-D811</f>
        <v>858</v>
      </c>
      <c r="F811" s="6">
        <f>IF(C811&lt;&gt;0, ((C811-D811)/C811)*100, 0)</f>
        <v>20.009328358208954</v>
      </c>
    </row>
    <row r="812" spans="1:6" x14ac:dyDescent="0.25">
      <c r="A812" s="2" t="s">
        <v>1160</v>
      </c>
      <c r="B812" s="2" t="s">
        <v>1161</v>
      </c>
      <c r="C812" s="6">
        <v>7539</v>
      </c>
      <c r="D812" s="6">
        <v>6460.1</v>
      </c>
      <c r="E812" s="6">
        <f>C812-D812</f>
        <v>1078.8999999999996</v>
      </c>
      <c r="F812" s="6">
        <f>IF(C812&lt;&gt;0, ((C812-D812)/C812)*100, 0)</f>
        <v>14.31091656718397</v>
      </c>
    </row>
    <row r="813" spans="1:6" x14ac:dyDescent="0.25">
      <c r="A813" s="2" t="s">
        <v>1162</v>
      </c>
      <c r="B813" s="2" t="s">
        <v>1163</v>
      </c>
      <c r="C813" s="6">
        <v>2391180</v>
      </c>
      <c r="D813" s="6">
        <v>1968161.65</v>
      </c>
      <c r="E813" s="6">
        <f>C813-D813</f>
        <v>423018.35000000009</v>
      </c>
      <c r="F813" s="6">
        <f>IF(C813&lt;&gt;0, ((C813-D813)/C813)*100, 0)</f>
        <v>17.690778193193324</v>
      </c>
    </row>
    <row r="814" spans="1:6" x14ac:dyDescent="0.25">
      <c r="A814" s="2" t="s">
        <v>1164</v>
      </c>
      <c r="B814" s="2" t="s">
        <v>1164</v>
      </c>
      <c r="C814" s="6">
        <v>24730</v>
      </c>
      <c r="D814" s="6">
        <v>19150</v>
      </c>
      <c r="E814" s="6">
        <f>C814-D814</f>
        <v>5580</v>
      </c>
      <c r="F814" s="6">
        <f>IF(C814&lt;&gt;0, ((C814-D814)/C814)*100, 0)</f>
        <v>22.563687828548321</v>
      </c>
    </row>
    <row r="815" spans="1:6" x14ac:dyDescent="0.25">
      <c r="A815" s="2" t="s">
        <v>1165</v>
      </c>
      <c r="B815" s="2" t="s">
        <v>1166</v>
      </c>
      <c r="C815" s="6">
        <v>86750</v>
      </c>
      <c r="D815" s="6">
        <v>80790</v>
      </c>
      <c r="E815" s="6">
        <f>C815-D815</f>
        <v>5960</v>
      </c>
      <c r="F815" s="6">
        <f>IF(C815&lt;&gt;0, ((C815-D815)/C815)*100, 0)</f>
        <v>6.8703170028818441</v>
      </c>
    </row>
    <row r="816" spans="1:6" x14ac:dyDescent="0.25">
      <c r="A816" s="2" t="s">
        <v>1167</v>
      </c>
      <c r="B816" s="2" t="s">
        <v>1167</v>
      </c>
      <c r="C816" s="6">
        <v>20975</v>
      </c>
      <c r="D816" s="6">
        <v>19973</v>
      </c>
      <c r="E816" s="6">
        <f>C816-D816</f>
        <v>1002</v>
      </c>
      <c r="F816" s="6">
        <f>IF(C816&lt;&gt;0, ((C816-D816)/C816)*100, 0)</f>
        <v>4.777115613825984</v>
      </c>
    </row>
    <row r="817" spans="1:6" x14ac:dyDescent="0.25">
      <c r="A817" s="2" t="s">
        <v>1168</v>
      </c>
      <c r="B817" s="2" t="s">
        <v>1168</v>
      </c>
      <c r="C817" s="6">
        <v>355000</v>
      </c>
      <c r="D817" s="6">
        <v>511263.9</v>
      </c>
      <c r="E817" s="6">
        <f>C817-D817</f>
        <v>-156263.90000000002</v>
      </c>
      <c r="F817" s="6">
        <f>IF(C817&lt;&gt;0, ((C817-D817)/C817)*100, 0)</f>
        <v>-44.018000000000008</v>
      </c>
    </row>
    <row r="818" spans="1:6" x14ac:dyDescent="0.25">
      <c r="A818" s="2" t="s">
        <v>1169</v>
      </c>
      <c r="B818" s="2" t="s">
        <v>1170</v>
      </c>
      <c r="C818" s="6">
        <v>11330</v>
      </c>
      <c r="D818" s="6">
        <v>9939</v>
      </c>
      <c r="E818" s="6">
        <f>C818-D818</f>
        <v>1391</v>
      </c>
      <c r="F818" s="6">
        <f>IF(C818&lt;&gt;0, ((C818-D818)/C818)*100, 0)</f>
        <v>12.277140335392762</v>
      </c>
    </row>
    <row r="819" spans="1:6" x14ac:dyDescent="0.25">
      <c r="A819" s="2" t="s">
        <v>1171</v>
      </c>
      <c r="B819" s="2" t="s">
        <v>1172</v>
      </c>
      <c r="C819" s="6">
        <v>1952767.58</v>
      </c>
      <c r="D819" s="6">
        <v>1499827.96</v>
      </c>
      <c r="E819" s="6">
        <f>C819-D819</f>
        <v>452939.62000000011</v>
      </c>
      <c r="F819" s="6">
        <f>IF(C819&lt;&gt;0, ((C819-D819)/C819)*100, 0)</f>
        <v>23.194753161561607</v>
      </c>
    </row>
    <row r="820" spans="1:6" x14ac:dyDescent="0.25">
      <c r="A820" s="2" t="s">
        <v>1173</v>
      </c>
      <c r="B820" s="2" t="s">
        <v>1174</v>
      </c>
      <c r="C820" s="6">
        <v>578195</v>
      </c>
      <c r="D820" s="6">
        <v>347020</v>
      </c>
      <c r="E820" s="6">
        <f>C820-D820</f>
        <v>231175</v>
      </c>
      <c r="F820" s="6">
        <f>IF(C820&lt;&gt;0, ((C820-D820)/C820)*100, 0)</f>
        <v>39.982185940729337</v>
      </c>
    </row>
    <row r="821" spans="1:6" x14ac:dyDescent="0.25">
      <c r="A821" s="2" t="s">
        <v>1175</v>
      </c>
      <c r="B821" s="2" t="s">
        <v>1175</v>
      </c>
      <c r="C821" s="6">
        <v>71757</v>
      </c>
      <c r="D821" s="6">
        <v>61370.92</v>
      </c>
      <c r="E821" s="6">
        <f>C821-D821</f>
        <v>10386.080000000002</v>
      </c>
      <c r="F821" s="6">
        <f>IF(C821&lt;&gt;0, ((C821-D821)/C821)*100, 0)</f>
        <v>14.473960728570038</v>
      </c>
    </row>
    <row r="822" spans="1:6" x14ac:dyDescent="0.25">
      <c r="A822" s="2" t="s">
        <v>1176</v>
      </c>
      <c r="B822" s="2" t="s">
        <v>1177</v>
      </c>
      <c r="C822" s="6">
        <v>950000</v>
      </c>
      <c r="D822" s="6">
        <v>1020250</v>
      </c>
      <c r="E822" s="6">
        <f>C822-D822</f>
        <v>-70250</v>
      </c>
      <c r="F822" s="6">
        <f>IF(C822&lt;&gt;0, ((C822-D822)/C822)*100, 0)</f>
        <v>-7.3947368421052637</v>
      </c>
    </row>
    <row r="823" spans="1:6" x14ac:dyDescent="0.25">
      <c r="A823" s="2" t="s">
        <v>1178</v>
      </c>
      <c r="B823" s="2" t="s">
        <v>1179</v>
      </c>
      <c r="C823" s="6">
        <v>2010000</v>
      </c>
      <c r="D823" s="6">
        <v>1900000</v>
      </c>
      <c r="E823" s="6">
        <f>C823-D823</f>
        <v>110000</v>
      </c>
      <c r="F823" s="6">
        <f>IF(C823&lt;&gt;0, ((C823-D823)/C823)*100, 0)</f>
        <v>5.4726368159203984</v>
      </c>
    </row>
    <row r="824" spans="1:6" x14ac:dyDescent="0.25">
      <c r="A824" s="2" t="s">
        <v>1180</v>
      </c>
      <c r="B824" s="2" t="s">
        <v>1180</v>
      </c>
      <c r="C824" s="6">
        <v>2429884</v>
      </c>
      <c r="D824" s="6">
        <v>2102576.84</v>
      </c>
      <c r="E824" s="6">
        <f>C824-D824</f>
        <v>327307.16000000015</v>
      </c>
      <c r="F824" s="6">
        <f>IF(C824&lt;&gt;0, ((C824-D824)/C824)*100, 0)</f>
        <v>13.470073468527721</v>
      </c>
    </row>
    <row r="825" spans="1:6" x14ac:dyDescent="0.25">
      <c r="A825" s="2" t="s">
        <v>1181</v>
      </c>
      <c r="B825" s="2" t="s">
        <v>1182</v>
      </c>
      <c r="C825" s="6">
        <v>9000</v>
      </c>
      <c r="D825" s="6">
        <v>8184</v>
      </c>
      <c r="E825" s="6">
        <f>C825-D825</f>
        <v>816</v>
      </c>
      <c r="F825" s="6">
        <f>IF(C825&lt;&gt;0, ((C825-D825)/C825)*100, 0)</f>
        <v>9.0666666666666664</v>
      </c>
    </row>
    <row r="826" spans="1:6" x14ac:dyDescent="0.25">
      <c r="A826" s="2" t="s">
        <v>1183</v>
      </c>
      <c r="B826" s="2" t="s">
        <v>1184</v>
      </c>
      <c r="C826" s="6">
        <v>130525</v>
      </c>
      <c r="E826" s="6">
        <f>C826-D826</f>
        <v>130525</v>
      </c>
      <c r="F826" s="6">
        <f>IF(C826&lt;&gt;0, ((C826-D826)/C826)*100, 0)</f>
        <v>100</v>
      </c>
    </row>
    <row r="827" spans="1:6" x14ac:dyDescent="0.25">
      <c r="A827" s="2" t="s">
        <v>1185</v>
      </c>
      <c r="B827" s="2" t="s">
        <v>1185</v>
      </c>
      <c r="C827" s="6">
        <v>382310</v>
      </c>
      <c r="E827" s="6">
        <f>C827-D827</f>
        <v>382310</v>
      </c>
      <c r="F827" s="6">
        <f>IF(C827&lt;&gt;0, ((C827-D827)/C827)*100, 0)</f>
        <v>100</v>
      </c>
    </row>
    <row r="828" spans="1:6" x14ac:dyDescent="0.25">
      <c r="A828" s="2" t="s">
        <v>1186</v>
      </c>
      <c r="B828" s="2" t="s">
        <v>1186</v>
      </c>
      <c r="C828" s="6">
        <v>24769</v>
      </c>
      <c r="D828" s="6">
        <v>20514</v>
      </c>
      <c r="E828" s="6">
        <f>C828-D828</f>
        <v>4255</v>
      </c>
      <c r="F828" s="6">
        <f>IF(C828&lt;&gt;0, ((C828-D828)/C828)*100, 0)</f>
        <v>17.178731478864709</v>
      </c>
    </row>
    <row r="829" spans="1:6" x14ac:dyDescent="0.25">
      <c r="A829" s="2" t="s">
        <v>1187</v>
      </c>
      <c r="B829" s="2" t="s">
        <v>1188</v>
      </c>
      <c r="C829" s="6">
        <v>31407641.66</v>
      </c>
      <c r="D829" s="6">
        <v>25896388.329999998</v>
      </c>
      <c r="E829" s="6">
        <f>C829-D829</f>
        <v>5511253.3300000019</v>
      </c>
      <c r="F829" s="6">
        <f>IF(C829&lt;&gt;0, ((C829-D829)/C829)*100, 0)</f>
        <v>17.547491752680681</v>
      </c>
    </row>
    <row r="830" spans="1:6" x14ac:dyDescent="0.25">
      <c r="A830" s="2" t="s">
        <v>1189</v>
      </c>
      <c r="B830" s="2" t="s">
        <v>1190</v>
      </c>
      <c r="C830" s="6">
        <v>221593</v>
      </c>
      <c r="D830" s="6">
        <v>178530</v>
      </c>
      <c r="E830" s="6">
        <f>C830-D830</f>
        <v>43063</v>
      </c>
      <c r="F830" s="6">
        <f>IF(C830&lt;&gt;0, ((C830-D830)/C830)*100, 0)</f>
        <v>19.43337560301995</v>
      </c>
    </row>
    <row r="831" spans="1:6" x14ac:dyDescent="0.25">
      <c r="A831" s="2" t="s">
        <v>1191</v>
      </c>
      <c r="B831" s="2" t="s">
        <v>1191</v>
      </c>
      <c r="C831" s="6">
        <v>7970</v>
      </c>
      <c r="D831" s="6">
        <v>6618.4</v>
      </c>
      <c r="E831" s="6">
        <f>C831-D831</f>
        <v>1351.6000000000004</v>
      </c>
      <c r="F831" s="6">
        <f>IF(C831&lt;&gt;0, ((C831-D831)/C831)*100, 0)</f>
        <v>16.958594730238399</v>
      </c>
    </row>
    <row r="832" spans="1:6" x14ac:dyDescent="0.25">
      <c r="A832" s="2" t="s">
        <v>1192</v>
      </c>
      <c r="B832" s="2" t="s">
        <v>1193</v>
      </c>
      <c r="C832" s="6">
        <v>731</v>
      </c>
      <c r="E832" s="6">
        <f>C832-D832</f>
        <v>731</v>
      </c>
      <c r="F832" s="6">
        <f>IF(C832&lt;&gt;0, ((C832-D832)/C832)*100, 0)</f>
        <v>100</v>
      </c>
    </row>
    <row r="833" spans="1:6" x14ac:dyDescent="0.25">
      <c r="A833" s="2" t="s">
        <v>1194</v>
      </c>
      <c r="B833" s="2" t="s">
        <v>1194</v>
      </c>
      <c r="C833" s="6">
        <v>13043122</v>
      </c>
      <c r="D833" s="6">
        <v>8168694.1799999997</v>
      </c>
      <c r="E833" s="6">
        <f>C833-D833</f>
        <v>4874427.82</v>
      </c>
      <c r="F833" s="6">
        <f>IF(C833&lt;&gt;0, ((C833-D833)/C833)*100, 0)</f>
        <v>37.371634030564152</v>
      </c>
    </row>
    <row r="834" spans="1:6" x14ac:dyDescent="0.25">
      <c r="A834" s="2" t="s">
        <v>1195</v>
      </c>
      <c r="B834" s="2" t="s">
        <v>1196</v>
      </c>
      <c r="C834" s="6">
        <v>27982</v>
      </c>
      <c r="D834" s="6">
        <v>23225</v>
      </c>
      <c r="E834" s="6">
        <f>C834-D834</f>
        <v>4757</v>
      </c>
      <c r="F834" s="6">
        <f>IF(C834&lt;&gt;0, ((C834-D834)/C834)*100, 0)</f>
        <v>17.000214423558003</v>
      </c>
    </row>
    <row r="835" spans="1:6" x14ac:dyDescent="0.25">
      <c r="A835" s="2" t="s">
        <v>1197</v>
      </c>
      <c r="B835" s="2" t="s">
        <v>1197</v>
      </c>
      <c r="C835" s="6">
        <v>10864936.4</v>
      </c>
      <c r="D835" s="6">
        <v>10793273.5</v>
      </c>
      <c r="E835" s="6">
        <f>C835-D835</f>
        <v>71662.900000000373</v>
      </c>
      <c r="F835" s="6">
        <f>IF(C835&lt;&gt;0, ((C835-D835)/C835)*100, 0)</f>
        <v>0.65957956274829521</v>
      </c>
    </row>
    <row r="836" spans="1:6" x14ac:dyDescent="0.25">
      <c r="A836" s="2" t="s">
        <v>1198</v>
      </c>
      <c r="B836" s="2" t="s">
        <v>1199</v>
      </c>
      <c r="C836" s="6">
        <v>19310</v>
      </c>
      <c r="D836" s="6">
        <v>7970</v>
      </c>
      <c r="E836" s="6">
        <f>C836-D836</f>
        <v>11340</v>
      </c>
      <c r="F836" s="6">
        <f>IF(C836&lt;&gt;0, ((C836-D836)/C836)*100, 0)</f>
        <v>58.726048679440702</v>
      </c>
    </row>
    <row r="837" spans="1:6" x14ac:dyDescent="0.25">
      <c r="A837" s="2" t="s">
        <v>1200</v>
      </c>
      <c r="B837" s="2" t="s">
        <v>1201</v>
      </c>
      <c r="C837" s="6">
        <v>207420</v>
      </c>
      <c r="D837" s="6">
        <v>171375.92</v>
      </c>
      <c r="E837" s="6">
        <f>C837-D837</f>
        <v>36044.079999999987</v>
      </c>
      <c r="F837" s="6">
        <f>IF(C837&lt;&gt;0, ((C837-D837)/C837)*100, 0)</f>
        <v>17.377340661459833</v>
      </c>
    </row>
    <row r="838" spans="1:6" x14ac:dyDescent="0.25">
      <c r="A838" s="2" t="s">
        <v>1202</v>
      </c>
      <c r="B838" s="2" t="s">
        <v>1203</v>
      </c>
      <c r="C838" s="6">
        <v>45302</v>
      </c>
      <c r="D838" s="6">
        <v>31400</v>
      </c>
      <c r="E838" s="6">
        <f>C838-D838</f>
        <v>13902</v>
      </c>
      <c r="F838" s="6">
        <f>IF(C838&lt;&gt;0, ((C838-D838)/C838)*100, 0)</f>
        <v>30.687386870336852</v>
      </c>
    </row>
    <row r="839" spans="1:6" x14ac:dyDescent="0.25">
      <c r="A839" s="2" t="s">
        <v>1204</v>
      </c>
      <c r="B839" s="2" t="s">
        <v>1204</v>
      </c>
      <c r="C839" s="6">
        <v>178792</v>
      </c>
      <c r="D839" s="6">
        <v>152146.12</v>
      </c>
      <c r="E839" s="6">
        <f>C839-D839</f>
        <v>26645.880000000005</v>
      </c>
      <c r="F839" s="6">
        <f>IF(C839&lt;&gt;0, ((C839-D839)/C839)*100, 0)</f>
        <v>14.903284263278001</v>
      </c>
    </row>
    <row r="840" spans="1:6" x14ac:dyDescent="0.25">
      <c r="A840" s="2" t="s">
        <v>1205</v>
      </c>
      <c r="B840" s="2" t="s">
        <v>1205</v>
      </c>
      <c r="C840" s="6">
        <v>11205219.49</v>
      </c>
      <c r="D840" s="6">
        <v>8662854.0600000005</v>
      </c>
      <c r="E840" s="6">
        <f>C840-D840</f>
        <v>2542365.4299999997</v>
      </c>
      <c r="F840" s="6">
        <f>IF(C840&lt;&gt;0, ((C840-D840)/C840)*100, 0)</f>
        <v>22.689117622987318</v>
      </c>
    </row>
    <row r="841" spans="1:6" x14ac:dyDescent="0.25">
      <c r="A841" s="2" t="s">
        <v>1206</v>
      </c>
      <c r="B841" s="2" t="s">
        <v>1206</v>
      </c>
      <c r="C841" s="6">
        <v>25000</v>
      </c>
      <c r="E841" s="6">
        <f>C841-D841</f>
        <v>25000</v>
      </c>
      <c r="F841" s="6">
        <f>IF(C841&lt;&gt;0, ((C841-D841)/C841)*100, 0)</f>
        <v>100</v>
      </c>
    </row>
    <row r="842" spans="1:6" x14ac:dyDescent="0.25">
      <c r="A842" s="2" t="s">
        <v>1207</v>
      </c>
      <c r="B842" s="2" t="s">
        <v>1208</v>
      </c>
      <c r="C842" s="6">
        <v>0.66</v>
      </c>
      <c r="E842" s="6">
        <f>C842-D842</f>
        <v>0.66</v>
      </c>
      <c r="F842" s="6">
        <f>IF(C842&lt;&gt;0, ((C842-D842)/C842)*100, 0)</f>
        <v>100</v>
      </c>
    </row>
    <row r="843" spans="1:6" x14ac:dyDescent="0.25">
      <c r="A843" s="2" t="s">
        <v>1209</v>
      </c>
      <c r="B843" s="2" t="s">
        <v>1209</v>
      </c>
      <c r="C843" s="6">
        <v>14142740.08</v>
      </c>
      <c r="D843" s="6">
        <v>12039388.189999999</v>
      </c>
      <c r="E843" s="6">
        <f>C843-D843</f>
        <v>2103351.8900000006</v>
      </c>
      <c r="F843" s="6">
        <f>IF(C843&lt;&gt;0, ((C843-D843)/C843)*100, 0)</f>
        <v>14.872308181456734</v>
      </c>
    </row>
    <row r="844" spans="1:6" x14ac:dyDescent="0.25">
      <c r="A844" s="2" t="s">
        <v>1210</v>
      </c>
      <c r="B844" s="2" t="s">
        <v>1210</v>
      </c>
      <c r="C844" s="6">
        <v>-165</v>
      </c>
      <c r="E844" s="6">
        <f>C844-D844</f>
        <v>-165</v>
      </c>
      <c r="F844" s="6">
        <f>IF(C844&lt;&gt;0, ((C844-D844)/C844)*100, 0)</f>
        <v>100</v>
      </c>
    </row>
    <row r="845" spans="1:6" x14ac:dyDescent="0.25">
      <c r="A845" s="2" t="s">
        <v>1211</v>
      </c>
      <c r="B845" s="2" t="s">
        <v>1211</v>
      </c>
      <c r="C845" s="6">
        <v>12646457.199999999</v>
      </c>
      <c r="D845" s="6">
        <v>9104855.3200000003</v>
      </c>
      <c r="E845" s="6">
        <f>C845-D845</f>
        <v>3541601.879999999</v>
      </c>
      <c r="F845" s="6">
        <f>IF(C845&lt;&gt;0, ((C845-D845)/C845)*100, 0)</f>
        <v>28.004695892221886</v>
      </c>
    </row>
    <row r="846" spans="1:6" x14ac:dyDescent="0.25">
      <c r="A846" s="2" t="s">
        <v>1212</v>
      </c>
      <c r="B846" s="2" t="s">
        <v>1212</v>
      </c>
      <c r="C846" s="6">
        <v>1751126.74</v>
      </c>
      <c r="D846" s="6">
        <v>1476568.72</v>
      </c>
      <c r="E846" s="6">
        <f>C846-D846</f>
        <v>274558.02</v>
      </c>
      <c r="F846" s="6">
        <f>IF(C846&lt;&gt;0, ((C846-D846)/C846)*100, 0)</f>
        <v>15.678934809710004</v>
      </c>
    </row>
    <row r="847" spans="1:6" x14ac:dyDescent="0.25">
      <c r="A847" s="2" t="s">
        <v>1213</v>
      </c>
      <c r="B847" s="2" t="s">
        <v>1213</v>
      </c>
      <c r="C847" s="6">
        <v>431403.86</v>
      </c>
      <c r="D847" s="6">
        <v>364882.22</v>
      </c>
      <c r="E847" s="6">
        <f>C847-D847</f>
        <v>66521.640000000014</v>
      </c>
      <c r="F847" s="6">
        <f>IF(C847&lt;&gt;0, ((C847-D847)/C847)*100, 0)</f>
        <v>15.419806396725336</v>
      </c>
    </row>
    <row r="848" spans="1:6" x14ac:dyDescent="0.25">
      <c r="A848" s="2" t="s">
        <v>1214</v>
      </c>
      <c r="B848" s="2" t="s">
        <v>1214</v>
      </c>
      <c r="C848" s="6">
        <v>31460</v>
      </c>
      <c r="D848" s="6">
        <v>28000</v>
      </c>
      <c r="E848" s="6">
        <f>C848-D848</f>
        <v>3460</v>
      </c>
      <c r="F848" s="6">
        <f>IF(C848&lt;&gt;0, ((C848-D848)/C848)*100, 0)</f>
        <v>10.998092816274635</v>
      </c>
    </row>
    <row r="849" spans="1:6" x14ac:dyDescent="0.25">
      <c r="A849" s="2" t="s">
        <v>1215</v>
      </c>
      <c r="B849" s="2" t="s">
        <v>1215</v>
      </c>
      <c r="C849" s="6">
        <v>6452</v>
      </c>
      <c r="D849" s="6">
        <v>5376</v>
      </c>
      <c r="E849" s="6">
        <f>C849-D849</f>
        <v>1076</v>
      </c>
      <c r="F849" s="6">
        <f>IF(C849&lt;&gt;0, ((C849-D849)/C849)*100, 0)</f>
        <v>16.676999380037199</v>
      </c>
    </row>
    <row r="850" spans="1:6" x14ac:dyDescent="0.25">
      <c r="A850" s="2" t="s">
        <v>1216</v>
      </c>
      <c r="B850" s="2" t="s">
        <v>1216</v>
      </c>
      <c r="C850" s="6">
        <v>9375</v>
      </c>
      <c r="D850" s="6">
        <v>6750</v>
      </c>
      <c r="E850" s="6">
        <f>C850-D850</f>
        <v>2625</v>
      </c>
      <c r="F850" s="6">
        <f>IF(C850&lt;&gt;0, ((C850-D850)/C850)*100, 0)</f>
        <v>28.000000000000004</v>
      </c>
    </row>
    <row r="851" spans="1:6" x14ac:dyDescent="0.25">
      <c r="A851" s="2" t="s">
        <v>1217</v>
      </c>
      <c r="B851" s="2" t="s">
        <v>1218</v>
      </c>
      <c r="C851" s="6">
        <v>147345</v>
      </c>
      <c r="D851" s="6">
        <v>118580</v>
      </c>
      <c r="E851" s="6">
        <f>C851-D851</f>
        <v>28765</v>
      </c>
      <c r="F851" s="6">
        <f>IF(C851&lt;&gt;0, ((C851-D851)/C851)*100, 0)</f>
        <v>19.52220977976857</v>
      </c>
    </row>
    <row r="852" spans="1:6" x14ac:dyDescent="0.25">
      <c r="A852" s="2" t="s">
        <v>1219</v>
      </c>
      <c r="B852" s="2" t="s">
        <v>1220</v>
      </c>
      <c r="E852" s="6">
        <f>C852-D852</f>
        <v>0</v>
      </c>
      <c r="F852" s="6">
        <f>IF(C852&lt;&gt;0, ((C852-D852)/C852)*100, 0)</f>
        <v>0</v>
      </c>
    </row>
    <row r="853" spans="1:6" x14ac:dyDescent="0.25">
      <c r="A853" s="2" t="s">
        <v>1221</v>
      </c>
      <c r="B853" s="2" t="s">
        <v>1221</v>
      </c>
      <c r="C853" s="6">
        <v>79910</v>
      </c>
      <c r="D853" s="6">
        <v>70923</v>
      </c>
      <c r="E853" s="6">
        <f>C853-D853</f>
        <v>8987</v>
      </c>
      <c r="F853" s="6">
        <f>IF(C853&lt;&gt;0, ((C853-D853)/C853)*100, 0)</f>
        <v>11.246402202477787</v>
      </c>
    </row>
    <row r="854" spans="1:6" x14ac:dyDescent="0.25">
      <c r="A854" s="2" t="s">
        <v>1222</v>
      </c>
      <c r="B854" s="2" t="s">
        <v>1222</v>
      </c>
      <c r="C854" s="6">
        <v>291095</v>
      </c>
      <c r="D854" s="6">
        <v>190572.58</v>
      </c>
      <c r="E854" s="6">
        <f>C854-D854</f>
        <v>100522.42000000001</v>
      </c>
      <c r="F854" s="6">
        <f>IF(C854&lt;&gt;0, ((C854-D854)/C854)*100, 0)</f>
        <v>34.532513440629351</v>
      </c>
    </row>
    <row r="855" spans="1:6" x14ac:dyDescent="0.25">
      <c r="A855" s="2" t="s">
        <v>1223</v>
      </c>
      <c r="B855" s="2" t="s">
        <v>1224</v>
      </c>
      <c r="C855" s="6">
        <v>364789</v>
      </c>
      <c r="D855" s="6">
        <v>231692.93</v>
      </c>
      <c r="E855" s="6">
        <f>C855-D855</f>
        <v>133096.07</v>
      </c>
      <c r="F855" s="6">
        <f>IF(C855&lt;&gt;0, ((C855-D855)/C855)*100, 0)</f>
        <v>36.485768485343584</v>
      </c>
    </row>
    <row r="856" spans="1:6" x14ac:dyDescent="0.25">
      <c r="A856" s="2" t="s">
        <v>1225</v>
      </c>
      <c r="B856" s="2" t="s">
        <v>1226</v>
      </c>
      <c r="C856" s="6">
        <v>38799</v>
      </c>
      <c r="D856" s="6">
        <v>35770</v>
      </c>
      <c r="E856" s="6">
        <f>C856-D856</f>
        <v>3029</v>
      </c>
      <c r="F856" s="6">
        <f>IF(C856&lt;&gt;0, ((C856-D856)/C856)*100, 0)</f>
        <v>7.8069022397484478</v>
      </c>
    </row>
    <row r="857" spans="1:6" x14ac:dyDescent="0.25">
      <c r="A857" s="2" t="s">
        <v>1227</v>
      </c>
      <c r="B857" s="2" t="s">
        <v>1228</v>
      </c>
      <c r="C857" s="6">
        <v>433874.12</v>
      </c>
      <c r="D857" s="6">
        <v>375265.7</v>
      </c>
      <c r="E857" s="6">
        <f>C857-D857</f>
        <v>58608.419999999984</v>
      </c>
      <c r="F857" s="6">
        <f>IF(C857&lt;&gt;0, ((C857-D857)/C857)*100, 0)</f>
        <v>13.508162229173749</v>
      </c>
    </row>
    <row r="858" spans="1:6" x14ac:dyDescent="0.25">
      <c r="A858" s="2" t="s">
        <v>1229</v>
      </c>
      <c r="B858" s="2" t="s">
        <v>1229</v>
      </c>
      <c r="C858" s="6">
        <v>3541452.14</v>
      </c>
      <c r="D858" s="6">
        <v>2778264.72</v>
      </c>
      <c r="E858" s="6">
        <f>C858-D858</f>
        <v>763187.41999999993</v>
      </c>
      <c r="F858" s="6">
        <f>IF(C858&lt;&gt;0, ((C858-D858)/C858)*100, 0)</f>
        <v>21.550126609927865</v>
      </c>
    </row>
    <row r="859" spans="1:6" x14ac:dyDescent="0.25">
      <c r="A859" s="2" t="s">
        <v>1230</v>
      </c>
      <c r="B859" s="2" t="s">
        <v>1230</v>
      </c>
      <c r="C859" s="6">
        <v>1180115.92</v>
      </c>
      <c r="D859" s="6">
        <v>1011336.4</v>
      </c>
      <c r="E859" s="6">
        <f>C859-D859</f>
        <v>168779.5199999999</v>
      </c>
      <c r="F859" s="6">
        <f>IF(C859&lt;&gt;0, ((C859-D859)/C859)*100, 0)</f>
        <v>14.3019441683322</v>
      </c>
    </row>
    <row r="860" spans="1:6" x14ac:dyDescent="0.25">
      <c r="A860" s="2" t="s">
        <v>1231</v>
      </c>
      <c r="B860" s="2" t="s">
        <v>1232</v>
      </c>
      <c r="C860" s="6">
        <v>4168100</v>
      </c>
      <c r="D860" s="6">
        <v>3339686</v>
      </c>
      <c r="E860" s="6">
        <f>C860-D860</f>
        <v>828414</v>
      </c>
      <c r="F860" s="6">
        <f>IF(C860&lt;&gt;0, ((C860-D860)/C860)*100, 0)</f>
        <v>19.875098965955711</v>
      </c>
    </row>
    <row r="861" spans="1:6" x14ac:dyDescent="0.25">
      <c r="A861" s="2" t="s">
        <v>1233</v>
      </c>
      <c r="B861" s="2" t="s">
        <v>1234</v>
      </c>
      <c r="C861" s="6">
        <v>4696607.8</v>
      </c>
      <c r="D861" s="6">
        <v>3597288.08</v>
      </c>
      <c r="E861" s="6">
        <f>C861-D861</f>
        <v>1099319.7199999997</v>
      </c>
      <c r="F861" s="6">
        <f>IF(C861&lt;&gt;0, ((C861-D861)/C861)*100, 0)</f>
        <v>23.406674919715453</v>
      </c>
    </row>
    <row r="862" spans="1:6" x14ac:dyDescent="0.25">
      <c r="A862" s="2" t="s">
        <v>1235</v>
      </c>
      <c r="B862" s="2" t="s">
        <v>1235</v>
      </c>
      <c r="C862" s="6">
        <v>272116922.19999999</v>
      </c>
      <c r="D862" s="6">
        <v>198295660.15000001</v>
      </c>
      <c r="E862" s="6">
        <f>C862-D862</f>
        <v>73821262.049999982</v>
      </c>
      <c r="F862" s="6">
        <f>IF(C862&lt;&gt;0, ((C862-D862)/C862)*100, 0)</f>
        <v>27.128508382783696</v>
      </c>
    </row>
    <row r="863" spans="1:6" x14ac:dyDescent="0.25">
      <c r="A863" s="2" t="s">
        <v>1236</v>
      </c>
      <c r="B863" s="2" t="s">
        <v>1236</v>
      </c>
      <c r="C863" s="6">
        <v>-13</v>
      </c>
      <c r="E863" s="6">
        <f>C863-D863</f>
        <v>-13</v>
      </c>
      <c r="F863" s="6">
        <f>IF(C863&lt;&gt;0, ((C863-D863)/C863)*100, 0)</f>
        <v>100</v>
      </c>
    </row>
    <row r="864" spans="1:6" x14ac:dyDescent="0.25">
      <c r="A864" s="2" t="s">
        <v>1237</v>
      </c>
      <c r="B864" s="2" t="s">
        <v>1237</v>
      </c>
      <c r="C864" s="6">
        <v>3908202.4</v>
      </c>
      <c r="D864" s="6">
        <v>3089654.85</v>
      </c>
      <c r="E864" s="6">
        <f>C864-D864</f>
        <v>818547.54999999981</v>
      </c>
      <c r="F864" s="6">
        <f>IF(C864&lt;&gt;0, ((C864-D864)/C864)*100, 0)</f>
        <v>20.944348992774781</v>
      </c>
    </row>
    <row r="865" spans="1:6" x14ac:dyDescent="0.25">
      <c r="A865" s="2" t="s">
        <v>1238</v>
      </c>
      <c r="B865" s="2" t="s">
        <v>1238</v>
      </c>
      <c r="C865" s="6">
        <v>58685</v>
      </c>
      <c r="D865" s="6">
        <v>49391.4</v>
      </c>
      <c r="E865" s="6">
        <f>C865-D865</f>
        <v>9293.5999999999985</v>
      </c>
      <c r="F865" s="6">
        <f>IF(C865&lt;&gt;0, ((C865-D865)/C865)*100, 0)</f>
        <v>15.836414756752148</v>
      </c>
    </row>
    <row r="866" spans="1:6" x14ac:dyDescent="0.25">
      <c r="A866" s="2" t="s">
        <v>1239</v>
      </c>
      <c r="B866" s="2" t="s">
        <v>1240</v>
      </c>
      <c r="C866" s="6">
        <v>25760</v>
      </c>
      <c r="D866" s="6">
        <v>23365</v>
      </c>
      <c r="E866" s="6">
        <f>C866-D866</f>
        <v>2395</v>
      </c>
      <c r="F866" s="6">
        <f>IF(C866&lt;&gt;0, ((C866-D866)/C866)*100, 0)</f>
        <v>9.2973602484472053</v>
      </c>
    </row>
    <row r="867" spans="1:6" x14ac:dyDescent="0.25">
      <c r="A867" s="2" t="s">
        <v>1241</v>
      </c>
      <c r="B867" s="2" t="s">
        <v>1241</v>
      </c>
      <c r="C867" s="6">
        <v>-61</v>
      </c>
      <c r="E867" s="6">
        <f>C867-D867</f>
        <v>-61</v>
      </c>
      <c r="F867" s="6">
        <f>IF(C867&lt;&gt;0, ((C867-D867)/C867)*100, 0)</f>
        <v>100</v>
      </c>
    </row>
    <row r="868" spans="1:6" x14ac:dyDescent="0.25">
      <c r="A868" s="2" t="s">
        <v>1242</v>
      </c>
      <c r="B868" s="2" t="s">
        <v>1243</v>
      </c>
      <c r="C868" s="6">
        <v>81400</v>
      </c>
      <c r="D868" s="6">
        <v>69000</v>
      </c>
      <c r="E868" s="6">
        <f>C868-D868</f>
        <v>12400</v>
      </c>
      <c r="F868" s="6">
        <f>IF(C868&lt;&gt;0, ((C868-D868)/C868)*100, 0)</f>
        <v>15.233415233415235</v>
      </c>
    </row>
    <row r="869" spans="1:6" x14ac:dyDescent="0.25">
      <c r="A869" s="2" t="s">
        <v>1244</v>
      </c>
      <c r="B869" s="2" t="s">
        <v>1245</v>
      </c>
      <c r="C869" s="6">
        <v>7025845.5</v>
      </c>
      <c r="D869" s="6">
        <v>5757699.6100000003</v>
      </c>
      <c r="E869" s="6">
        <f>C869-D869</f>
        <v>1268145.8899999997</v>
      </c>
      <c r="F869" s="6">
        <f>IF(C869&lt;&gt;0, ((C869-D869)/C869)*100, 0)</f>
        <v>18.049726399477468</v>
      </c>
    </row>
    <row r="870" spans="1:6" x14ac:dyDescent="0.25">
      <c r="A870" s="2" t="s">
        <v>1246</v>
      </c>
      <c r="B870" s="2" t="s">
        <v>1246</v>
      </c>
      <c r="E870" s="6">
        <f>C870-D870</f>
        <v>0</v>
      </c>
      <c r="F870" s="6">
        <f>IF(C870&lt;&gt;0, ((C870-D870)/C870)*100, 0)</f>
        <v>0</v>
      </c>
    </row>
    <row r="871" spans="1:6" x14ac:dyDescent="0.25">
      <c r="A871" s="2" t="s">
        <v>1247</v>
      </c>
      <c r="B871" s="2" t="s">
        <v>1247</v>
      </c>
      <c r="C871" s="6">
        <v>197745144.00999999</v>
      </c>
      <c r="D871" s="6">
        <v>158660055.00999999</v>
      </c>
      <c r="E871" s="6">
        <f>C871-D871</f>
        <v>39085089</v>
      </c>
      <c r="F871" s="6">
        <f>IF(C871&lt;&gt;0, ((C871-D871)/C871)*100, 0)</f>
        <v>19.765384983624916</v>
      </c>
    </row>
    <row r="872" spans="1:6" x14ac:dyDescent="0.25">
      <c r="A872" s="2" t="s">
        <v>1248</v>
      </c>
      <c r="B872" s="2" t="s">
        <v>1248</v>
      </c>
      <c r="C872" s="6">
        <v>2628518.2799999998</v>
      </c>
      <c r="D872" s="6">
        <v>2096874.37</v>
      </c>
      <c r="E872" s="6">
        <f>C872-D872</f>
        <v>531643.90999999968</v>
      </c>
      <c r="F872" s="6">
        <f>IF(C872&lt;&gt;0, ((C872-D872)/C872)*100, 0)</f>
        <v>20.225992493382989</v>
      </c>
    </row>
    <row r="873" spans="1:6" x14ac:dyDescent="0.25">
      <c r="A873" s="2" t="s">
        <v>1249</v>
      </c>
      <c r="B873" s="2" t="s">
        <v>1250</v>
      </c>
      <c r="C873" s="6">
        <v>28407</v>
      </c>
      <c r="D873" s="6">
        <v>25333.8</v>
      </c>
      <c r="E873" s="6">
        <f>C873-D873</f>
        <v>3073.2000000000007</v>
      </c>
      <c r="F873" s="6">
        <f>IF(C873&lt;&gt;0, ((C873-D873)/C873)*100, 0)</f>
        <v>10.81846023867357</v>
      </c>
    </row>
    <row r="874" spans="1:6" x14ac:dyDescent="0.25">
      <c r="A874" s="2" t="s">
        <v>1251</v>
      </c>
      <c r="B874" s="2" t="s">
        <v>1252</v>
      </c>
      <c r="C874" s="6">
        <v>-2</v>
      </c>
      <c r="E874" s="6">
        <f>C874-D874</f>
        <v>-2</v>
      </c>
      <c r="F874" s="6">
        <f>IF(C874&lt;&gt;0, ((C874-D874)/C874)*100, 0)</f>
        <v>100</v>
      </c>
    </row>
    <row r="875" spans="1:6" x14ac:dyDescent="0.25">
      <c r="A875" s="2" t="s">
        <v>1253</v>
      </c>
      <c r="B875" s="2" t="s">
        <v>1254</v>
      </c>
      <c r="C875" s="6">
        <v>31800</v>
      </c>
      <c r="D875" s="6">
        <v>27620</v>
      </c>
      <c r="E875" s="6">
        <f>C875-D875</f>
        <v>4180</v>
      </c>
      <c r="F875" s="6">
        <f>IF(C875&lt;&gt;0, ((C875-D875)/C875)*100, 0)</f>
        <v>13.144654088050315</v>
      </c>
    </row>
    <row r="876" spans="1:6" x14ac:dyDescent="0.25">
      <c r="A876" s="2" t="s">
        <v>1255</v>
      </c>
      <c r="B876" s="2" t="s">
        <v>1255</v>
      </c>
      <c r="C876" s="6">
        <v>356647</v>
      </c>
      <c r="D876" s="6">
        <v>324040.5</v>
      </c>
      <c r="E876" s="6">
        <f>C876-D876</f>
        <v>32606.5</v>
      </c>
      <c r="F876" s="6">
        <f>IF(C876&lt;&gt;0, ((C876-D876)/C876)*100, 0)</f>
        <v>9.1425134656957709</v>
      </c>
    </row>
    <row r="877" spans="1:6" x14ac:dyDescent="0.25">
      <c r="A877" s="2" t="s">
        <v>1256</v>
      </c>
      <c r="B877" s="2" t="s">
        <v>1256</v>
      </c>
      <c r="C877" s="6">
        <v>75560</v>
      </c>
      <c r="D877" s="6">
        <v>59630</v>
      </c>
      <c r="E877" s="6">
        <f>C877-D877</f>
        <v>15930</v>
      </c>
      <c r="F877" s="6">
        <f>IF(C877&lt;&gt;0, ((C877-D877)/C877)*100, 0)</f>
        <v>21.082583377448387</v>
      </c>
    </row>
    <row r="878" spans="1:6" x14ac:dyDescent="0.25">
      <c r="A878" s="2" t="s">
        <v>1257</v>
      </c>
      <c r="B878" s="2" t="s">
        <v>1258</v>
      </c>
      <c r="C878" s="6">
        <v>1660365</v>
      </c>
      <c r="D878" s="6">
        <v>1403831.44</v>
      </c>
      <c r="E878" s="6">
        <f>C878-D878</f>
        <v>256533.56000000006</v>
      </c>
      <c r="F878" s="6">
        <f>IF(C878&lt;&gt;0, ((C878-D878)/C878)*100, 0)</f>
        <v>15.450431682190366</v>
      </c>
    </row>
    <row r="879" spans="1:6" x14ac:dyDescent="0.25">
      <c r="A879" s="2" t="s">
        <v>1259</v>
      </c>
      <c r="B879" s="2" t="s">
        <v>1260</v>
      </c>
      <c r="C879" s="6">
        <v>-50</v>
      </c>
      <c r="E879" s="6">
        <f>C879-D879</f>
        <v>-50</v>
      </c>
      <c r="F879" s="6">
        <f>IF(C879&lt;&gt;0, ((C879-D879)/C879)*100, 0)</f>
        <v>100</v>
      </c>
    </row>
    <row r="880" spans="1:6" x14ac:dyDescent="0.25">
      <c r="A880" s="2" t="s">
        <v>1261</v>
      </c>
      <c r="B880" s="2" t="s">
        <v>1262</v>
      </c>
      <c r="C880" s="6">
        <v>388525.6</v>
      </c>
      <c r="D880" s="6">
        <v>316930.7</v>
      </c>
      <c r="E880" s="6">
        <f>C880-D880</f>
        <v>71594.899999999965</v>
      </c>
      <c r="F880" s="6">
        <f>IF(C880&lt;&gt;0, ((C880-D880)/C880)*100, 0)</f>
        <v>18.42733142938328</v>
      </c>
    </row>
    <row r="881" spans="1:6" x14ac:dyDescent="0.25">
      <c r="A881" s="2" t="s">
        <v>1263</v>
      </c>
      <c r="B881" s="2" t="s">
        <v>1263</v>
      </c>
      <c r="C881" s="6">
        <v>392700</v>
      </c>
      <c r="D881" s="6">
        <v>352429.8</v>
      </c>
      <c r="E881" s="6">
        <f>C881-D881</f>
        <v>40270.200000000012</v>
      </c>
      <c r="F881" s="6">
        <f>IF(C881&lt;&gt;0, ((C881-D881)/C881)*100, 0)</f>
        <v>10.254698242933539</v>
      </c>
    </row>
    <row r="882" spans="1:6" x14ac:dyDescent="0.25">
      <c r="A882" s="2" t="s">
        <v>1264</v>
      </c>
      <c r="B882" s="2" t="s">
        <v>1265</v>
      </c>
      <c r="C882" s="6">
        <v>20543717.77</v>
      </c>
      <c r="D882" s="6">
        <v>16655183.869999999</v>
      </c>
      <c r="E882" s="6">
        <f>C882-D882</f>
        <v>3888533.9000000004</v>
      </c>
      <c r="F882" s="6">
        <f>IF(C882&lt;&gt;0, ((C882-D882)/C882)*100, 0)</f>
        <v>18.928092488100805</v>
      </c>
    </row>
    <row r="883" spans="1:6" x14ac:dyDescent="0.25">
      <c r="A883" s="2" t="s">
        <v>1266</v>
      </c>
      <c r="B883" s="2" t="s">
        <v>1267</v>
      </c>
      <c r="C883" s="6">
        <v>686946.7</v>
      </c>
      <c r="E883" s="6">
        <f>C883-D883</f>
        <v>686946.7</v>
      </c>
      <c r="F883" s="6">
        <f>IF(C883&lt;&gt;0, ((C883-D883)/C883)*100, 0)</f>
        <v>100</v>
      </c>
    </row>
    <row r="884" spans="1:6" x14ac:dyDescent="0.25">
      <c r="A884" s="2" t="s">
        <v>1268</v>
      </c>
      <c r="B884" s="2" t="s">
        <v>1268</v>
      </c>
      <c r="C884" s="6">
        <v>113751715.20999999</v>
      </c>
      <c r="D884" s="6">
        <v>85464221.829999998</v>
      </c>
      <c r="E884" s="6">
        <f>C884-D884</f>
        <v>28287493.379999995</v>
      </c>
      <c r="F884" s="6">
        <f>IF(C884&lt;&gt;0, ((C884-D884)/C884)*100, 0)</f>
        <v>24.867751073271922</v>
      </c>
    </row>
    <row r="885" spans="1:6" x14ac:dyDescent="0.25">
      <c r="A885" s="2" t="s">
        <v>1269</v>
      </c>
      <c r="B885" s="2" t="s">
        <v>1269</v>
      </c>
      <c r="C885" s="6">
        <v>33217151</v>
      </c>
      <c r="D885" s="6">
        <v>26881390.18</v>
      </c>
      <c r="E885" s="6">
        <f>C885-D885</f>
        <v>6335760.8200000003</v>
      </c>
      <c r="F885" s="6">
        <f>IF(C885&lt;&gt;0, ((C885-D885)/C885)*100, 0)</f>
        <v>19.073763490433002</v>
      </c>
    </row>
    <row r="886" spans="1:6" x14ac:dyDescent="0.25">
      <c r="A886" s="2" t="s">
        <v>1270</v>
      </c>
      <c r="B886" s="2" t="s">
        <v>1271</v>
      </c>
      <c r="C886" s="6">
        <v>8504695</v>
      </c>
      <c r="D886" s="6">
        <v>6491378.4500000002</v>
      </c>
      <c r="E886" s="6">
        <f>C886-D886</f>
        <v>2013316.5499999998</v>
      </c>
      <c r="F886" s="6">
        <f>IF(C886&lt;&gt;0, ((C886-D886)/C886)*100, 0)</f>
        <v>23.673001206980377</v>
      </c>
    </row>
    <row r="887" spans="1:6" x14ac:dyDescent="0.25">
      <c r="A887" s="2" t="s">
        <v>1272</v>
      </c>
      <c r="B887" s="2" t="s">
        <v>1272</v>
      </c>
      <c r="C887" s="6">
        <v>11200</v>
      </c>
      <c r="D887" s="6">
        <v>9290</v>
      </c>
      <c r="E887" s="6">
        <f>C887-D887</f>
        <v>1910</v>
      </c>
      <c r="F887" s="6">
        <f>IF(C887&lt;&gt;0, ((C887-D887)/C887)*100, 0)</f>
        <v>17.053571428571431</v>
      </c>
    </row>
    <row r="888" spans="1:6" x14ac:dyDescent="0.25">
      <c r="A888" s="2" t="s">
        <v>1273</v>
      </c>
      <c r="B888" s="2" t="s">
        <v>1274</v>
      </c>
      <c r="C888" s="6">
        <v>3148487</v>
      </c>
      <c r="D888" s="6">
        <v>3352840</v>
      </c>
      <c r="E888" s="6">
        <f>C888-D888</f>
        <v>-204353</v>
      </c>
      <c r="F888" s="6">
        <f>IF(C888&lt;&gt;0, ((C888-D888)/C888)*100, 0)</f>
        <v>-6.4905143327572894</v>
      </c>
    </row>
    <row r="889" spans="1:6" x14ac:dyDescent="0.25">
      <c r="A889" s="2" t="s">
        <v>1275</v>
      </c>
      <c r="B889" s="2" t="s">
        <v>1275</v>
      </c>
      <c r="C889" s="6">
        <v>16854473</v>
      </c>
      <c r="D889" s="6">
        <v>13471680.359999999</v>
      </c>
      <c r="E889" s="6">
        <f>C889-D889</f>
        <v>3382792.6400000006</v>
      </c>
      <c r="F889" s="6">
        <f>IF(C889&lt;&gt;0, ((C889-D889)/C889)*100, 0)</f>
        <v>20.070592773799575</v>
      </c>
    </row>
    <row r="890" spans="1:6" x14ac:dyDescent="0.25">
      <c r="A890" s="2" t="s">
        <v>1276</v>
      </c>
      <c r="B890" s="2" t="s">
        <v>1276</v>
      </c>
      <c r="C890" s="6">
        <v>9347679.9900000002</v>
      </c>
      <c r="D890" s="6">
        <v>7462435.4900000002</v>
      </c>
      <c r="E890" s="6">
        <f>C890-D890</f>
        <v>1885244.5</v>
      </c>
      <c r="F890" s="6">
        <f>IF(C890&lt;&gt;0, ((C890-D890)/C890)*100, 0)</f>
        <v>20.168047066403691</v>
      </c>
    </row>
    <row r="891" spans="1:6" x14ac:dyDescent="0.25">
      <c r="A891" s="2" t="s">
        <v>1277</v>
      </c>
      <c r="B891" s="2" t="s">
        <v>1278</v>
      </c>
      <c r="C891" s="6">
        <v>155620</v>
      </c>
      <c r="D891" s="6">
        <v>131530</v>
      </c>
      <c r="E891" s="6">
        <f>C891-D891</f>
        <v>24090</v>
      </c>
      <c r="F891" s="6">
        <f>IF(C891&lt;&gt;0, ((C891-D891)/C891)*100, 0)</f>
        <v>15.480015422182239</v>
      </c>
    </row>
    <row r="892" spans="1:6" x14ac:dyDescent="0.25">
      <c r="A892" s="2" t="s">
        <v>1279</v>
      </c>
      <c r="B892" s="2" t="s">
        <v>1279</v>
      </c>
      <c r="C892" s="6">
        <v>244289</v>
      </c>
      <c r="D892" s="6">
        <v>147938.20000000001</v>
      </c>
      <c r="E892" s="6">
        <f>C892-D892</f>
        <v>96350.799999999988</v>
      </c>
      <c r="F892" s="6">
        <f>IF(C892&lt;&gt;0, ((C892-D892)/C892)*100, 0)</f>
        <v>39.44131745596404</v>
      </c>
    </row>
    <row r="893" spans="1:6" x14ac:dyDescent="0.25">
      <c r="A893" s="2" t="s">
        <v>1280</v>
      </c>
      <c r="B893" s="2" t="s">
        <v>1280</v>
      </c>
      <c r="C893" s="6">
        <v>245815</v>
      </c>
      <c r="D893" s="6">
        <v>202243.4</v>
      </c>
      <c r="E893" s="6">
        <f>C893-D893</f>
        <v>43571.600000000006</v>
      </c>
      <c r="F893" s="6">
        <f>IF(C893&lt;&gt;0, ((C893-D893)/C893)*100, 0)</f>
        <v>17.72536256941196</v>
      </c>
    </row>
    <row r="894" spans="1:6" x14ac:dyDescent="0.25">
      <c r="A894" s="2" t="s">
        <v>1281</v>
      </c>
      <c r="B894" s="2" t="s">
        <v>1282</v>
      </c>
      <c r="C894" s="6">
        <v>1680490</v>
      </c>
      <c r="D894" s="6">
        <v>1302556</v>
      </c>
      <c r="E894" s="6">
        <f>C894-D894</f>
        <v>377934</v>
      </c>
      <c r="F894" s="6">
        <f>IF(C894&lt;&gt;0, ((C894-D894)/C894)*100, 0)</f>
        <v>22.489511987575053</v>
      </c>
    </row>
    <row r="895" spans="1:6" x14ac:dyDescent="0.25">
      <c r="A895" s="2" t="s">
        <v>1283</v>
      </c>
      <c r="B895" s="2" t="s">
        <v>1283</v>
      </c>
      <c r="C895" s="6">
        <v>2631000</v>
      </c>
      <c r="D895" s="6">
        <v>1250000</v>
      </c>
      <c r="E895" s="6">
        <f>C895-D895</f>
        <v>1381000</v>
      </c>
      <c r="F895" s="6">
        <f>IF(C895&lt;&gt;0, ((C895-D895)/C895)*100, 0)</f>
        <v>52.489547700494107</v>
      </c>
    </row>
    <row r="896" spans="1:6" x14ac:dyDescent="0.25">
      <c r="A896" s="2" t="s">
        <v>1284</v>
      </c>
      <c r="B896" s="2" t="s">
        <v>1284</v>
      </c>
      <c r="C896" s="6">
        <v>2334680</v>
      </c>
      <c r="D896" s="6">
        <v>1742139.9</v>
      </c>
      <c r="E896" s="6">
        <f>C896-D896</f>
        <v>592540.10000000009</v>
      </c>
      <c r="F896" s="6">
        <f>IF(C896&lt;&gt;0, ((C896-D896)/C896)*100, 0)</f>
        <v>25.379927870200632</v>
      </c>
    </row>
    <row r="897" spans="1:6" x14ac:dyDescent="0.25">
      <c r="A897" s="2" t="s">
        <v>1285</v>
      </c>
      <c r="B897" s="2" t="s">
        <v>1285</v>
      </c>
      <c r="C897" s="6">
        <v>10015291</v>
      </c>
      <c r="D897" s="6">
        <v>8029749.7300000004</v>
      </c>
      <c r="E897" s="6">
        <f>C897-D897</f>
        <v>1985541.2699999996</v>
      </c>
      <c r="F897" s="6">
        <f>IF(C897&lt;&gt;0, ((C897-D897)/C897)*100, 0)</f>
        <v>19.825098142430406</v>
      </c>
    </row>
    <row r="898" spans="1:6" x14ac:dyDescent="0.25">
      <c r="A898" s="2" t="s">
        <v>1286</v>
      </c>
      <c r="B898" s="2" t="s">
        <v>1287</v>
      </c>
      <c r="C898" s="6">
        <v>158754</v>
      </c>
      <c r="D898" s="6">
        <v>141673</v>
      </c>
      <c r="E898" s="6">
        <f>C898-D898</f>
        <v>17081</v>
      </c>
      <c r="F898" s="6">
        <f>IF(C898&lt;&gt;0, ((C898-D898)/C898)*100, 0)</f>
        <v>10.759413936026808</v>
      </c>
    </row>
    <row r="899" spans="1:6" x14ac:dyDescent="0.25">
      <c r="A899" s="2" t="s">
        <v>1288</v>
      </c>
      <c r="B899" s="2" t="s">
        <v>1289</v>
      </c>
      <c r="C899" s="6">
        <v>1404366</v>
      </c>
      <c r="D899" s="6">
        <v>1109393.8799999999</v>
      </c>
      <c r="E899" s="6">
        <f>C899-D899</f>
        <v>294972.12000000011</v>
      </c>
      <c r="F899" s="6">
        <f>IF(C899&lt;&gt;0, ((C899-D899)/C899)*100, 0)</f>
        <v>21.003934871678759</v>
      </c>
    </row>
    <row r="900" spans="1:6" x14ac:dyDescent="0.25">
      <c r="A900" s="2" t="s">
        <v>1290</v>
      </c>
      <c r="B900" s="2" t="s">
        <v>1291</v>
      </c>
      <c r="C900" s="6">
        <v>1702141</v>
      </c>
      <c r="D900" s="6">
        <v>1518208.63</v>
      </c>
      <c r="E900" s="6">
        <f>C900-D900</f>
        <v>183932.37000000011</v>
      </c>
      <c r="F900" s="6">
        <f>IF(C900&lt;&gt;0, ((C900-D900)/C900)*100, 0)</f>
        <v>10.805942045929221</v>
      </c>
    </row>
    <row r="901" spans="1:6" x14ac:dyDescent="0.25">
      <c r="A901" s="2" t="s">
        <v>1292</v>
      </c>
      <c r="B901" s="2" t="s">
        <v>1293</v>
      </c>
      <c r="C901" s="6">
        <v>68118</v>
      </c>
      <c r="D901" s="6">
        <v>58394.58</v>
      </c>
      <c r="E901" s="6">
        <f>C901-D901</f>
        <v>9723.4199999999983</v>
      </c>
      <c r="F901" s="6">
        <f>IF(C901&lt;&gt;0, ((C901-D901)/C901)*100, 0)</f>
        <v>14.274376816700428</v>
      </c>
    </row>
    <row r="902" spans="1:6" x14ac:dyDescent="0.25">
      <c r="A902" s="2" t="s">
        <v>1294</v>
      </c>
      <c r="B902" s="2" t="s">
        <v>1294</v>
      </c>
      <c r="C902" s="6">
        <v>-60</v>
      </c>
      <c r="E902" s="6">
        <f>C902-D902</f>
        <v>-60</v>
      </c>
      <c r="F902" s="6">
        <f>IF(C902&lt;&gt;0, ((C902-D902)/C902)*100, 0)</f>
        <v>100</v>
      </c>
    </row>
    <row r="903" spans="1:6" x14ac:dyDescent="0.25">
      <c r="A903" s="2" t="s">
        <v>1295</v>
      </c>
      <c r="B903" s="2" t="s">
        <v>1296</v>
      </c>
      <c r="C903" s="6">
        <v>57443</v>
      </c>
      <c r="D903" s="6">
        <v>48677.18</v>
      </c>
      <c r="E903" s="6">
        <f>C903-D903</f>
        <v>8765.82</v>
      </c>
      <c r="F903" s="6">
        <f>IF(C903&lt;&gt;0, ((C903-D903)/C903)*100, 0)</f>
        <v>15.260031683581984</v>
      </c>
    </row>
    <row r="904" spans="1:6" x14ac:dyDescent="0.25">
      <c r="A904" s="2" t="s">
        <v>1297</v>
      </c>
      <c r="B904" s="2" t="s">
        <v>1298</v>
      </c>
      <c r="C904" s="6">
        <v>85400</v>
      </c>
      <c r="D904" s="6">
        <v>69000</v>
      </c>
      <c r="E904" s="6">
        <f>C904-D904</f>
        <v>16400</v>
      </c>
      <c r="F904" s="6">
        <f>IF(C904&lt;&gt;0, ((C904-D904)/C904)*100, 0)</f>
        <v>19.20374707259953</v>
      </c>
    </row>
    <row r="905" spans="1:6" x14ac:dyDescent="0.25">
      <c r="A905" s="2" t="s">
        <v>1299</v>
      </c>
      <c r="B905" s="2" t="s">
        <v>1300</v>
      </c>
      <c r="C905" s="6">
        <v>1814996</v>
      </c>
      <c r="D905" s="6">
        <v>163196.1</v>
      </c>
      <c r="E905" s="6">
        <f>C905-D905</f>
        <v>1651799.9</v>
      </c>
      <c r="F905" s="6">
        <f>IF(C905&lt;&gt;0, ((C905-D905)/C905)*100, 0)</f>
        <v>91.008459522775794</v>
      </c>
    </row>
    <row r="906" spans="1:6" x14ac:dyDescent="0.25">
      <c r="A906" s="2" t="s">
        <v>1301</v>
      </c>
      <c r="B906" s="2" t="s">
        <v>1302</v>
      </c>
      <c r="C906" s="6">
        <v>4973293.28</v>
      </c>
      <c r="D906" s="6">
        <v>4108298.88</v>
      </c>
      <c r="E906" s="6">
        <f>C906-D906</f>
        <v>864994.40000000037</v>
      </c>
      <c r="F906" s="6">
        <f>IF(C906&lt;&gt;0, ((C906-D906)/C906)*100, 0)</f>
        <v>17.392788868465853</v>
      </c>
    </row>
    <row r="907" spans="1:6" x14ac:dyDescent="0.25">
      <c r="A907" s="2" t="s">
        <v>1303</v>
      </c>
      <c r="B907" s="2" t="s">
        <v>1302</v>
      </c>
      <c r="C907" s="6">
        <v>608151</v>
      </c>
      <c r="D907" s="6">
        <v>529074.05000000005</v>
      </c>
      <c r="E907" s="6">
        <f>C907-D907</f>
        <v>79076.949999999953</v>
      </c>
      <c r="F907" s="6">
        <f>IF(C907&lt;&gt;0, ((C907-D907)/C907)*100, 0)</f>
        <v>13.002847976900467</v>
      </c>
    </row>
    <row r="908" spans="1:6" x14ac:dyDescent="0.25">
      <c r="A908" s="2" t="s">
        <v>1304</v>
      </c>
      <c r="B908" s="2" t="s">
        <v>1304</v>
      </c>
      <c r="C908" s="6">
        <v>14090248</v>
      </c>
      <c r="D908" s="6">
        <v>11238466</v>
      </c>
      <c r="E908" s="6">
        <f>C908-D908</f>
        <v>2851782</v>
      </c>
      <c r="F908" s="6">
        <f>IF(C908&lt;&gt;0, ((C908-D908)/C908)*100, 0)</f>
        <v>20.239402457643045</v>
      </c>
    </row>
    <row r="909" spans="1:6" x14ac:dyDescent="0.25">
      <c r="A909" s="2" t="s">
        <v>1305</v>
      </c>
      <c r="B909" s="2" t="s">
        <v>1305</v>
      </c>
      <c r="C909" s="6">
        <v>215385.25</v>
      </c>
      <c r="D909" s="6">
        <v>175246</v>
      </c>
      <c r="E909" s="6">
        <f>C909-D909</f>
        <v>40139.25</v>
      </c>
      <c r="F909" s="6">
        <f>IF(C909&lt;&gt;0, ((C909-D909)/C909)*100, 0)</f>
        <v>18.63602544742502</v>
      </c>
    </row>
    <row r="910" spans="1:6" x14ac:dyDescent="0.25">
      <c r="A910" s="2" t="s">
        <v>1306</v>
      </c>
      <c r="B910" s="2" t="s">
        <v>1306</v>
      </c>
      <c r="C910" s="6">
        <v>1012230</v>
      </c>
      <c r="D910" s="6">
        <v>884339.15</v>
      </c>
      <c r="E910" s="6">
        <f>C910-D910</f>
        <v>127890.84999999998</v>
      </c>
      <c r="F910" s="6">
        <f>IF(C910&lt;&gt;0, ((C910-D910)/C910)*100, 0)</f>
        <v>12.634564278869426</v>
      </c>
    </row>
    <row r="911" spans="1:6" x14ac:dyDescent="0.25">
      <c r="A911" s="2" t="s">
        <v>1307</v>
      </c>
      <c r="B911" s="2" t="s">
        <v>1307</v>
      </c>
      <c r="C911" s="6">
        <v>9990</v>
      </c>
      <c r="D911" s="6">
        <v>8273</v>
      </c>
      <c r="E911" s="6">
        <f>C911-D911</f>
        <v>1717</v>
      </c>
      <c r="F911" s="6">
        <f>IF(C911&lt;&gt;0, ((C911-D911)/C911)*100, 0)</f>
        <v>17.187187187187185</v>
      </c>
    </row>
    <row r="912" spans="1:6" x14ac:dyDescent="0.25">
      <c r="A912" s="2" t="s">
        <v>1308</v>
      </c>
      <c r="B912" s="2" t="s">
        <v>1309</v>
      </c>
      <c r="C912" s="6">
        <v>-20</v>
      </c>
      <c r="E912" s="6">
        <f>C912-D912</f>
        <v>-20</v>
      </c>
      <c r="F912" s="6">
        <f>IF(C912&lt;&gt;0, ((C912-D912)/C912)*100, 0)</f>
        <v>100</v>
      </c>
    </row>
    <row r="913" spans="1:6" x14ac:dyDescent="0.25">
      <c r="A913" s="2" t="s">
        <v>1310</v>
      </c>
      <c r="B913" s="2" t="s">
        <v>1310</v>
      </c>
      <c r="C913" s="6">
        <v>51361869</v>
      </c>
      <c r="D913" s="6">
        <v>39035517.140000001</v>
      </c>
      <c r="E913" s="6">
        <f>C913-D913</f>
        <v>12326351.859999999</v>
      </c>
      <c r="F913" s="6">
        <f>IF(C913&lt;&gt;0, ((C913-D913)/C913)*100, 0)</f>
        <v>23.999032940175908</v>
      </c>
    </row>
    <row r="914" spans="1:6" x14ac:dyDescent="0.25">
      <c r="A914" s="2" t="s">
        <v>1311</v>
      </c>
      <c r="B914" s="2" t="s">
        <v>1312</v>
      </c>
      <c r="C914" s="6">
        <v>8539378.5</v>
      </c>
      <c r="D914" s="6">
        <v>6659928.5099999998</v>
      </c>
      <c r="E914" s="6">
        <f>C914-D914</f>
        <v>1879449.9900000002</v>
      </c>
      <c r="F914" s="6">
        <f>IF(C914&lt;&gt;0, ((C914-D914)/C914)*100, 0)</f>
        <v>22.009212848452616</v>
      </c>
    </row>
    <row r="915" spans="1:6" x14ac:dyDescent="0.25">
      <c r="A915" s="2" t="s">
        <v>1313</v>
      </c>
      <c r="B915" s="2" t="s">
        <v>1314</v>
      </c>
      <c r="C915" s="6">
        <v>16455070.119999999</v>
      </c>
      <c r="D915" s="6">
        <v>12988542.460000001</v>
      </c>
      <c r="E915" s="6">
        <f>C915-D915</f>
        <v>3466527.6599999983</v>
      </c>
      <c r="F915" s="6">
        <f>IF(C915&lt;&gt;0, ((C915-D915)/C915)*100, 0)</f>
        <v>21.06662344626945</v>
      </c>
    </row>
    <row r="916" spans="1:6" x14ac:dyDescent="0.25">
      <c r="A916" s="2" t="s">
        <v>1315</v>
      </c>
      <c r="B916" s="2" t="s">
        <v>1315</v>
      </c>
      <c r="C916" s="6">
        <v>1065245</v>
      </c>
      <c r="D916" s="6">
        <v>966382.18</v>
      </c>
      <c r="E916" s="6">
        <f>C916-D916</f>
        <v>98862.819999999949</v>
      </c>
      <c r="F916" s="6">
        <f>IF(C916&lt;&gt;0, ((C916-D916)/C916)*100, 0)</f>
        <v>9.2807588864533468</v>
      </c>
    </row>
    <row r="917" spans="1:6" x14ac:dyDescent="0.25">
      <c r="A917" s="2" t="s">
        <v>1316</v>
      </c>
      <c r="B917" s="2" t="s">
        <v>1316</v>
      </c>
      <c r="C917" s="6">
        <v>8619270.2899999991</v>
      </c>
      <c r="D917" s="6">
        <v>6841745.4500000002</v>
      </c>
      <c r="E917" s="6">
        <f>C917-D917</f>
        <v>1777524.8399999989</v>
      </c>
      <c r="F917" s="6">
        <f>IF(C917&lt;&gt;0, ((C917-D917)/C917)*100, 0)</f>
        <v>20.622683593787137</v>
      </c>
    </row>
    <row r="918" spans="1:6" x14ac:dyDescent="0.25">
      <c r="A918" s="2" t="s">
        <v>1317</v>
      </c>
      <c r="B918" s="2" t="s">
        <v>1317</v>
      </c>
      <c r="C918" s="6">
        <v>15609779.560000001</v>
      </c>
      <c r="D918" s="6">
        <v>11945998.16</v>
      </c>
      <c r="E918" s="6">
        <f>C918-D918</f>
        <v>3663781.4000000004</v>
      </c>
      <c r="F918" s="6">
        <f>IF(C918&lt;&gt;0, ((C918-D918)/C918)*100, 0)</f>
        <v>23.471064315273395</v>
      </c>
    </row>
    <row r="919" spans="1:6" x14ac:dyDescent="0.25">
      <c r="A919" s="2" t="s">
        <v>1318</v>
      </c>
      <c r="B919" s="2" t="s">
        <v>1318</v>
      </c>
      <c r="C919" s="6">
        <v>28900</v>
      </c>
      <c r="D919" s="6">
        <v>27500</v>
      </c>
      <c r="E919" s="6">
        <f>C919-D919</f>
        <v>1400</v>
      </c>
      <c r="F919" s="6">
        <f>IF(C919&lt;&gt;0, ((C919-D919)/C919)*100, 0)</f>
        <v>4.844290657439446</v>
      </c>
    </row>
    <row r="920" spans="1:6" x14ac:dyDescent="0.25">
      <c r="A920" s="2" t="s">
        <v>1319</v>
      </c>
      <c r="B920" s="2" t="s">
        <v>1319</v>
      </c>
      <c r="C920" s="6">
        <v>26400</v>
      </c>
      <c r="D920" s="6">
        <v>24000</v>
      </c>
      <c r="E920" s="6">
        <f>C920-D920</f>
        <v>2400</v>
      </c>
      <c r="F920" s="6">
        <f>IF(C920&lt;&gt;0, ((C920-D920)/C920)*100, 0)</f>
        <v>9.0909090909090917</v>
      </c>
    </row>
    <row r="921" spans="1:6" x14ac:dyDescent="0.25">
      <c r="A921" s="2" t="s">
        <v>1320</v>
      </c>
      <c r="B921" s="2" t="s">
        <v>1320</v>
      </c>
      <c r="C921" s="6">
        <v>75320</v>
      </c>
      <c r="D921" s="6">
        <v>63018</v>
      </c>
      <c r="E921" s="6">
        <f>C921-D921</f>
        <v>12302</v>
      </c>
      <c r="F921" s="6">
        <f>IF(C921&lt;&gt;0, ((C921-D921)/C921)*100, 0)</f>
        <v>16.332979288369621</v>
      </c>
    </row>
    <row r="922" spans="1:6" x14ac:dyDescent="0.25">
      <c r="A922" s="2" t="s">
        <v>1321</v>
      </c>
      <c r="B922" s="2" t="s">
        <v>1321</v>
      </c>
      <c r="C922" s="6">
        <v>10000</v>
      </c>
      <c r="E922" s="6">
        <f>C922-D922</f>
        <v>10000</v>
      </c>
      <c r="F922" s="6">
        <f>IF(C922&lt;&gt;0, ((C922-D922)/C922)*100, 0)</f>
        <v>100</v>
      </c>
    </row>
    <row r="923" spans="1:6" x14ac:dyDescent="0.25">
      <c r="A923" s="2" t="s">
        <v>1322</v>
      </c>
      <c r="B923" s="2" t="s">
        <v>1323</v>
      </c>
      <c r="C923" s="6">
        <v>52420</v>
      </c>
      <c r="D923" s="6">
        <v>43245.8</v>
      </c>
      <c r="E923" s="6">
        <f>C923-D923</f>
        <v>9174.1999999999971</v>
      </c>
      <c r="F923" s="6">
        <f>IF(C923&lt;&gt;0, ((C923-D923)/C923)*100, 0)</f>
        <v>17.501335368180079</v>
      </c>
    </row>
    <row r="924" spans="1:6" x14ac:dyDescent="0.25">
      <c r="A924" s="2" t="s">
        <v>1324</v>
      </c>
      <c r="B924" s="2" t="s">
        <v>1324</v>
      </c>
      <c r="C924" s="6">
        <v>-2</v>
      </c>
      <c r="E924" s="6">
        <f>C924-D924</f>
        <v>-2</v>
      </c>
      <c r="F924" s="6">
        <f>IF(C924&lt;&gt;0, ((C924-D924)/C924)*100, 0)</f>
        <v>100</v>
      </c>
    </row>
    <row r="925" spans="1:6" x14ac:dyDescent="0.25">
      <c r="A925" s="2" t="s">
        <v>1325</v>
      </c>
      <c r="B925" s="2" t="s">
        <v>1326</v>
      </c>
      <c r="C925" s="6">
        <v>-80</v>
      </c>
      <c r="E925" s="6">
        <f>C925-D925</f>
        <v>-80</v>
      </c>
      <c r="F925" s="6">
        <f>IF(C925&lt;&gt;0, ((C925-D925)/C925)*100, 0)</f>
        <v>100</v>
      </c>
    </row>
    <row r="926" spans="1:6" x14ac:dyDescent="0.25">
      <c r="A926" s="2" t="s">
        <v>1327</v>
      </c>
      <c r="B926" s="2" t="s">
        <v>1327</v>
      </c>
      <c r="C926" s="6">
        <v>802720.6</v>
      </c>
      <c r="D926" s="6">
        <v>600206</v>
      </c>
      <c r="E926" s="6">
        <f>C926-D926</f>
        <v>202514.59999999998</v>
      </c>
      <c r="F926" s="6">
        <f>IF(C926&lt;&gt;0, ((C926-D926)/C926)*100, 0)</f>
        <v>25.228529079732098</v>
      </c>
    </row>
    <row r="927" spans="1:6" x14ac:dyDescent="0.25">
      <c r="A927" s="2" t="s">
        <v>1328</v>
      </c>
      <c r="B927" s="2" t="s">
        <v>1329</v>
      </c>
      <c r="C927" s="6">
        <v>609542</v>
      </c>
      <c r="D927" s="6">
        <v>503604.8</v>
      </c>
      <c r="E927" s="6">
        <f>C927-D927</f>
        <v>105937.20000000001</v>
      </c>
      <c r="F927" s="6">
        <f>IF(C927&lt;&gt;0, ((C927-D927)/C927)*100, 0)</f>
        <v>17.379803196498354</v>
      </c>
    </row>
    <row r="928" spans="1:6" x14ac:dyDescent="0.25">
      <c r="A928" s="2" t="s">
        <v>1330</v>
      </c>
      <c r="B928" s="2" t="s">
        <v>1331</v>
      </c>
      <c r="C928" s="6">
        <v>7550</v>
      </c>
      <c r="D928" s="6">
        <v>6860</v>
      </c>
      <c r="E928" s="6">
        <f>C928-D928</f>
        <v>690</v>
      </c>
      <c r="F928" s="6">
        <f>IF(C928&lt;&gt;0, ((C928-D928)/C928)*100, 0)</f>
        <v>9.1390728476821206</v>
      </c>
    </row>
    <row r="929" spans="1:6" x14ac:dyDescent="0.25">
      <c r="A929" s="2" t="s">
        <v>1332</v>
      </c>
      <c r="B929" s="2" t="s">
        <v>1333</v>
      </c>
      <c r="C929" s="6">
        <v>29000</v>
      </c>
      <c r="D929" s="6">
        <v>24368.959999999999</v>
      </c>
      <c r="E929" s="6">
        <f>C929-D929</f>
        <v>4631.0400000000009</v>
      </c>
      <c r="F929" s="6">
        <f>IF(C929&lt;&gt;0, ((C929-D929)/C929)*100, 0)</f>
        <v>15.969103448275865</v>
      </c>
    </row>
    <row r="930" spans="1:6" x14ac:dyDescent="0.25">
      <c r="A930" s="2" t="s">
        <v>1334</v>
      </c>
      <c r="B930" s="2" t="s">
        <v>1335</v>
      </c>
      <c r="C930" s="6">
        <v>950000</v>
      </c>
      <c r="D930" s="6">
        <v>827300</v>
      </c>
      <c r="E930" s="6">
        <f>C930-D930</f>
        <v>122700</v>
      </c>
      <c r="F930" s="6">
        <f>IF(C930&lt;&gt;0, ((C930-D930)/C930)*100, 0)</f>
        <v>12.91578947368421</v>
      </c>
    </row>
    <row r="931" spans="1:6" x14ac:dyDescent="0.25">
      <c r="A931" s="2" t="s">
        <v>1336</v>
      </c>
      <c r="B931" s="2" t="s">
        <v>1336</v>
      </c>
      <c r="C931" s="6">
        <v>238100</v>
      </c>
      <c r="D931" s="6">
        <v>144037.37</v>
      </c>
      <c r="E931" s="6">
        <f>C931-D931</f>
        <v>94062.63</v>
      </c>
      <c r="F931" s="6">
        <f>IF(C931&lt;&gt;0, ((C931-D931)/C931)*100, 0)</f>
        <v>39.505514489710208</v>
      </c>
    </row>
    <row r="932" spans="1:6" x14ac:dyDescent="0.25">
      <c r="A932" s="2" t="s">
        <v>1337</v>
      </c>
      <c r="B932" s="2" t="s">
        <v>1337</v>
      </c>
      <c r="C932" s="6">
        <v>97500</v>
      </c>
      <c r="D932" s="6">
        <v>82730</v>
      </c>
      <c r="E932" s="6">
        <f>C932-D932</f>
        <v>14770</v>
      </c>
      <c r="F932" s="6">
        <f>IF(C932&lt;&gt;0, ((C932-D932)/C932)*100, 0)</f>
        <v>15.148717948717948</v>
      </c>
    </row>
    <row r="933" spans="1:6" x14ac:dyDescent="0.25">
      <c r="A933" s="2" t="s">
        <v>1338</v>
      </c>
      <c r="B933" s="2" t="s">
        <v>1339</v>
      </c>
      <c r="C933" s="6">
        <v>68400</v>
      </c>
      <c r="D933" s="6">
        <v>62206</v>
      </c>
      <c r="E933" s="6">
        <f>C933-D933</f>
        <v>6194</v>
      </c>
      <c r="F933" s="6">
        <f>IF(C933&lt;&gt;0, ((C933-D933)/C933)*100, 0)</f>
        <v>9.0555555555555554</v>
      </c>
    </row>
    <row r="934" spans="1:6" x14ac:dyDescent="0.25">
      <c r="A934" s="2" t="s">
        <v>1340</v>
      </c>
      <c r="B934" s="2" t="s">
        <v>1341</v>
      </c>
      <c r="C934" s="6">
        <v>1301600</v>
      </c>
      <c r="D934" s="6">
        <v>1012300</v>
      </c>
      <c r="E934" s="6">
        <f>C934-D934</f>
        <v>289300</v>
      </c>
      <c r="F934" s="6">
        <f>IF(C934&lt;&gt;0, ((C934-D934)/C934)*100, 0)</f>
        <v>22.226490473263674</v>
      </c>
    </row>
    <row r="935" spans="1:6" x14ac:dyDescent="0.25">
      <c r="A935" s="2" t="s">
        <v>1342</v>
      </c>
      <c r="B935" s="2" t="s">
        <v>1342</v>
      </c>
      <c r="C935" s="6">
        <v>25989</v>
      </c>
      <c r="E935" s="6">
        <f>C935-D935</f>
        <v>25989</v>
      </c>
      <c r="F935" s="6">
        <f>IF(C935&lt;&gt;0, ((C935-D935)/C935)*100, 0)</f>
        <v>100</v>
      </c>
    </row>
    <row r="936" spans="1:6" x14ac:dyDescent="0.25">
      <c r="A936" s="2" t="s">
        <v>1343</v>
      </c>
      <c r="B936" s="2" t="s">
        <v>1343</v>
      </c>
      <c r="C936" s="6">
        <v>91804</v>
      </c>
      <c r="D936" s="6">
        <v>118231.03999999999</v>
      </c>
      <c r="E936" s="6">
        <f>C936-D936</f>
        <v>-26427.039999999994</v>
      </c>
      <c r="F936" s="6">
        <f>IF(C936&lt;&gt;0, ((C936-D936)/C936)*100, 0)</f>
        <v>-28.78637096422813</v>
      </c>
    </row>
    <row r="937" spans="1:6" x14ac:dyDescent="0.25">
      <c r="A937" s="2" t="s">
        <v>1344</v>
      </c>
      <c r="B937" s="2" t="s">
        <v>1345</v>
      </c>
      <c r="E937" s="6">
        <f>C937-D937</f>
        <v>0</v>
      </c>
      <c r="F937" s="6">
        <f>IF(C937&lt;&gt;0, ((C937-D937)/C937)*100, 0)</f>
        <v>0</v>
      </c>
    </row>
    <row r="938" spans="1:6" x14ac:dyDescent="0.25">
      <c r="A938" s="2" t="s">
        <v>1346</v>
      </c>
      <c r="B938" s="2" t="s">
        <v>1347</v>
      </c>
      <c r="C938" s="6">
        <v>747359.85</v>
      </c>
      <c r="D938" s="6">
        <v>584765.98</v>
      </c>
      <c r="E938" s="6">
        <f>C938-D938</f>
        <v>162593.87</v>
      </c>
      <c r="F938" s="6">
        <f>IF(C938&lt;&gt;0, ((C938-D938)/C938)*100, 0)</f>
        <v>21.755767318782244</v>
      </c>
    </row>
    <row r="939" spans="1:6" x14ac:dyDescent="0.25">
      <c r="A939" s="2" t="s">
        <v>1348</v>
      </c>
      <c r="B939" s="2" t="s">
        <v>1349</v>
      </c>
      <c r="C939" s="6">
        <v>22237183.219999999</v>
      </c>
      <c r="D939" s="6">
        <v>18111337.129999999</v>
      </c>
      <c r="E939" s="6">
        <f>C939-D939</f>
        <v>4125846.09</v>
      </c>
      <c r="F939" s="6">
        <f>IF(C939&lt;&gt;0, ((C939-D939)/C939)*100, 0)</f>
        <v>18.55381614290625</v>
      </c>
    </row>
    <row r="940" spans="1:6" x14ac:dyDescent="0.25">
      <c r="A940" s="2" t="s">
        <v>1350</v>
      </c>
      <c r="B940" s="2" t="s">
        <v>1351</v>
      </c>
      <c r="C940" s="6">
        <v>2000</v>
      </c>
      <c r="D940" s="6">
        <v>1654.6</v>
      </c>
      <c r="E940" s="6">
        <f>C940-D940</f>
        <v>345.40000000000009</v>
      </c>
      <c r="F940" s="6">
        <f>IF(C940&lt;&gt;0, ((C940-D940)/C940)*100, 0)</f>
        <v>17.270000000000003</v>
      </c>
    </row>
    <row r="941" spans="1:6" x14ac:dyDescent="0.25">
      <c r="A941" s="2" t="s">
        <v>1352</v>
      </c>
      <c r="B941" s="2" t="s">
        <v>1352</v>
      </c>
      <c r="C941" s="6">
        <v>98369</v>
      </c>
      <c r="D941" s="6">
        <v>83866</v>
      </c>
      <c r="E941" s="6">
        <f>C941-D941</f>
        <v>14503</v>
      </c>
      <c r="F941" s="6">
        <f>IF(C941&lt;&gt;0, ((C941-D941)/C941)*100, 0)</f>
        <v>14.743465929306998</v>
      </c>
    </row>
    <row r="942" spans="1:6" x14ac:dyDescent="0.25">
      <c r="A942" s="2" t="s">
        <v>1353</v>
      </c>
      <c r="B942" s="2" t="s">
        <v>1353</v>
      </c>
      <c r="C942" s="6">
        <v>34605</v>
      </c>
      <c r="D942" s="6">
        <v>31436</v>
      </c>
      <c r="E942" s="6">
        <f>C942-D942</f>
        <v>3169</v>
      </c>
      <c r="F942" s="6">
        <f>IF(C942&lt;&gt;0, ((C942-D942)/C942)*100, 0)</f>
        <v>9.1576361797428127</v>
      </c>
    </row>
    <row r="943" spans="1:6" x14ac:dyDescent="0.25">
      <c r="A943" s="2" t="s">
        <v>1354</v>
      </c>
      <c r="B943" s="2" t="s">
        <v>1354</v>
      </c>
      <c r="C943" s="6">
        <v>55690</v>
      </c>
      <c r="D943" s="6">
        <v>48430</v>
      </c>
      <c r="E943" s="6">
        <f>C943-D943</f>
        <v>7260</v>
      </c>
      <c r="F943" s="6">
        <f>IF(C943&lt;&gt;0, ((C943-D943)/C943)*100, 0)</f>
        <v>13.036451786676242</v>
      </c>
    </row>
    <row r="944" spans="1:6" x14ac:dyDescent="0.25">
      <c r="A944" s="2" t="s">
        <v>1355</v>
      </c>
      <c r="B944" s="2" t="s">
        <v>1355</v>
      </c>
      <c r="C944" s="6">
        <v>49860</v>
      </c>
      <c r="D944" s="6">
        <v>40660</v>
      </c>
      <c r="E944" s="6">
        <f>C944-D944</f>
        <v>9200</v>
      </c>
      <c r="F944" s="6">
        <f>IF(C944&lt;&gt;0, ((C944-D944)/C944)*100, 0)</f>
        <v>18.451664661050941</v>
      </c>
    </row>
    <row r="945" spans="1:6" x14ac:dyDescent="0.25">
      <c r="A945" s="2" t="s">
        <v>1356</v>
      </c>
      <c r="B945" s="2" t="s">
        <v>1356</v>
      </c>
      <c r="C945" s="6">
        <v>7250</v>
      </c>
      <c r="D945" s="6">
        <v>6092.24</v>
      </c>
      <c r="E945" s="6">
        <f>C945-D945</f>
        <v>1157.7600000000002</v>
      </c>
      <c r="F945" s="6">
        <f>IF(C945&lt;&gt;0, ((C945-D945)/C945)*100, 0)</f>
        <v>15.969103448275865</v>
      </c>
    </row>
    <row r="946" spans="1:6" x14ac:dyDescent="0.25">
      <c r="A946" s="2" t="s">
        <v>1357</v>
      </c>
      <c r="B946" s="2" t="s">
        <v>1358</v>
      </c>
      <c r="C946" s="6">
        <v>115820</v>
      </c>
      <c r="D946" s="6">
        <v>97973</v>
      </c>
      <c r="E946" s="6">
        <f>C946-D946</f>
        <v>17847</v>
      </c>
      <c r="F946" s="6">
        <f>IF(C946&lt;&gt;0, ((C946-D946)/C946)*100, 0)</f>
        <v>15.409255741668106</v>
      </c>
    </row>
    <row r="947" spans="1:6" x14ac:dyDescent="0.25">
      <c r="A947" s="2" t="s">
        <v>1359</v>
      </c>
      <c r="B947" s="2" t="s">
        <v>1360</v>
      </c>
      <c r="C947" s="6">
        <v>1</v>
      </c>
      <c r="E947" s="6">
        <f>C947-D947</f>
        <v>1</v>
      </c>
      <c r="F947" s="6">
        <f>IF(C947&lt;&gt;0, ((C947-D947)/C947)*100, 0)</f>
        <v>100</v>
      </c>
    </row>
    <row r="948" spans="1:6" x14ac:dyDescent="0.25">
      <c r="A948" s="2" t="s">
        <v>1361</v>
      </c>
      <c r="B948" s="2" t="s">
        <v>1362</v>
      </c>
      <c r="C948" s="6">
        <v>7300000</v>
      </c>
      <c r="D948" s="6">
        <v>8787670</v>
      </c>
      <c r="E948" s="6">
        <f>C948-D948</f>
        <v>-1487670</v>
      </c>
      <c r="F948" s="6">
        <f>IF(C948&lt;&gt;0, ((C948-D948)/C948)*100, 0)</f>
        <v>-20.379041095890411</v>
      </c>
    </row>
    <row r="949" spans="1:6" x14ac:dyDescent="0.25">
      <c r="A949" s="2" t="s">
        <v>1363</v>
      </c>
      <c r="B949" s="2" t="s">
        <v>1363</v>
      </c>
      <c r="C949" s="6">
        <v>6676540.2999999998</v>
      </c>
      <c r="D949" s="6">
        <v>5205753.3600000003</v>
      </c>
      <c r="E949" s="6">
        <f>C949-D949</f>
        <v>1470786.9399999995</v>
      </c>
      <c r="F949" s="6">
        <f>IF(C949&lt;&gt;0, ((C949-D949)/C949)*100, 0)</f>
        <v>22.029177896222681</v>
      </c>
    </row>
    <row r="950" spans="1:6" x14ac:dyDescent="0.25">
      <c r="A950" s="2" t="s">
        <v>1364</v>
      </c>
      <c r="B950" s="2" t="s">
        <v>1365</v>
      </c>
      <c r="C950" s="6">
        <v>814000</v>
      </c>
      <c r="D950" s="6">
        <v>690000</v>
      </c>
      <c r="E950" s="6">
        <f>C950-D950</f>
        <v>124000</v>
      </c>
      <c r="F950" s="6">
        <f>IF(C950&lt;&gt;0, ((C950-D950)/C950)*100, 0)</f>
        <v>15.233415233415235</v>
      </c>
    </row>
    <row r="951" spans="1:6" x14ac:dyDescent="0.25">
      <c r="A951" s="2" t="s">
        <v>1366</v>
      </c>
      <c r="B951" s="2" t="s">
        <v>1366</v>
      </c>
      <c r="C951" s="6">
        <v>2190503.6</v>
      </c>
      <c r="D951" s="6">
        <v>1717127.11</v>
      </c>
      <c r="E951" s="6">
        <f>C951-D951</f>
        <v>473376.49</v>
      </c>
      <c r="F951" s="6">
        <f>IF(C951&lt;&gt;0, ((C951-D951)/C951)*100, 0)</f>
        <v>21.61039543600841</v>
      </c>
    </row>
    <row r="952" spans="1:6" x14ac:dyDescent="0.25">
      <c r="A952" s="2" t="s">
        <v>1367</v>
      </c>
      <c r="B952" s="2" t="s">
        <v>1368</v>
      </c>
      <c r="C952" s="6">
        <v>923197.31</v>
      </c>
      <c r="D952" s="6">
        <v>703719.14</v>
      </c>
      <c r="E952" s="6">
        <f>C952-D952</f>
        <v>219478.17000000004</v>
      </c>
      <c r="F952" s="6">
        <f>IF(C952&lt;&gt;0, ((C952-D952)/C952)*100, 0)</f>
        <v>23.773701203700433</v>
      </c>
    </row>
    <row r="953" spans="1:6" x14ac:dyDescent="0.25">
      <c r="A953" s="2" t="s">
        <v>1369</v>
      </c>
      <c r="B953" s="2" t="s">
        <v>1369</v>
      </c>
      <c r="C953" s="6">
        <v>49424</v>
      </c>
      <c r="D953" s="6">
        <v>36988.28</v>
      </c>
      <c r="E953" s="6">
        <f>C953-D953</f>
        <v>12435.720000000001</v>
      </c>
      <c r="F953" s="6">
        <f>IF(C953&lt;&gt;0, ((C953-D953)/C953)*100, 0)</f>
        <v>25.161298154742639</v>
      </c>
    </row>
    <row r="954" spans="1:6" x14ac:dyDescent="0.25">
      <c r="A954" s="2" t="s">
        <v>1370</v>
      </c>
      <c r="B954" s="2" t="s">
        <v>1370</v>
      </c>
      <c r="C954" s="6">
        <v>32446513.260000002</v>
      </c>
      <c r="D954" s="6">
        <v>25343726.690000001</v>
      </c>
      <c r="E954" s="6">
        <f>C954-D954</f>
        <v>7102786.5700000003</v>
      </c>
      <c r="F954" s="6">
        <f>IF(C954&lt;&gt;0, ((C954-D954)/C954)*100, 0)</f>
        <v>21.890754526022683</v>
      </c>
    </row>
    <row r="955" spans="1:6" x14ac:dyDescent="0.25">
      <c r="A955" s="2" t="s">
        <v>1371</v>
      </c>
      <c r="B955" s="2" t="s">
        <v>1372</v>
      </c>
      <c r="C955" s="6">
        <v>22152882.77</v>
      </c>
      <c r="D955" s="6">
        <v>18174875.390000001</v>
      </c>
      <c r="E955" s="6">
        <f>C955-D955</f>
        <v>3978007.379999999</v>
      </c>
      <c r="F955" s="6">
        <f>IF(C955&lt;&gt;0, ((C955-D955)/C955)*100, 0)</f>
        <v>17.957064194765291</v>
      </c>
    </row>
    <row r="956" spans="1:6" x14ac:dyDescent="0.25">
      <c r="A956" s="2" t="s">
        <v>1373</v>
      </c>
      <c r="B956" s="2" t="s">
        <v>1374</v>
      </c>
      <c r="C956" s="6">
        <v>170097</v>
      </c>
      <c r="D956" s="6">
        <v>144584</v>
      </c>
      <c r="E956" s="6">
        <f>C956-D956</f>
        <v>25513</v>
      </c>
      <c r="F956" s="6">
        <f>IF(C956&lt;&gt;0, ((C956-D956)/C956)*100, 0)</f>
        <v>14.999088755239656</v>
      </c>
    </row>
    <row r="957" spans="1:6" x14ac:dyDescent="0.25">
      <c r="A957" s="2" t="s">
        <v>1375</v>
      </c>
      <c r="B957" s="2" t="s">
        <v>1376</v>
      </c>
      <c r="C957" s="6">
        <v>167070</v>
      </c>
      <c r="D957" s="6">
        <v>145290</v>
      </c>
      <c r="E957" s="6">
        <f>C957-D957</f>
        <v>21780</v>
      </c>
      <c r="F957" s="6">
        <f>IF(C957&lt;&gt;0, ((C957-D957)/C957)*100, 0)</f>
        <v>13.036451786676242</v>
      </c>
    </row>
    <row r="958" spans="1:6" x14ac:dyDescent="0.25">
      <c r="A958" s="2" t="s">
        <v>1377</v>
      </c>
      <c r="B958" s="2" t="s">
        <v>1377</v>
      </c>
      <c r="C958" s="6">
        <v>1490942.72</v>
      </c>
      <c r="D958" s="6">
        <v>1214019.0900000001</v>
      </c>
      <c r="E958" s="6">
        <f>C958-D958</f>
        <v>276923.62999999989</v>
      </c>
      <c r="F958" s="6">
        <f>IF(C958&lt;&gt;0, ((C958-D958)/C958)*100, 0)</f>
        <v>18.573726963836673</v>
      </c>
    </row>
    <row r="959" spans="1:6" x14ac:dyDescent="0.25">
      <c r="A959" s="2" t="s">
        <v>1378</v>
      </c>
      <c r="B959" s="2" t="s">
        <v>1378</v>
      </c>
      <c r="C959" s="6">
        <v>116402</v>
      </c>
      <c r="D959" s="6">
        <v>89678.43</v>
      </c>
      <c r="E959" s="6">
        <f>C959-D959</f>
        <v>26723.570000000007</v>
      </c>
      <c r="F959" s="6">
        <f>IF(C959&lt;&gt;0, ((C959-D959)/C959)*100, 0)</f>
        <v>22.957999003453555</v>
      </c>
    </row>
    <row r="960" spans="1:6" x14ac:dyDescent="0.25">
      <c r="A960" s="2" t="s">
        <v>1379</v>
      </c>
      <c r="B960" s="2" t="s">
        <v>1379</v>
      </c>
      <c r="C960" s="6">
        <v>63604</v>
      </c>
      <c r="D960" s="6">
        <v>46611.48</v>
      </c>
      <c r="E960" s="6">
        <f>C960-D960</f>
        <v>16992.519999999997</v>
      </c>
      <c r="F960" s="6">
        <f>IF(C960&lt;&gt;0, ((C960-D960)/C960)*100, 0)</f>
        <v>26.716118483114265</v>
      </c>
    </row>
    <row r="961" spans="1:6" x14ac:dyDescent="0.25">
      <c r="A961" s="2" t="s">
        <v>1380</v>
      </c>
      <c r="B961" s="2" t="s">
        <v>1381</v>
      </c>
      <c r="C961" s="6">
        <v>37680</v>
      </c>
      <c r="D961" s="6">
        <v>30600</v>
      </c>
      <c r="E961" s="6">
        <f>C961-D961</f>
        <v>7080</v>
      </c>
      <c r="F961" s="6">
        <f>IF(C961&lt;&gt;0, ((C961-D961)/C961)*100, 0)</f>
        <v>18.789808917197455</v>
      </c>
    </row>
    <row r="962" spans="1:6" x14ac:dyDescent="0.25">
      <c r="A962" s="2" t="s">
        <v>1382</v>
      </c>
      <c r="B962" s="2" t="s">
        <v>1382</v>
      </c>
      <c r="C962" s="6">
        <v>3397256.78</v>
      </c>
      <c r="D962" s="6">
        <v>2626053.4300000002</v>
      </c>
      <c r="E962" s="6">
        <f>C962-D962</f>
        <v>771203.34999999963</v>
      </c>
      <c r="F962" s="6">
        <f>IF(C962&lt;&gt;0, ((C962-D962)/C962)*100, 0)</f>
        <v>22.700767117167977</v>
      </c>
    </row>
    <row r="963" spans="1:6" x14ac:dyDescent="0.25">
      <c r="A963" s="2" t="s">
        <v>1383</v>
      </c>
      <c r="B963" s="2" t="s">
        <v>1384</v>
      </c>
      <c r="C963" s="6">
        <v>3936.45</v>
      </c>
      <c r="D963" s="6">
        <v>3423.75</v>
      </c>
      <c r="E963" s="6">
        <f>C963-D963</f>
        <v>512.69999999999982</v>
      </c>
      <c r="F963" s="6">
        <f>IF(C963&lt;&gt;0, ((C963-D963)/C963)*100, 0)</f>
        <v>13.024425561102005</v>
      </c>
    </row>
    <row r="964" spans="1:6" x14ac:dyDescent="0.25">
      <c r="A964" s="2" t="s">
        <v>1385</v>
      </c>
      <c r="B964" s="2" t="s">
        <v>1386</v>
      </c>
      <c r="C964" s="6">
        <v>27130</v>
      </c>
      <c r="D964" s="6">
        <v>20253.740000000002</v>
      </c>
      <c r="E964" s="6">
        <f>C964-D964</f>
        <v>6876.2599999999984</v>
      </c>
      <c r="F964" s="6">
        <f>IF(C964&lt;&gt;0, ((C964-D964)/C964)*100, 0)</f>
        <v>25.345595281975669</v>
      </c>
    </row>
    <row r="965" spans="1:6" x14ac:dyDescent="0.25">
      <c r="A965" s="2" t="s">
        <v>1387</v>
      </c>
      <c r="B965" s="2" t="s">
        <v>1388</v>
      </c>
      <c r="C965" s="6">
        <v>40365</v>
      </c>
      <c r="D965" s="6">
        <v>26910</v>
      </c>
      <c r="E965" s="6">
        <f>C965-D965</f>
        <v>13455</v>
      </c>
      <c r="F965" s="6">
        <f>IF(C965&lt;&gt;0, ((C965-D965)/C965)*100, 0)</f>
        <v>33.333333333333329</v>
      </c>
    </row>
    <row r="966" spans="1:6" x14ac:dyDescent="0.25">
      <c r="A966" s="2" t="s">
        <v>1389</v>
      </c>
      <c r="B966" s="2" t="s">
        <v>1389</v>
      </c>
      <c r="C966" s="6">
        <v>-70</v>
      </c>
      <c r="E966" s="6">
        <f>C966-D966</f>
        <v>-70</v>
      </c>
      <c r="F966" s="6">
        <f>IF(C966&lt;&gt;0, ((C966-D966)/C966)*100, 0)</f>
        <v>100</v>
      </c>
    </row>
    <row r="967" spans="1:6" x14ac:dyDescent="0.25">
      <c r="A967" s="2" t="s">
        <v>1390</v>
      </c>
      <c r="B967" s="2" t="s">
        <v>1390</v>
      </c>
      <c r="C967" s="6">
        <v>-3</v>
      </c>
      <c r="E967" s="6">
        <f>C967-D967</f>
        <v>-3</v>
      </c>
      <c r="F967" s="6">
        <f>IF(C967&lt;&gt;0, ((C967-D967)/C967)*100, 0)</f>
        <v>100</v>
      </c>
    </row>
    <row r="968" spans="1:6" x14ac:dyDescent="0.25">
      <c r="A968" s="2" t="s">
        <v>1391</v>
      </c>
      <c r="B968" s="2" t="s">
        <v>1391</v>
      </c>
      <c r="C968" s="6">
        <v>805870</v>
      </c>
      <c r="D968" s="6">
        <v>401930</v>
      </c>
      <c r="E968" s="6">
        <f>C968-D968</f>
        <v>403940</v>
      </c>
      <c r="F968" s="6">
        <f>IF(C968&lt;&gt;0, ((C968-D968)/C968)*100, 0)</f>
        <v>50.124709940809311</v>
      </c>
    </row>
    <row r="969" spans="1:6" x14ac:dyDescent="0.25">
      <c r="A969" s="2" t="s">
        <v>1392</v>
      </c>
      <c r="B969" s="2" t="s">
        <v>1392</v>
      </c>
      <c r="C969" s="6">
        <v>428490.5</v>
      </c>
      <c r="D969" s="6">
        <v>361192.96000000002</v>
      </c>
      <c r="E969" s="6">
        <f>C969-D969</f>
        <v>67297.539999999979</v>
      </c>
      <c r="F969" s="6">
        <f>IF(C969&lt;&gt;0, ((C969-D969)/C969)*100, 0)</f>
        <v>15.705725097755954</v>
      </c>
    </row>
    <row r="970" spans="1:6" x14ac:dyDescent="0.25">
      <c r="A970" s="2" t="s">
        <v>1393</v>
      </c>
      <c r="B970" s="2" t="s">
        <v>1394</v>
      </c>
      <c r="C970" s="6">
        <v>389238</v>
      </c>
      <c r="D970" s="6">
        <v>326142.98</v>
      </c>
      <c r="E970" s="6">
        <f>C970-D970</f>
        <v>63095.020000000019</v>
      </c>
      <c r="F970" s="6">
        <f>IF(C970&lt;&gt;0, ((C970-D970)/C970)*100, 0)</f>
        <v>16.209881871759698</v>
      </c>
    </row>
    <row r="971" spans="1:6" x14ac:dyDescent="0.25">
      <c r="A971" s="2" t="s">
        <v>1395</v>
      </c>
      <c r="B971" s="2" t="s">
        <v>1395</v>
      </c>
      <c r="C971" s="6">
        <v>531144</v>
      </c>
      <c r="D971" s="6">
        <v>421886.02</v>
      </c>
      <c r="E971" s="6">
        <f>C971-D971</f>
        <v>109257.97999999998</v>
      </c>
      <c r="F971" s="6">
        <f>IF(C971&lt;&gt;0, ((C971-D971)/C971)*100, 0)</f>
        <v>20.570312382329458</v>
      </c>
    </row>
    <row r="972" spans="1:6" x14ac:dyDescent="0.25">
      <c r="A972" s="2" t="s">
        <v>1396</v>
      </c>
      <c r="B972" s="2" t="s">
        <v>1396</v>
      </c>
      <c r="C972" s="6">
        <v>60458733</v>
      </c>
      <c r="D972" s="6">
        <v>48967499.270000003</v>
      </c>
      <c r="E972" s="6">
        <f>C972-D972</f>
        <v>11491233.729999997</v>
      </c>
      <c r="F972" s="6">
        <f>IF(C972&lt;&gt;0, ((C972-D972)/C972)*100, 0)</f>
        <v>19.006739241459123</v>
      </c>
    </row>
    <row r="973" spans="1:6" x14ac:dyDescent="0.25">
      <c r="A973" s="2" t="s">
        <v>1397</v>
      </c>
      <c r="B973" s="2" t="s">
        <v>1398</v>
      </c>
      <c r="C973" s="6">
        <v>59440</v>
      </c>
      <c r="D973" s="6">
        <v>23940</v>
      </c>
      <c r="E973" s="6">
        <f>C973-D973</f>
        <v>35500</v>
      </c>
      <c r="F973" s="6">
        <f>IF(C973&lt;&gt;0, ((C973-D973)/C973)*100, 0)</f>
        <v>59.724091520861379</v>
      </c>
    </row>
    <row r="974" spans="1:6" x14ac:dyDescent="0.25">
      <c r="A974" s="2" t="s">
        <v>1399</v>
      </c>
      <c r="B974" s="2" t="s">
        <v>1399</v>
      </c>
      <c r="C974" s="6">
        <v>5007680.29</v>
      </c>
      <c r="D974" s="6">
        <v>3873559.42</v>
      </c>
      <c r="E974" s="6">
        <f>C974-D974</f>
        <v>1134120.8700000001</v>
      </c>
      <c r="F974" s="6">
        <f>IF(C974&lt;&gt;0, ((C974-D974)/C974)*100, 0)</f>
        <v>22.647629327790014</v>
      </c>
    </row>
    <row r="975" spans="1:6" x14ac:dyDescent="0.25">
      <c r="A975" s="2" t="s">
        <v>1400</v>
      </c>
      <c r="B975" s="2" t="s">
        <v>1401</v>
      </c>
      <c r="C975" s="6">
        <v>187350</v>
      </c>
      <c r="D975" s="6">
        <v>157545</v>
      </c>
      <c r="E975" s="6">
        <f>C975-D975</f>
        <v>29805</v>
      </c>
      <c r="F975" s="6">
        <f>IF(C975&lt;&gt;0, ((C975-D975)/C975)*100, 0)</f>
        <v>15.90872698158527</v>
      </c>
    </row>
    <row r="976" spans="1:6" x14ac:dyDescent="0.25">
      <c r="A976" s="2" t="s">
        <v>1402</v>
      </c>
      <c r="B976" s="2" t="s">
        <v>1403</v>
      </c>
      <c r="C976" s="6">
        <v>14075</v>
      </c>
      <c r="E976" s="6">
        <f>C976-D976</f>
        <v>14075</v>
      </c>
      <c r="F976" s="6">
        <f>IF(C976&lt;&gt;0, ((C976-D976)/C976)*100, 0)</f>
        <v>100</v>
      </c>
    </row>
    <row r="977" spans="1:6" x14ac:dyDescent="0.25">
      <c r="A977" s="2" t="s">
        <v>1404</v>
      </c>
      <c r="B977" s="2" t="s">
        <v>1404</v>
      </c>
      <c r="C977" s="6">
        <v>5</v>
      </c>
      <c r="E977" s="6">
        <f>C977-D977</f>
        <v>5</v>
      </c>
      <c r="F977" s="6">
        <f>IF(C977&lt;&gt;0, ((C977-D977)/C977)*100, 0)</f>
        <v>100</v>
      </c>
    </row>
    <row r="978" spans="1:6" x14ac:dyDescent="0.25">
      <c r="A978" s="2" t="s">
        <v>1405</v>
      </c>
      <c r="B978" s="2" t="s">
        <v>1405</v>
      </c>
      <c r="C978" s="6">
        <v>12306304</v>
      </c>
      <c r="D978" s="6">
        <v>10078161.689999999</v>
      </c>
      <c r="E978" s="6">
        <f>C978-D978</f>
        <v>2228142.3100000005</v>
      </c>
      <c r="F978" s="6">
        <f>IF(C978&lt;&gt;0, ((C978-D978)/C978)*100, 0)</f>
        <v>18.105698591551132</v>
      </c>
    </row>
    <row r="979" spans="1:6" x14ac:dyDescent="0.25">
      <c r="A979" s="2" t="s">
        <v>1406</v>
      </c>
      <c r="B979" s="2" t="s">
        <v>1406</v>
      </c>
      <c r="C979" s="6">
        <v>31840048.800000001</v>
      </c>
      <c r="D979" s="6">
        <v>25577808.170000002</v>
      </c>
      <c r="E979" s="6">
        <f>C979-D979</f>
        <v>6262240.629999999</v>
      </c>
      <c r="F979" s="6">
        <f>IF(C979&lt;&gt;0, ((C979-D979)/C979)*100, 0)</f>
        <v>19.667811030490629</v>
      </c>
    </row>
    <row r="980" spans="1:6" x14ac:dyDescent="0.25">
      <c r="A980" s="2" t="s">
        <v>1407</v>
      </c>
      <c r="B980" s="2" t="s">
        <v>1408</v>
      </c>
      <c r="C980" s="6">
        <v>121411611.18000001</v>
      </c>
      <c r="D980" s="6">
        <v>98958084.019999996</v>
      </c>
      <c r="E980" s="6">
        <f>C980-D980</f>
        <v>22453527.160000011</v>
      </c>
      <c r="F980" s="6">
        <f>IF(C980&lt;&gt;0, ((C980-D980)/C980)*100, 0)</f>
        <v>18.493723081156798</v>
      </c>
    </row>
    <row r="981" spans="1:6" x14ac:dyDescent="0.25">
      <c r="A981" s="2" t="s">
        <v>1409</v>
      </c>
      <c r="B981" s="2" t="s">
        <v>1410</v>
      </c>
      <c r="C981" s="6">
        <v>69700</v>
      </c>
      <c r="D981" s="6">
        <v>58100</v>
      </c>
      <c r="E981" s="6">
        <f>C981-D981</f>
        <v>11600</v>
      </c>
      <c r="F981" s="6">
        <f>IF(C981&lt;&gt;0, ((C981-D981)/C981)*100, 0)</f>
        <v>16.642754662840744</v>
      </c>
    </row>
    <row r="982" spans="1:6" x14ac:dyDescent="0.25">
      <c r="A982" s="2" t="s">
        <v>1411</v>
      </c>
      <c r="B982" s="2" t="s">
        <v>1412</v>
      </c>
      <c r="C982" s="6">
        <v>143280</v>
      </c>
      <c r="D982" s="6">
        <v>120886.09</v>
      </c>
      <c r="E982" s="6">
        <f>C982-D982</f>
        <v>22393.910000000003</v>
      </c>
      <c r="F982" s="6">
        <f>IF(C982&lt;&gt;0, ((C982-D982)/C982)*100, 0)</f>
        <v>15.629473757677278</v>
      </c>
    </row>
    <row r="983" spans="1:6" x14ac:dyDescent="0.25">
      <c r="A983" s="2" t="s">
        <v>1413</v>
      </c>
      <c r="B983" s="2" t="s">
        <v>1414</v>
      </c>
      <c r="C983" s="6">
        <v>37355</v>
      </c>
      <c r="D983" s="6">
        <v>29621</v>
      </c>
      <c r="E983" s="6">
        <f>C983-D983</f>
        <v>7734</v>
      </c>
      <c r="F983" s="6">
        <f>IF(C983&lt;&gt;0, ((C983-D983)/C983)*100, 0)</f>
        <v>20.704055681970285</v>
      </c>
    </row>
    <row r="984" spans="1:6" x14ac:dyDescent="0.25">
      <c r="A984" s="2" t="s">
        <v>1415</v>
      </c>
      <c r="B984" s="2" t="s">
        <v>1415</v>
      </c>
      <c r="C984" s="6">
        <v>31780</v>
      </c>
      <c r="D984" s="6">
        <v>26507.5</v>
      </c>
      <c r="E984" s="6">
        <f>C984-D984</f>
        <v>5272.5</v>
      </c>
      <c r="F984" s="6">
        <f>IF(C984&lt;&gt;0, ((C984-D984)/C984)*100, 0)</f>
        <v>16.590623033354309</v>
      </c>
    </row>
    <row r="985" spans="1:6" x14ac:dyDescent="0.25">
      <c r="A985" s="2" t="s">
        <v>1416</v>
      </c>
      <c r="B985" s="2" t="s">
        <v>1417</v>
      </c>
      <c r="C985" s="6">
        <v>190515</v>
      </c>
      <c r="D985" s="6">
        <v>96158.57</v>
      </c>
      <c r="E985" s="6">
        <f>C985-D985</f>
        <v>94356.43</v>
      </c>
      <c r="F985" s="6">
        <f>IF(C985&lt;&gt;0, ((C985-D985)/C985)*100, 0)</f>
        <v>49.527034616696845</v>
      </c>
    </row>
    <row r="986" spans="1:6" x14ac:dyDescent="0.25">
      <c r="A986" s="2" t="s">
        <v>1418</v>
      </c>
      <c r="B986" s="2" t="s">
        <v>1418</v>
      </c>
      <c r="C986" s="6">
        <v>1730026</v>
      </c>
      <c r="D986" s="6">
        <v>1458267.96</v>
      </c>
      <c r="E986" s="6">
        <f>C986-D986</f>
        <v>271758.04000000004</v>
      </c>
      <c r="F986" s="6">
        <f>IF(C986&lt;&gt;0, ((C986-D986)/C986)*100, 0)</f>
        <v>15.708321146618609</v>
      </c>
    </row>
    <row r="987" spans="1:6" x14ac:dyDescent="0.25">
      <c r="A987" s="2" t="s">
        <v>1419</v>
      </c>
      <c r="B987" s="2" t="s">
        <v>1419</v>
      </c>
      <c r="C987" s="6">
        <v>742750</v>
      </c>
      <c r="D987" s="6">
        <v>560250</v>
      </c>
      <c r="E987" s="6">
        <f>C987-D987</f>
        <v>182500</v>
      </c>
      <c r="F987" s="6">
        <f>IF(C987&lt;&gt;0, ((C987-D987)/C987)*100, 0)</f>
        <v>24.570851565129587</v>
      </c>
    </row>
    <row r="988" spans="1:6" x14ac:dyDescent="0.25">
      <c r="A988" s="2" t="s">
        <v>1420</v>
      </c>
      <c r="B988" s="2" t="s">
        <v>1421</v>
      </c>
      <c r="C988" s="6">
        <v>131000</v>
      </c>
      <c r="E988" s="6">
        <f>C988-D988</f>
        <v>131000</v>
      </c>
      <c r="F988" s="6">
        <f>IF(C988&lt;&gt;0, ((C988-D988)/C988)*100, 0)</f>
        <v>100</v>
      </c>
    </row>
    <row r="989" spans="1:6" x14ac:dyDescent="0.25">
      <c r="A989" s="2" t="s">
        <v>1422</v>
      </c>
      <c r="B989" s="2" t="s">
        <v>1423</v>
      </c>
      <c r="C989" s="6">
        <v>375878</v>
      </c>
      <c r="D989" s="6">
        <v>264829.37</v>
      </c>
      <c r="E989" s="6">
        <f>C989-D989</f>
        <v>111048.63</v>
      </c>
      <c r="F989" s="6">
        <f>IF(C989&lt;&gt;0, ((C989-D989)/C989)*100, 0)</f>
        <v>29.543796125338538</v>
      </c>
    </row>
    <row r="990" spans="1:6" x14ac:dyDescent="0.25">
      <c r="A990" s="2" t="s">
        <v>1424</v>
      </c>
      <c r="B990" s="2" t="s">
        <v>1425</v>
      </c>
      <c r="C990" s="6">
        <v>206770</v>
      </c>
      <c r="D990" s="6">
        <v>179151.3</v>
      </c>
      <c r="E990" s="6">
        <f>C990-D990</f>
        <v>27618.700000000012</v>
      </c>
      <c r="F990" s="6">
        <f>IF(C990&lt;&gt;0, ((C990-D990)/C990)*100, 0)</f>
        <v>13.357208492527937</v>
      </c>
    </row>
    <row r="991" spans="1:6" x14ac:dyDescent="0.25">
      <c r="A991" s="2" t="s">
        <v>1426</v>
      </c>
      <c r="B991" s="2" t="s">
        <v>1427</v>
      </c>
      <c r="C991" s="6">
        <v>-329</v>
      </c>
      <c r="E991" s="6">
        <f>C991-D991</f>
        <v>-329</v>
      </c>
      <c r="F991" s="6">
        <f>IF(C991&lt;&gt;0, ((C991-D991)/C991)*100, 0)</f>
        <v>100</v>
      </c>
    </row>
    <row r="992" spans="1:6" x14ac:dyDescent="0.25">
      <c r="A992" s="2" t="s">
        <v>1428</v>
      </c>
      <c r="B992" s="2" t="s">
        <v>1429</v>
      </c>
      <c r="C992" s="6">
        <v>192950</v>
      </c>
      <c r="D992" s="6">
        <v>129177</v>
      </c>
      <c r="E992" s="6">
        <f>C992-D992</f>
        <v>63773</v>
      </c>
      <c r="F992" s="6">
        <f>IF(C992&lt;&gt;0, ((C992-D992)/C992)*100, 0)</f>
        <v>33.05156776366934</v>
      </c>
    </row>
    <row r="993" spans="1:6" x14ac:dyDescent="0.25">
      <c r="A993" s="2" t="s">
        <v>1430</v>
      </c>
      <c r="B993" s="2" t="s">
        <v>1430</v>
      </c>
      <c r="C993" s="6">
        <v>122954898.55</v>
      </c>
      <c r="D993" s="6">
        <v>94110315.420000002</v>
      </c>
      <c r="E993" s="6">
        <f>C993-D993</f>
        <v>28844583.129999995</v>
      </c>
      <c r="F993" s="6">
        <f>IF(C993&lt;&gt;0, ((C993-D993)/C993)*100, 0)</f>
        <v>23.459482680366943</v>
      </c>
    </row>
    <row r="994" spans="1:6" x14ac:dyDescent="0.25">
      <c r="A994" s="2" t="s">
        <v>1431</v>
      </c>
      <c r="B994" s="2" t="s">
        <v>1432</v>
      </c>
      <c r="C994" s="6">
        <v>3282665</v>
      </c>
      <c r="D994" s="6">
        <v>2774040</v>
      </c>
      <c r="E994" s="6">
        <f>C994-D994</f>
        <v>508625</v>
      </c>
      <c r="F994" s="6">
        <f>IF(C994&lt;&gt;0, ((C994-D994)/C994)*100, 0)</f>
        <v>15.494270661185347</v>
      </c>
    </row>
    <row r="995" spans="1:6" x14ac:dyDescent="0.25">
      <c r="A995" s="2" t="s">
        <v>1433</v>
      </c>
      <c r="B995" s="2" t="s">
        <v>1433</v>
      </c>
      <c r="C995" s="6">
        <v>104134500.75</v>
      </c>
      <c r="D995" s="6">
        <v>84152583.780000001</v>
      </c>
      <c r="E995" s="6">
        <f>C995-D995</f>
        <v>19981916.969999999</v>
      </c>
      <c r="F995" s="6">
        <f>IF(C995&lt;&gt;0, ((C995-D995)/C995)*100, 0)</f>
        <v>19.188565582094078</v>
      </c>
    </row>
    <row r="996" spans="1:6" x14ac:dyDescent="0.25">
      <c r="A996" s="2" t="s">
        <v>1434</v>
      </c>
      <c r="B996" s="2" t="s">
        <v>1435</v>
      </c>
      <c r="C996" s="6">
        <v>78250</v>
      </c>
      <c r="D996" s="6">
        <v>66191.23</v>
      </c>
      <c r="E996" s="6">
        <f>C996-D996</f>
        <v>12058.770000000004</v>
      </c>
      <c r="F996" s="6">
        <f>IF(C996&lt;&gt;0, ((C996-D996)/C996)*100, 0)</f>
        <v>15.410568690095852</v>
      </c>
    </row>
    <row r="997" spans="1:6" x14ac:dyDescent="0.25">
      <c r="A997" s="2" t="s">
        <v>1436</v>
      </c>
      <c r="B997" s="2" t="s">
        <v>1436</v>
      </c>
      <c r="C997" s="6">
        <v>8690</v>
      </c>
      <c r="D997" s="6">
        <v>7120</v>
      </c>
      <c r="E997" s="6">
        <f>C997-D997</f>
        <v>1570</v>
      </c>
      <c r="F997" s="6">
        <f>IF(C997&lt;&gt;0, ((C997-D997)/C997)*100, 0)</f>
        <v>18.066743383199078</v>
      </c>
    </row>
    <row r="998" spans="1:6" x14ac:dyDescent="0.25">
      <c r="A998" s="2" t="s">
        <v>1437</v>
      </c>
      <c r="B998" s="2" t="s">
        <v>1437</v>
      </c>
      <c r="C998" s="6">
        <v>93500</v>
      </c>
      <c r="D998" s="6">
        <v>50000</v>
      </c>
      <c r="E998" s="6">
        <f>C998-D998</f>
        <v>43500</v>
      </c>
      <c r="F998" s="6">
        <f>IF(C998&lt;&gt;0, ((C998-D998)/C998)*100, 0)</f>
        <v>46.524064171122994</v>
      </c>
    </row>
    <row r="999" spans="1:6" x14ac:dyDescent="0.25">
      <c r="A999" s="2" t="s">
        <v>1438</v>
      </c>
      <c r="B999" s="2" t="s">
        <v>1438</v>
      </c>
      <c r="C999" s="6">
        <v>170785</v>
      </c>
      <c r="D999" s="6">
        <v>101868.57</v>
      </c>
      <c r="E999" s="6">
        <f>C999-D999</f>
        <v>68916.429999999993</v>
      </c>
      <c r="F999" s="6">
        <f>IF(C999&lt;&gt;0, ((C999-D999)/C999)*100, 0)</f>
        <v>40.352741751324764</v>
      </c>
    </row>
    <row r="1000" spans="1:6" x14ac:dyDescent="0.25">
      <c r="A1000" s="2" t="s">
        <v>1439</v>
      </c>
      <c r="B1000" s="2" t="s">
        <v>1439</v>
      </c>
      <c r="C1000" s="6">
        <v>-8</v>
      </c>
      <c r="E1000" s="6">
        <f>C1000-D1000</f>
        <v>-8</v>
      </c>
      <c r="F1000" s="6">
        <f>IF(C1000&lt;&gt;0, ((C1000-D1000)/C1000)*100, 0)</f>
        <v>100</v>
      </c>
    </row>
    <row r="1001" spans="1:6" x14ac:dyDescent="0.25">
      <c r="A1001" s="2" t="s">
        <v>1440</v>
      </c>
      <c r="B1001" s="2" t="s">
        <v>1441</v>
      </c>
      <c r="C1001" s="6">
        <v>1278842.17</v>
      </c>
      <c r="D1001" s="6">
        <v>1024230.58</v>
      </c>
      <c r="E1001" s="6">
        <f>C1001-D1001</f>
        <v>254611.58999999997</v>
      </c>
      <c r="F1001" s="6">
        <f>IF(C1001&lt;&gt;0, ((C1001-D1001)/C1001)*100, 0)</f>
        <v>19.909539736244387</v>
      </c>
    </row>
    <row r="1002" spans="1:6" x14ac:dyDescent="0.25">
      <c r="A1002" s="2" t="s">
        <v>1442</v>
      </c>
      <c r="B1002" s="2" t="s">
        <v>1443</v>
      </c>
      <c r="C1002" s="6">
        <v>103700</v>
      </c>
      <c r="D1002" s="6">
        <v>83500</v>
      </c>
      <c r="E1002" s="6">
        <f>C1002-D1002</f>
        <v>20200</v>
      </c>
      <c r="F1002" s="6">
        <f>IF(C1002&lt;&gt;0, ((C1002-D1002)/C1002)*100, 0)</f>
        <v>19.479267116682738</v>
      </c>
    </row>
    <row r="1003" spans="1:6" x14ac:dyDescent="0.25">
      <c r="A1003" s="2" t="s">
        <v>1444</v>
      </c>
      <c r="B1003" s="2" t="s">
        <v>1445</v>
      </c>
      <c r="C1003" s="6">
        <v>58180.800000000003</v>
      </c>
      <c r="D1003" s="6">
        <v>51946.75</v>
      </c>
      <c r="E1003" s="6">
        <f>C1003-D1003</f>
        <v>6234.0500000000029</v>
      </c>
      <c r="F1003" s="6">
        <f>IF(C1003&lt;&gt;0, ((C1003-D1003)/C1003)*100, 0)</f>
        <v>10.714960949316618</v>
      </c>
    </row>
    <row r="1004" spans="1:6" x14ac:dyDescent="0.25">
      <c r="A1004" s="2" t="s">
        <v>1446</v>
      </c>
      <c r="B1004" s="2" t="s">
        <v>1446</v>
      </c>
      <c r="C1004" s="6">
        <v>-583</v>
      </c>
      <c r="D1004" s="6">
        <v>5304.6</v>
      </c>
      <c r="E1004" s="6">
        <f>C1004-D1004</f>
        <v>-5887.6</v>
      </c>
      <c r="F1004" s="6">
        <f>IF(C1004&lt;&gt;0, ((C1004-D1004)/C1004)*100, 0)</f>
        <v>1009.8799313893654</v>
      </c>
    </row>
    <row r="1005" spans="1:6" x14ac:dyDescent="0.25">
      <c r="A1005" s="2" t="s">
        <v>1447</v>
      </c>
      <c r="B1005" s="2" t="s">
        <v>1447</v>
      </c>
      <c r="C1005" s="6">
        <v>45</v>
      </c>
      <c r="E1005" s="6">
        <f>C1005-D1005</f>
        <v>45</v>
      </c>
      <c r="F1005" s="6">
        <f>IF(C1005&lt;&gt;0, ((C1005-D1005)/C1005)*100, 0)</f>
        <v>100</v>
      </c>
    </row>
    <row r="1006" spans="1:6" x14ac:dyDescent="0.25">
      <c r="A1006" s="2" t="s">
        <v>1448</v>
      </c>
      <c r="B1006" s="2" t="s">
        <v>1449</v>
      </c>
      <c r="C1006" s="6">
        <v>381602</v>
      </c>
      <c r="D1006" s="6">
        <v>303310.48</v>
      </c>
      <c r="E1006" s="6">
        <f>C1006-D1006</f>
        <v>78291.520000000019</v>
      </c>
      <c r="F1006" s="6">
        <f>IF(C1006&lt;&gt;0, ((C1006-D1006)/C1006)*100, 0)</f>
        <v>20.516538173280018</v>
      </c>
    </row>
    <row r="1007" spans="1:6" x14ac:dyDescent="0.25">
      <c r="A1007" s="2" t="s">
        <v>1449</v>
      </c>
      <c r="B1007" s="2" t="s">
        <v>1449</v>
      </c>
      <c r="C1007" s="6">
        <v>84365</v>
      </c>
      <c r="D1007" s="6">
        <v>71156.240000000005</v>
      </c>
      <c r="E1007" s="6">
        <f>C1007-D1007</f>
        <v>13208.759999999995</v>
      </c>
      <c r="F1007" s="6">
        <f>IF(C1007&lt;&gt;0, ((C1007-D1007)/C1007)*100, 0)</f>
        <v>15.656682273454624</v>
      </c>
    </row>
    <row r="1008" spans="1:6" x14ac:dyDescent="0.25">
      <c r="A1008" s="2" t="s">
        <v>1450</v>
      </c>
      <c r="B1008" s="2" t="s">
        <v>1451</v>
      </c>
      <c r="C1008" s="6">
        <v>79798</v>
      </c>
      <c r="D1008" s="6">
        <v>69417.58</v>
      </c>
      <c r="E1008" s="6">
        <f>C1008-D1008</f>
        <v>10380.419999999998</v>
      </c>
      <c r="F1008" s="6">
        <f>IF(C1008&lt;&gt;0, ((C1008-D1008)/C1008)*100, 0)</f>
        <v>13.00837113712123</v>
      </c>
    </row>
    <row r="1009" spans="1:6" x14ac:dyDescent="0.25">
      <c r="A1009" s="2" t="s">
        <v>1452</v>
      </c>
      <c r="B1009" s="2" t="s">
        <v>1453</v>
      </c>
      <c r="E1009" s="6">
        <f>C1009-D1009</f>
        <v>0</v>
      </c>
      <c r="F1009" s="6">
        <f>IF(C1009&lt;&gt;0, ((C1009-D1009)/C1009)*100, 0)</f>
        <v>0</v>
      </c>
    </row>
    <row r="1010" spans="1:6" x14ac:dyDescent="0.25">
      <c r="A1010" s="2" t="s">
        <v>1454</v>
      </c>
      <c r="B1010" s="2" t="s">
        <v>1454</v>
      </c>
      <c r="C1010" s="6">
        <v>16991</v>
      </c>
      <c r="D1010" s="6">
        <v>12844.9</v>
      </c>
      <c r="E1010" s="6">
        <f>C1010-D1010</f>
        <v>4146.1000000000004</v>
      </c>
      <c r="F1010" s="6">
        <f>IF(C1010&lt;&gt;0, ((C1010-D1010)/C1010)*100, 0)</f>
        <v>24.40174209875817</v>
      </c>
    </row>
    <row r="1011" spans="1:6" x14ac:dyDescent="0.25">
      <c r="A1011" s="2" t="s">
        <v>1455</v>
      </c>
      <c r="B1011" s="2" t="s">
        <v>1456</v>
      </c>
      <c r="C1011" s="6">
        <v>-6</v>
      </c>
      <c r="E1011" s="6">
        <f>C1011-D1011</f>
        <v>-6</v>
      </c>
      <c r="F1011" s="6">
        <f>IF(C1011&lt;&gt;0, ((C1011-D1011)/C1011)*100, 0)</f>
        <v>100</v>
      </c>
    </row>
    <row r="1012" spans="1:6" x14ac:dyDescent="0.25">
      <c r="A1012" s="2" t="s">
        <v>1457</v>
      </c>
      <c r="B1012" s="2" t="s">
        <v>1458</v>
      </c>
      <c r="C1012" s="6">
        <v>515550.94</v>
      </c>
      <c r="D1012" s="6">
        <v>432012.72</v>
      </c>
      <c r="E1012" s="6">
        <f>C1012-D1012</f>
        <v>83538.22000000003</v>
      </c>
      <c r="F1012" s="6">
        <f>IF(C1012&lt;&gt;0, ((C1012-D1012)/C1012)*100, 0)</f>
        <v>16.203679116558302</v>
      </c>
    </row>
    <row r="1013" spans="1:6" x14ac:dyDescent="0.25">
      <c r="A1013" s="2" t="s">
        <v>1459</v>
      </c>
      <c r="B1013" s="2" t="s">
        <v>1460</v>
      </c>
      <c r="C1013" s="6">
        <v>8175</v>
      </c>
      <c r="D1013" s="6">
        <v>6475</v>
      </c>
      <c r="E1013" s="6">
        <f>C1013-D1013</f>
        <v>1700</v>
      </c>
      <c r="F1013" s="6">
        <f>IF(C1013&lt;&gt;0, ((C1013-D1013)/C1013)*100, 0)</f>
        <v>20.795107033639145</v>
      </c>
    </row>
    <row r="1014" spans="1:6" x14ac:dyDescent="0.25">
      <c r="A1014" s="2" t="s">
        <v>1461</v>
      </c>
      <c r="B1014" s="2" t="s">
        <v>1462</v>
      </c>
      <c r="C1014" s="6">
        <v>120792</v>
      </c>
      <c r="D1014" s="6">
        <v>100267.25</v>
      </c>
      <c r="E1014" s="6">
        <f>C1014-D1014</f>
        <v>20524.75</v>
      </c>
      <c r="F1014" s="6">
        <f>IF(C1014&lt;&gt;0, ((C1014-D1014)/C1014)*100, 0)</f>
        <v>16.991812371680243</v>
      </c>
    </row>
    <row r="1015" spans="1:6" x14ac:dyDescent="0.25">
      <c r="A1015" s="2" t="s">
        <v>1463</v>
      </c>
      <c r="B1015" s="2" t="s">
        <v>1464</v>
      </c>
      <c r="C1015" s="6">
        <v>7042107</v>
      </c>
      <c r="D1015" s="6">
        <v>3568511.44</v>
      </c>
      <c r="E1015" s="6">
        <f>C1015-D1015</f>
        <v>3473595.56</v>
      </c>
      <c r="F1015" s="6">
        <f>IF(C1015&lt;&gt;0, ((C1015-D1015)/C1015)*100, 0)</f>
        <v>49.326083230487697</v>
      </c>
    </row>
    <row r="1016" spans="1:6" x14ac:dyDescent="0.25">
      <c r="A1016" s="2" t="s">
        <v>1465</v>
      </c>
      <c r="B1016" s="2" t="s">
        <v>1466</v>
      </c>
      <c r="C1016" s="6">
        <v>1220187.3799999999</v>
      </c>
      <c r="D1016" s="6">
        <v>951551.09</v>
      </c>
      <c r="E1016" s="6">
        <f>C1016-D1016</f>
        <v>268636.28999999992</v>
      </c>
      <c r="F1016" s="6">
        <f>IF(C1016&lt;&gt;0, ((C1016-D1016)/C1016)*100, 0)</f>
        <v>22.015986593796761</v>
      </c>
    </row>
    <row r="1017" spans="1:6" x14ac:dyDescent="0.25">
      <c r="A1017" s="2" t="s">
        <v>1467</v>
      </c>
      <c r="B1017" s="2" t="s">
        <v>1467</v>
      </c>
      <c r="C1017" s="6">
        <v>1349465</v>
      </c>
      <c r="D1017" s="6">
        <v>1064254.69</v>
      </c>
      <c r="E1017" s="6">
        <f>C1017-D1017</f>
        <v>285210.31000000006</v>
      </c>
      <c r="F1017" s="6">
        <f>IF(C1017&lt;&gt;0, ((C1017-D1017)/C1017)*100, 0)</f>
        <v>21.135065377760821</v>
      </c>
    </row>
    <row r="1018" spans="1:6" x14ac:dyDescent="0.25">
      <c r="A1018" s="2" t="s">
        <v>1468</v>
      </c>
      <c r="B1018" s="2" t="s">
        <v>1469</v>
      </c>
      <c r="C1018" s="6">
        <v>96948</v>
      </c>
      <c r="D1018" s="6">
        <v>71569.899999999994</v>
      </c>
      <c r="E1018" s="6">
        <f>C1018-D1018</f>
        <v>25378.100000000006</v>
      </c>
      <c r="F1018" s="6">
        <f>IF(C1018&lt;&gt;0, ((C1018-D1018)/C1018)*100, 0)</f>
        <v>26.177022733836701</v>
      </c>
    </row>
    <row r="1019" spans="1:6" x14ac:dyDescent="0.25">
      <c r="A1019" s="2" t="s">
        <v>1470</v>
      </c>
      <c r="B1019" s="2" t="s">
        <v>1471</v>
      </c>
      <c r="C1019" s="6">
        <v>16800</v>
      </c>
      <c r="D1019" s="6">
        <v>13935</v>
      </c>
      <c r="E1019" s="6">
        <f>C1019-D1019</f>
        <v>2865</v>
      </c>
      <c r="F1019" s="6">
        <f>IF(C1019&lt;&gt;0, ((C1019-D1019)/C1019)*100, 0)</f>
        <v>17.053571428571431</v>
      </c>
    </row>
    <row r="1020" spans="1:6" x14ac:dyDescent="0.25">
      <c r="A1020" s="2" t="s">
        <v>1472</v>
      </c>
      <c r="B1020" s="2" t="s">
        <v>1472</v>
      </c>
      <c r="C1020" s="6">
        <v>6000</v>
      </c>
      <c r="D1020" s="6">
        <v>4963.8</v>
      </c>
      <c r="E1020" s="6">
        <f>C1020-D1020</f>
        <v>1036.1999999999998</v>
      </c>
      <c r="F1020" s="6">
        <f>IF(C1020&lt;&gt;0, ((C1020-D1020)/C1020)*100, 0)</f>
        <v>17.269999999999996</v>
      </c>
    </row>
    <row r="1021" spans="1:6" x14ac:dyDescent="0.25">
      <c r="A1021" s="2" t="s">
        <v>1473</v>
      </c>
      <c r="B1021" s="2" t="s">
        <v>1474</v>
      </c>
      <c r="C1021" s="6">
        <v>594854</v>
      </c>
      <c r="D1021" s="6">
        <v>466131.69</v>
      </c>
      <c r="E1021" s="6">
        <f>C1021-D1021</f>
        <v>128722.31</v>
      </c>
      <c r="F1021" s="6">
        <f>IF(C1021&lt;&gt;0, ((C1021-D1021)/C1021)*100, 0)</f>
        <v>21.639311494921444</v>
      </c>
    </row>
    <row r="1022" spans="1:6" x14ac:dyDescent="0.25">
      <c r="A1022" s="2" t="s">
        <v>1475</v>
      </c>
      <c r="B1022" s="2" t="s">
        <v>1476</v>
      </c>
      <c r="C1022" s="6">
        <v>9800</v>
      </c>
      <c r="D1022" s="6">
        <v>7840</v>
      </c>
      <c r="E1022" s="6">
        <f>C1022-D1022</f>
        <v>1960</v>
      </c>
      <c r="F1022" s="6">
        <f>IF(C1022&lt;&gt;0, ((C1022-D1022)/C1022)*100, 0)</f>
        <v>20</v>
      </c>
    </row>
    <row r="1023" spans="1:6" x14ac:dyDescent="0.25">
      <c r="A1023" s="2" t="s">
        <v>1477</v>
      </c>
      <c r="B1023" s="2" t="s">
        <v>1478</v>
      </c>
      <c r="C1023" s="6">
        <v>189940</v>
      </c>
      <c r="D1023" s="6">
        <v>156297.44</v>
      </c>
      <c r="E1023" s="6">
        <f>C1023-D1023</f>
        <v>33642.559999999998</v>
      </c>
      <c r="F1023" s="6">
        <f>IF(C1023&lt;&gt;0, ((C1023-D1023)/C1023)*100, 0)</f>
        <v>17.712203853848582</v>
      </c>
    </row>
    <row r="1024" spans="1:6" x14ac:dyDescent="0.25">
      <c r="A1024" s="2" t="s">
        <v>1479</v>
      </c>
      <c r="B1024" s="2" t="s">
        <v>1479</v>
      </c>
      <c r="C1024" s="6">
        <v>2844767.6</v>
      </c>
      <c r="E1024" s="6">
        <f>C1024-D1024</f>
        <v>2844767.6</v>
      </c>
      <c r="F1024" s="6">
        <f>IF(C1024&lt;&gt;0, ((C1024-D1024)/C1024)*100, 0)</f>
        <v>100</v>
      </c>
    </row>
    <row r="1025" spans="1:6" x14ac:dyDescent="0.25">
      <c r="A1025" s="2" t="s">
        <v>1480</v>
      </c>
      <c r="B1025" s="2" t="s">
        <v>1480</v>
      </c>
      <c r="C1025" s="6">
        <v>-12</v>
      </c>
      <c r="E1025" s="6">
        <f>C1025-D1025</f>
        <v>-12</v>
      </c>
      <c r="F1025" s="6">
        <f>IF(C1025&lt;&gt;0, ((C1025-D1025)/C1025)*100, 0)</f>
        <v>100</v>
      </c>
    </row>
    <row r="1026" spans="1:6" x14ac:dyDescent="0.25">
      <c r="A1026" s="2" t="s">
        <v>1481</v>
      </c>
      <c r="B1026" s="2" t="s">
        <v>1481</v>
      </c>
      <c r="C1026" s="6">
        <v>54579</v>
      </c>
      <c r="D1026" s="6">
        <v>48176.77</v>
      </c>
      <c r="E1026" s="6">
        <f>C1026-D1026</f>
        <v>6402.2300000000032</v>
      </c>
      <c r="F1026" s="6">
        <f>IF(C1026&lt;&gt;0, ((C1026-D1026)/C1026)*100, 0)</f>
        <v>11.730207588999438</v>
      </c>
    </row>
    <row r="1027" spans="1:6" x14ac:dyDescent="0.25">
      <c r="A1027" s="2" t="s">
        <v>1482</v>
      </c>
      <c r="B1027" s="2" t="s">
        <v>1482</v>
      </c>
      <c r="C1027" s="6">
        <v>3879804</v>
      </c>
      <c r="D1027" s="6">
        <v>3289758.92</v>
      </c>
      <c r="E1027" s="6">
        <f>C1027-D1027</f>
        <v>590045.08000000007</v>
      </c>
      <c r="F1027" s="6">
        <f>IF(C1027&lt;&gt;0, ((C1027-D1027)/C1027)*100, 0)</f>
        <v>15.20811566769868</v>
      </c>
    </row>
    <row r="1028" spans="1:6" x14ac:dyDescent="0.25">
      <c r="A1028" s="2" t="s">
        <v>1483</v>
      </c>
      <c r="B1028" s="2" t="s">
        <v>1483</v>
      </c>
      <c r="C1028" s="6">
        <v>-275</v>
      </c>
      <c r="E1028" s="6">
        <f>C1028-D1028</f>
        <v>-275</v>
      </c>
      <c r="F1028" s="6">
        <f>IF(C1028&lt;&gt;0, ((C1028-D1028)/C1028)*100, 0)</f>
        <v>100</v>
      </c>
    </row>
    <row r="1029" spans="1:6" x14ac:dyDescent="0.25">
      <c r="A1029" s="2" t="s">
        <v>1484</v>
      </c>
      <c r="B1029" s="2" t="s">
        <v>1484</v>
      </c>
      <c r="C1029" s="6">
        <v>-12</v>
      </c>
      <c r="E1029" s="6">
        <f>C1029-D1029</f>
        <v>-12</v>
      </c>
      <c r="F1029" s="6">
        <f>IF(C1029&lt;&gt;0, ((C1029-D1029)/C1029)*100, 0)</f>
        <v>100</v>
      </c>
    </row>
    <row r="1030" spans="1:6" x14ac:dyDescent="0.25">
      <c r="A1030" s="2" t="s">
        <v>1485</v>
      </c>
      <c r="B1030" s="2" t="s">
        <v>1485</v>
      </c>
      <c r="C1030" s="6">
        <v>279370</v>
      </c>
      <c r="D1030" s="6">
        <v>228979.13</v>
      </c>
      <c r="E1030" s="6">
        <f>C1030-D1030</f>
        <v>50390.869999999995</v>
      </c>
      <c r="F1030" s="6">
        <f>IF(C1030&lt;&gt;0, ((C1030-D1030)/C1030)*100, 0)</f>
        <v>18.037323263056159</v>
      </c>
    </row>
    <row r="1031" spans="1:6" x14ac:dyDescent="0.25">
      <c r="A1031" s="2" t="s">
        <v>1486</v>
      </c>
      <c r="B1031" s="2" t="s">
        <v>1486</v>
      </c>
      <c r="C1031" s="6">
        <v>134330</v>
      </c>
      <c r="D1031" s="6">
        <v>113353.1</v>
      </c>
      <c r="E1031" s="6">
        <f>C1031-D1031</f>
        <v>20976.899999999994</v>
      </c>
      <c r="F1031" s="6">
        <f>IF(C1031&lt;&gt;0, ((C1031-D1031)/C1031)*100, 0)</f>
        <v>15.615945805106824</v>
      </c>
    </row>
    <row r="1032" spans="1:6" x14ac:dyDescent="0.25">
      <c r="A1032" s="2" t="s">
        <v>1487</v>
      </c>
      <c r="B1032" s="2" t="s">
        <v>1487</v>
      </c>
      <c r="C1032" s="6">
        <v>100691</v>
      </c>
      <c r="D1032" s="6">
        <v>91722.86</v>
      </c>
      <c r="E1032" s="6">
        <f>C1032-D1032</f>
        <v>8968.14</v>
      </c>
      <c r="F1032" s="6">
        <f>IF(C1032&lt;&gt;0, ((C1032-D1032)/C1032)*100, 0)</f>
        <v>8.9065954256090407</v>
      </c>
    </row>
    <row r="1033" spans="1:6" x14ac:dyDescent="0.25">
      <c r="A1033" s="2" t="s">
        <v>1488</v>
      </c>
      <c r="B1033" s="2" t="s">
        <v>1489</v>
      </c>
      <c r="C1033" s="6">
        <v>448520</v>
      </c>
      <c r="D1033" s="6">
        <v>387440</v>
      </c>
      <c r="E1033" s="6">
        <f>C1033-D1033</f>
        <v>61080</v>
      </c>
      <c r="F1033" s="6">
        <f>IF(C1033&lt;&gt;0, ((C1033-D1033)/C1033)*100, 0)</f>
        <v>13.618121822884152</v>
      </c>
    </row>
    <row r="1034" spans="1:6" x14ac:dyDescent="0.25">
      <c r="A1034" s="2" t="s">
        <v>1490</v>
      </c>
      <c r="B1034" s="2" t="s">
        <v>1491</v>
      </c>
      <c r="C1034" s="6">
        <v>5455</v>
      </c>
      <c r="D1034" s="6">
        <v>4645</v>
      </c>
      <c r="E1034" s="6">
        <f>C1034-D1034</f>
        <v>810</v>
      </c>
      <c r="F1034" s="6">
        <f>IF(C1034&lt;&gt;0, ((C1034-D1034)/C1034)*100, 0)</f>
        <v>14.848762603116409</v>
      </c>
    </row>
    <row r="1035" spans="1:6" x14ac:dyDescent="0.25">
      <c r="A1035" s="2" t="s">
        <v>1492</v>
      </c>
      <c r="B1035" s="2" t="s">
        <v>1492</v>
      </c>
      <c r="C1035" s="6">
        <v>86850</v>
      </c>
      <c r="D1035" s="6">
        <v>80790</v>
      </c>
      <c r="E1035" s="6">
        <f>C1035-D1035</f>
        <v>6060</v>
      </c>
      <c r="F1035" s="6">
        <f>IF(C1035&lt;&gt;0, ((C1035-D1035)/C1035)*100, 0)</f>
        <v>6.9775474956822112</v>
      </c>
    </row>
    <row r="1036" spans="1:6" x14ac:dyDescent="0.25">
      <c r="A1036" s="2" t="s">
        <v>1493</v>
      </c>
      <c r="B1036" s="2" t="s">
        <v>1494</v>
      </c>
      <c r="C1036" s="6">
        <v>48666</v>
      </c>
      <c r="D1036" s="6">
        <v>33074</v>
      </c>
      <c r="E1036" s="6">
        <f>C1036-D1036</f>
        <v>15592</v>
      </c>
      <c r="F1036" s="6">
        <f>IF(C1036&lt;&gt;0, ((C1036-D1036)/C1036)*100, 0)</f>
        <v>32.038795051987009</v>
      </c>
    </row>
    <row r="1037" spans="1:6" x14ac:dyDescent="0.25">
      <c r="A1037" s="2" t="s">
        <v>1495</v>
      </c>
      <c r="B1037" s="2" t="s">
        <v>1495</v>
      </c>
      <c r="C1037" s="6">
        <v>-4</v>
      </c>
      <c r="E1037" s="6">
        <f>C1037-D1037</f>
        <v>-4</v>
      </c>
      <c r="F1037" s="6">
        <f>IF(C1037&lt;&gt;0, ((C1037-D1037)/C1037)*100, 0)</f>
        <v>100</v>
      </c>
    </row>
    <row r="1038" spans="1:6" x14ac:dyDescent="0.25">
      <c r="A1038" s="2" t="s">
        <v>1496</v>
      </c>
      <c r="B1038" s="2" t="s">
        <v>1497</v>
      </c>
      <c r="C1038" s="6">
        <v>5170</v>
      </c>
      <c r="D1038" s="6">
        <v>4342.6000000000004</v>
      </c>
      <c r="E1038" s="6">
        <f>C1038-D1038</f>
        <v>827.39999999999964</v>
      </c>
      <c r="F1038" s="6">
        <f>IF(C1038&lt;&gt;0, ((C1038-D1038)/C1038)*100, 0)</f>
        <v>16.003868471953574</v>
      </c>
    </row>
    <row r="1039" spans="1:6" x14ac:dyDescent="0.25">
      <c r="A1039" s="2" t="s">
        <v>1498</v>
      </c>
      <c r="B1039" s="2" t="s">
        <v>1499</v>
      </c>
      <c r="C1039" s="6">
        <v>11160</v>
      </c>
      <c r="E1039" s="6">
        <f>C1039-D1039</f>
        <v>11160</v>
      </c>
      <c r="F1039" s="6">
        <f>IF(C1039&lt;&gt;0, ((C1039-D1039)/C1039)*100, 0)</f>
        <v>100</v>
      </c>
    </row>
    <row r="1040" spans="1:6" x14ac:dyDescent="0.25">
      <c r="A1040" s="2" t="s">
        <v>1500</v>
      </c>
      <c r="B1040" s="2" t="s">
        <v>1501</v>
      </c>
      <c r="C1040" s="6">
        <v>174044</v>
      </c>
      <c r="D1040" s="6">
        <v>143715.5</v>
      </c>
      <c r="E1040" s="6">
        <f>C1040-D1040</f>
        <v>30328.5</v>
      </c>
      <c r="F1040" s="6">
        <f>IF(C1040&lt;&gt;0, ((C1040-D1040)/C1040)*100, 0)</f>
        <v>17.425765898278598</v>
      </c>
    </row>
    <row r="1041" spans="1:6" x14ac:dyDescent="0.25">
      <c r="A1041" s="2" t="s">
        <v>1502</v>
      </c>
      <c r="B1041" s="2" t="s">
        <v>1503</v>
      </c>
      <c r="C1041" s="6">
        <v>51455</v>
      </c>
      <c r="D1041" s="6">
        <v>41416</v>
      </c>
      <c r="E1041" s="6">
        <f>C1041-D1041</f>
        <v>10039</v>
      </c>
      <c r="F1041" s="6">
        <f>IF(C1041&lt;&gt;0, ((C1041-D1041)/C1041)*100, 0)</f>
        <v>19.510251676221941</v>
      </c>
    </row>
    <row r="1042" spans="1:6" x14ac:dyDescent="0.25">
      <c r="A1042" s="2" t="s">
        <v>1504</v>
      </c>
      <c r="B1042" s="2" t="s">
        <v>1505</v>
      </c>
      <c r="C1042" s="6">
        <v>12875428.32</v>
      </c>
      <c r="D1042" s="6">
        <v>10119211.98</v>
      </c>
      <c r="E1042" s="6">
        <f>C1042-D1042</f>
        <v>2756216.34</v>
      </c>
      <c r="F1042" s="6">
        <f>IF(C1042&lt;&gt;0, ((C1042-D1042)/C1042)*100, 0)</f>
        <v>21.406793401339829</v>
      </c>
    </row>
    <row r="1043" spans="1:6" x14ac:dyDescent="0.25">
      <c r="A1043" s="2" t="s">
        <v>1506</v>
      </c>
      <c r="B1043" s="2" t="s">
        <v>1506</v>
      </c>
      <c r="C1043" s="6">
        <v>33297684.420000002</v>
      </c>
      <c r="D1043" s="6">
        <v>26736000.149999999</v>
      </c>
      <c r="E1043" s="6">
        <f>C1043-D1043</f>
        <v>6561684.2700000033</v>
      </c>
      <c r="F1043" s="6">
        <f>IF(C1043&lt;&gt;0, ((C1043-D1043)/C1043)*100, 0)</f>
        <v>19.706127871338637</v>
      </c>
    </row>
    <row r="1044" spans="1:6" x14ac:dyDescent="0.25">
      <c r="A1044" s="2" t="s">
        <v>1507</v>
      </c>
      <c r="B1044" s="2" t="s">
        <v>1507</v>
      </c>
      <c r="C1044" s="6">
        <v>176070962.19999999</v>
      </c>
      <c r="D1044" s="6">
        <v>137602310.03999999</v>
      </c>
      <c r="E1044" s="6">
        <f>C1044-D1044</f>
        <v>38468652.159999996</v>
      </c>
      <c r="F1044" s="6">
        <f>IF(C1044&lt;&gt;0, ((C1044-D1044)/C1044)*100, 0)</f>
        <v>21.848379584762672</v>
      </c>
    </row>
    <row r="1045" spans="1:6" x14ac:dyDescent="0.25">
      <c r="A1045" s="2" t="s">
        <v>1508</v>
      </c>
      <c r="B1045" s="2" t="s">
        <v>1508</v>
      </c>
      <c r="C1045" s="6">
        <v>60000</v>
      </c>
      <c r="D1045" s="6">
        <v>52500</v>
      </c>
      <c r="E1045" s="6">
        <f>C1045-D1045</f>
        <v>7500</v>
      </c>
      <c r="F1045" s="6">
        <f>IF(C1045&lt;&gt;0, ((C1045-D1045)/C1045)*100, 0)</f>
        <v>12.5</v>
      </c>
    </row>
    <row r="1046" spans="1:6" x14ac:dyDescent="0.25">
      <c r="A1046" s="2" t="s">
        <v>1509</v>
      </c>
      <c r="B1046" s="2" t="s">
        <v>1509</v>
      </c>
      <c r="C1046" s="6">
        <v>156626</v>
      </c>
      <c r="D1046" s="6">
        <v>138000</v>
      </c>
      <c r="E1046" s="6">
        <f>C1046-D1046</f>
        <v>18626</v>
      </c>
      <c r="F1046" s="6">
        <f>IF(C1046&lt;&gt;0, ((C1046-D1046)/C1046)*100, 0)</f>
        <v>11.892023035766732</v>
      </c>
    </row>
    <row r="1047" spans="1:6" x14ac:dyDescent="0.25">
      <c r="A1047" s="2" t="s">
        <v>1510</v>
      </c>
      <c r="B1047" s="2" t="s">
        <v>1511</v>
      </c>
      <c r="C1047" s="6">
        <v>577180</v>
      </c>
      <c r="D1047" s="6">
        <v>398485</v>
      </c>
      <c r="E1047" s="6">
        <f>C1047-D1047</f>
        <v>178695</v>
      </c>
      <c r="F1047" s="6">
        <f>IF(C1047&lt;&gt;0, ((C1047-D1047)/C1047)*100, 0)</f>
        <v>30.960012474444714</v>
      </c>
    </row>
    <row r="1048" spans="1:6" x14ac:dyDescent="0.25">
      <c r="A1048" s="2" t="s">
        <v>1512</v>
      </c>
      <c r="B1048" s="2" t="s">
        <v>1513</v>
      </c>
      <c r="C1048" s="6">
        <v>6201092.9000000004</v>
      </c>
      <c r="D1048" s="6">
        <v>4991324.1600000001</v>
      </c>
      <c r="E1048" s="6">
        <f>C1048-D1048</f>
        <v>1209768.7400000002</v>
      </c>
      <c r="F1048" s="6">
        <f>IF(C1048&lt;&gt;0, ((C1048-D1048)/C1048)*100, 0)</f>
        <v>19.508960106048406</v>
      </c>
    </row>
    <row r="1049" spans="1:6" x14ac:dyDescent="0.25">
      <c r="A1049" s="2" t="s">
        <v>1514</v>
      </c>
      <c r="B1049" s="2" t="s">
        <v>1514</v>
      </c>
      <c r="C1049" s="6">
        <v>101189.86</v>
      </c>
      <c r="D1049" s="6">
        <v>87258.48</v>
      </c>
      <c r="E1049" s="6">
        <f>C1049-D1049</f>
        <v>13931.380000000005</v>
      </c>
      <c r="F1049" s="6">
        <f>IF(C1049&lt;&gt;0, ((C1049-D1049)/C1049)*100, 0)</f>
        <v>13.767565248138503</v>
      </c>
    </row>
    <row r="1050" spans="1:6" x14ac:dyDescent="0.25">
      <c r="A1050" s="2" t="s">
        <v>1515</v>
      </c>
      <c r="B1050" s="2" t="s">
        <v>1516</v>
      </c>
      <c r="C1050" s="6">
        <v>841650</v>
      </c>
      <c r="D1050" s="6">
        <v>745496.6</v>
      </c>
      <c r="E1050" s="6">
        <f>C1050-D1050</f>
        <v>96153.400000000023</v>
      </c>
      <c r="F1050" s="6">
        <f>IF(C1050&lt;&gt;0, ((C1050-D1050)/C1050)*100, 0)</f>
        <v>11.424392562228958</v>
      </c>
    </row>
    <row r="1051" spans="1:6" x14ac:dyDescent="0.25">
      <c r="A1051" s="2" t="s">
        <v>1517</v>
      </c>
      <c r="B1051" s="2" t="s">
        <v>1518</v>
      </c>
      <c r="C1051" s="6">
        <v>-260</v>
      </c>
      <c r="E1051" s="6">
        <f>C1051-D1051</f>
        <v>-260</v>
      </c>
      <c r="F1051" s="6">
        <f>IF(C1051&lt;&gt;0, ((C1051-D1051)/C1051)*100, 0)</f>
        <v>100</v>
      </c>
    </row>
    <row r="1052" spans="1:6" x14ac:dyDescent="0.25">
      <c r="A1052" s="2" t="s">
        <v>1519</v>
      </c>
      <c r="B1052" s="2" t="s">
        <v>1520</v>
      </c>
      <c r="C1052" s="6">
        <v>83400</v>
      </c>
      <c r="D1052" s="6">
        <v>69000</v>
      </c>
      <c r="E1052" s="6">
        <f>C1052-D1052</f>
        <v>14400</v>
      </c>
      <c r="F1052" s="6">
        <f>IF(C1052&lt;&gt;0, ((C1052-D1052)/C1052)*100, 0)</f>
        <v>17.266187050359711</v>
      </c>
    </row>
    <row r="1053" spans="1:6" x14ac:dyDescent="0.25">
      <c r="A1053" s="2" t="s">
        <v>1521</v>
      </c>
      <c r="B1053" s="2" t="s">
        <v>1521</v>
      </c>
      <c r="C1053" s="6">
        <v>57564</v>
      </c>
      <c r="D1053" s="6">
        <v>46765.599999999999</v>
      </c>
      <c r="E1053" s="6">
        <f>C1053-D1053</f>
        <v>10798.400000000001</v>
      </c>
      <c r="F1053" s="6">
        <f>IF(C1053&lt;&gt;0, ((C1053-D1053)/C1053)*100, 0)</f>
        <v>18.758946563824615</v>
      </c>
    </row>
    <row r="1054" spans="1:6" x14ac:dyDescent="0.25">
      <c r="A1054" s="2" t="s">
        <v>1522</v>
      </c>
      <c r="B1054" s="2" t="s">
        <v>1522</v>
      </c>
      <c r="C1054" s="6">
        <v>75707</v>
      </c>
      <c r="D1054" s="6">
        <v>40883</v>
      </c>
      <c r="E1054" s="6">
        <f>C1054-D1054</f>
        <v>34824</v>
      </c>
      <c r="F1054" s="6">
        <f>IF(C1054&lt;&gt;0, ((C1054-D1054)/C1054)*100, 0)</f>
        <v>45.998388524178743</v>
      </c>
    </row>
    <row r="1055" spans="1:6" x14ac:dyDescent="0.25">
      <c r="A1055" s="2" t="s">
        <v>1523</v>
      </c>
      <c r="B1055" s="2" t="s">
        <v>1523</v>
      </c>
      <c r="C1055" s="6">
        <v>64687089.030000001</v>
      </c>
      <c r="D1055" s="6">
        <v>51766817.460000001</v>
      </c>
      <c r="E1055" s="6">
        <f>C1055-D1055</f>
        <v>12920271.57</v>
      </c>
      <c r="F1055" s="6">
        <f>IF(C1055&lt;&gt;0, ((C1055-D1055)/C1055)*100, 0)</f>
        <v>19.973493573049719</v>
      </c>
    </row>
    <row r="1056" spans="1:6" x14ac:dyDescent="0.25">
      <c r="A1056" s="2" t="s">
        <v>1524</v>
      </c>
      <c r="B1056" s="2" t="s">
        <v>1524</v>
      </c>
      <c r="C1056" s="6">
        <v>1012856893.45</v>
      </c>
      <c r="D1056" s="6">
        <v>919408195.35000002</v>
      </c>
      <c r="E1056" s="6">
        <f>C1056-D1056</f>
        <v>93448698.100000024</v>
      </c>
      <c r="F1056" s="6">
        <f>IF(C1056&lt;&gt;0, ((C1056-D1056)/C1056)*100, 0)</f>
        <v>9.2262489108105328</v>
      </c>
    </row>
    <row r="1057" spans="1:6" x14ac:dyDescent="0.25">
      <c r="A1057" s="2" t="s">
        <v>1525</v>
      </c>
      <c r="B1057" s="2" t="s">
        <v>1525</v>
      </c>
      <c r="C1057" s="6">
        <v>23435416.699999999</v>
      </c>
      <c r="D1057" s="6">
        <v>18654208.809999999</v>
      </c>
      <c r="E1057" s="6">
        <f>C1057-D1057</f>
        <v>4781207.8900000006</v>
      </c>
      <c r="F1057" s="6">
        <f>IF(C1057&lt;&gt;0, ((C1057-D1057)/C1057)*100, 0)</f>
        <v>20.401633780209256</v>
      </c>
    </row>
    <row r="1058" spans="1:6" x14ac:dyDescent="0.25">
      <c r="A1058" s="2" t="s">
        <v>1526</v>
      </c>
      <c r="B1058" s="2" t="s">
        <v>1526</v>
      </c>
      <c r="C1058" s="6">
        <v>87500</v>
      </c>
      <c r="D1058" s="6">
        <v>85750</v>
      </c>
      <c r="E1058" s="6">
        <f>C1058-D1058</f>
        <v>1750</v>
      </c>
      <c r="F1058" s="6">
        <f>IF(C1058&lt;&gt;0, ((C1058-D1058)/C1058)*100, 0)</f>
        <v>2</v>
      </c>
    </row>
    <row r="1059" spans="1:6" x14ac:dyDescent="0.25">
      <c r="A1059" s="2" t="s">
        <v>1527</v>
      </c>
      <c r="B1059" s="2" t="s">
        <v>1528</v>
      </c>
      <c r="C1059" s="6">
        <v>123091</v>
      </c>
      <c r="D1059" s="6">
        <v>89817</v>
      </c>
      <c r="E1059" s="6">
        <f>C1059-D1059</f>
        <v>33274</v>
      </c>
      <c r="F1059" s="6">
        <f>IF(C1059&lt;&gt;0, ((C1059-D1059)/C1059)*100, 0)</f>
        <v>27.032033211201465</v>
      </c>
    </row>
    <row r="1060" spans="1:6" x14ac:dyDescent="0.25">
      <c r="A1060" s="2" t="s">
        <v>1529</v>
      </c>
      <c r="B1060" s="2" t="s">
        <v>1529</v>
      </c>
      <c r="C1060" s="6">
        <v>-10</v>
      </c>
      <c r="E1060" s="6">
        <f>C1060-D1060</f>
        <v>-10</v>
      </c>
      <c r="F1060" s="6">
        <f>IF(C1060&lt;&gt;0, ((C1060-D1060)/C1060)*100, 0)</f>
        <v>100</v>
      </c>
    </row>
    <row r="1061" spans="1:6" x14ac:dyDescent="0.25">
      <c r="A1061" s="2" t="s">
        <v>1530</v>
      </c>
      <c r="B1061" s="2" t="s">
        <v>1531</v>
      </c>
      <c r="C1061" s="6">
        <v>8157470.5999999996</v>
      </c>
      <c r="D1061" s="6">
        <v>6427681.1799999997</v>
      </c>
      <c r="E1061" s="6">
        <f>C1061-D1061</f>
        <v>1729789.42</v>
      </c>
      <c r="F1061" s="6">
        <f>IF(C1061&lt;&gt;0, ((C1061-D1061)/C1061)*100, 0)</f>
        <v>21.204972776733022</v>
      </c>
    </row>
    <row r="1062" spans="1:6" x14ac:dyDescent="0.25">
      <c r="A1062" s="2" t="s">
        <v>1532</v>
      </c>
      <c r="B1062" s="2" t="s">
        <v>1532</v>
      </c>
      <c r="C1062" s="6">
        <v>463090</v>
      </c>
      <c r="E1062" s="6">
        <f>C1062-D1062</f>
        <v>463090</v>
      </c>
      <c r="F1062" s="6">
        <f>IF(C1062&lt;&gt;0, ((C1062-D1062)/C1062)*100, 0)</f>
        <v>100</v>
      </c>
    </row>
    <row r="1063" spans="1:6" x14ac:dyDescent="0.25">
      <c r="A1063" s="2" t="s">
        <v>1533</v>
      </c>
      <c r="B1063" s="2" t="s">
        <v>1534</v>
      </c>
      <c r="C1063" s="6">
        <v>26482884.920000002</v>
      </c>
      <c r="D1063" s="6">
        <v>21018763.120000001</v>
      </c>
      <c r="E1063" s="6">
        <f>C1063-D1063</f>
        <v>5464121.8000000007</v>
      </c>
      <c r="F1063" s="6">
        <f>IF(C1063&lt;&gt;0, ((C1063-D1063)/C1063)*100, 0)</f>
        <v>20.632653189054452</v>
      </c>
    </row>
    <row r="1064" spans="1:6" x14ac:dyDescent="0.25">
      <c r="A1064" s="2" t="s">
        <v>1535</v>
      </c>
      <c r="B1064" s="2" t="s">
        <v>1536</v>
      </c>
      <c r="C1064" s="6">
        <v>58820</v>
      </c>
      <c r="D1064" s="6">
        <v>35538.800000000003</v>
      </c>
      <c r="E1064" s="6">
        <f>C1064-D1064</f>
        <v>23281.199999999997</v>
      </c>
      <c r="F1064" s="6">
        <f>IF(C1064&lt;&gt;0, ((C1064-D1064)/C1064)*100, 0)</f>
        <v>39.580414824889488</v>
      </c>
    </row>
    <row r="1065" spans="1:6" x14ac:dyDescent="0.25">
      <c r="A1065" s="2" t="s">
        <v>1537</v>
      </c>
      <c r="B1065" s="2" t="s">
        <v>1538</v>
      </c>
      <c r="C1065" s="6">
        <v>178000</v>
      </c>
      <c r="D1065" s="6">
        <v>138000</v>
      </c>
      <c r="E1065" s="6">
        <f>C1065-D1065</f>
        <v>40000</v>
      </c>
      <c r="F1065" s="6">
        <f>IF(C1065&lt;&gt;0, ((C1065-D1065)/C1065)*100, 0)</f>
        <v>22.471910112359549</v>
      </c>
    </row>
    <row r="1066" spans="1:6" x14ac:dyDescent="0.25">
      <c r="A1066" s="2" t="s">
        <v>1539</v>
      </c>
      <c r="B1066" s="2" t="s">
        <v>1540</v>
      </c>
      <c r="C1066" s="6">
        <v>103231077.48999999</v>
      </c>
      <c r="D1066" s="6">
        <v>82593919.609999999</v>
      </c>
      <c r="E1066" s="6">
        <f>C1066-D1066</f>
        <v>20637157.879999995</v>
      </c>
      <c r="F1066" s="6">
        <f>IF(C1066&lt;&gt;0, ((C1066-D1066)/C1066)*100, 0)</f>
        <v>19.991225880596975</v>
      </c>
    </row>
    <row r="1067" spans="1:6" x14ac:dyDescent="0.25">
      <c r="A1067" s="2" t="s">
        <v>1541</v>
      </c>
      <c r="B1067" s="2" t="s">
        <v>1542</v>
      </c>
      <c r="C1067" s="6">
        <v>22790</v>
      </c>
      <c r="D1067" s="6">
        <v>19067</v>
      </c>
      <c r="E1067" s="6">
        <f>C1067-D1067</f>
        <v>3723</v>
      </c>
      <c r="F1067" s="6">
        <f>IF(C1067&lt;&gt;0, ((C1067-D1067)/C1067)*100, 0)</f>
        <v>16.336112329969286</v>
      </c>
    </row>
    <row r="1068" spans="1:6" x14ac:dyDescent="0.25">
      <c r="A1068" s="2" t="s">
        <v>1543</v>
      </c>
      <c r="B1068" s="2" t="s">
        <v>1544</v>
      </c>
      <c r="C1068" s="6">
        <v>3245</v>
      </c>
      <c r="D1068" s="6">
        <v>2590</v>
      </c>
      <c r="E1068" s="6">
        <f>C1068-D1068</f>
        <v>655</v>
      </c>
      <c r="F1068" s="6">
        <f>IF(C1068&lt;&gt;0, ((C1068-D1068)/C1068)*100, 0)</f>
        <v>20.184899845916796</v>
      </c>
    </row>
    <row r="1069" spans="1:6" x14ac:dyDescent="0.25">
      <c r="A1069" s="2" t="s">
        <v>1545</v>
      </c>
      <c r="B1069" s="2" t="s">
        <v>1545</v>
      </c>
      <c r="C1069" s="6">
        <v>-559</v>
      </c>
      <c r="E1069" s="6">
        <f>C1069-D1069</f>
        <v>-559</v>
      </c>
      <c r="F1069" s="6">
        <f>IF(C1069&lt;&gt;0, ((C1069-D1069)/C1069)*100, 0)</f>
        <v>100</v>
      </c>
    </row>
    <row r="1070" spans="1:6" x14ac:dyDescent="0.25">
      <c r="A1070" s="2" t="s">
        <v>1546</v>
      </c>
      <c r="B1070" s="2" t="s">
        <v>1546</v>
      </c>
      <c r="C1070" s="6">
        <v>19530</v>
      </c>
      <c r="D1070" s="6">
        <v>16961.400000000001</v>
      </c>
      <c r="E1070" s="6">
        <f>C1070-D1070</f>
        <v>2568.5999999999985</v>
      </c>
      <c r="F1070" s="6">
        <f>IF(C1070&lt;&gt;0, ((C1070-D1070)/C1070)*100, 0)</f>
        <v>13.152073732718886</v>
      </c>
    </row>
    <row r="1071" spans="1:6" x14ac:dyDescent="0.25">
      <c r="A1071" s="2" t="s">
        <v>1547</v>
      </c>
      <c r="B1071" s="2" t="s">
        <v>1547</v>
      </c>
      <c r="C1071" s="6">
        <v>80662</v>
      </c>
      <c r="D1071" s="6">
        <v>7687</v>
      </c>
      <c r="E1071" s="6">
        <f>C1071-D1071</f>
        <v>72975</v>
      </c>
      <c r="F1071" s="6">
        <f>IF(C1071&lt;&gt;0, ((C1071-D1071)/C1071)*100, 0)</f>
        <v>90.470109841065181</v>
      </c>
    </row>
    <row r="1072" spans="1:6" x14ac:dyDescent="0.25">
      <c r="A1072" s="2" t="s">
        <v>1548</v>
      </c>
      <c r="B1072" s="2" t="s">
        <v>1549</v>
      </c>
      <c r="C1072" s="6">
        <v>22650</v>
      </c>
      <c r="D1072" s="6">
        <v>21400</v>
      </c>
      <c r="E1072" s="6">
        <f>C1072-D1072</f>
        <v>1250</v>
      </c>
      <c r="F1072" s="6">
        <f>IF(C1072&lt;&gt;0, ((C1072-D1072)/C1072)*100, 0)</f>
        <v>5.518763796909492</v>
      </c>
    </row>
    <row r="1073" spans="1:6" x14ac:dyDescent="0.25">
      <c r="A1073" s="2" t="s">
        <v>1550</v>
      </c>
      <c r="B1073" s="2" t="s">
        <v>1550</v>
      </c>
      <c r="C1073" s="6">
        <v>1890</v>
      </c>
      <c r="D1073" s="6">
        <v>1654.6</v>
      </c>
      <c r="E1073" s="6">
        <f>C1073-D1073</f>
        <v>235.40000000000009</v>
      </c>
      <c r="F1073" s="6">
        <f>IF(C1073&lt;&gt;0, ((C1073-D1073)/C1073)*100, 0)</f>
        <v>12.455026455026459</v>
      </c>
    </row>
    <row r="1074" spans="1:6" x14ac:dyDescent="0.25">
      <c r="A1074" s="2" t="s">
        <v>1551</v>
      </c>
      <c r="B1074" s="2" t="s">
        <v>1551</v>
      </c>
      <c r="C1074" s="6">
        <v>26375</v>
      </c>
      <c r="D1074" s="6">
        <v>23225</v>
      </c>
      <c r="E1074" s="6">
        <f>C1074-D1074</f>
        <v>3150</v>
      </c>
      <c r="F1074" s="6">
        <f>IF(C1074&lt;&gt;0, ((C1074-D1074)/C1074)*100, 0)</f>
        <v>11.943127962085308</v>
      </c>
    </row>
    <row r="1075" spans="1:6" x14ac:dyDescent="0.25">
      <c r="A1075" s="2" t="s">
        <v>1552</v>
      </c>
      <c r="B1075" s="2" t="s">
        <v>1552</v>
      </c>
      <c r="C1075" s="6">
        <v>46150</v>
      </c>
      <c r="E1075" s="6">
        <f>C1075-D1075</f>
        <v>46150</v>
      </c>
      <c r="F1075" s="6">
        <f>IF(C1075&lt;&gt;0, ((C1075-D1075)/C1075)*100, 0)</f>
        <v>100</v>
      </c>
    </row>
    <row r="1076" spans="1:6" x14ac:dyDescent="0.25">
      <c r="A1076" s="2" t="s">
        <v>1553</v>
      </c>
      <c r="B1076" s="2" t="s">
        <v>1553</v>
      </c>
      <c r="C1076" s="6">
        <v>-6</v>
      </c>
      <c r="E1076" s="6">
        <f>C1076-D1076</f>
        <v>-6</v>
      </c>
      <c r="F1076" s="6">
        <f>IF(C1076&lt;&gt;0, ((C1076-D1076)/C1076)*100, 0)</f>
        <v>100</v>
      </c>
    </row>
    <row r="1077" spans="1:6" x14ac:dyDescent="0.25">
      <c r="A1077" s="2" t="s">
        <v>1554</v>
      </c>
      <c r="B1077" s="2" t="s">
        <v>1555</v>
      </c>
      <c r="C1077" s="6">
        <v>19530</v>
      </c>
      <c r="D1077" s="6">
        <v>16961.400000000001</v>
      </c>
      <c r="E1077" s="6">
        <f>C1077-D1077</f>
        <v>2568.5999999999985</v>
      </c>
      <c r="F1077" s="6">
        <f>IF(C1077&lt;&gt;0, ((C1077-D1077)/C1077)*100, 0)</f>
        <v>13.152073732718886</v>
      </c>
    </row>
    <row r="1078" spans="1:6" x14ac:dyDescent="0.25">
      <c r="A1078" s="2" t="s">
        <v>1556</v>
      </c>
      <c r="B1078" s="2" t="s">
        <v>1556</v>
      </c>
      <c r="C1078" s="6">
        <v>37384927.659999996</v>
      </c>
      <c r="D1078" s="6">
        <v>29499023.52</v>
      </c>
      <c r="E1078" s="6">
        <f>C1078-D1078</f>
        <v>7885904.1399999969</v>
      </c>
      <c r="F1078" s="6">
        <f>IF(C1078&lt;&gt;0, ((C1078-D1078)/C1078)*100, 0)</f>
        <v>21.093806069972739</v>
      </c>
    </row>
    <row r="1079" spans="1:6" x14ac:dyDescent="0.25">
      <c r="A1079" s="2" t="s">
        <v>1557</v>
      </c>
      <c r="B1079" s="2" t="s">
        <v>1558</v>
      </c>
      <c r="C1079" s="6">
        <v>599105.6</v>
      </c>
      <c r="D1079" s="6">
        <v>473926.71</v>
      </c>
      <c r="E1079" s="6">
        <f>C1079-D1079</f>
        <v>125178.88999999996</v>
      </c>
      <c r="F1079" s="6">
        <f>IF(C1079&lt;&gt;0, ((C1079-D1079)/C1079)*100, 0)</f>
        <v>20.894294762058635</v>
      </c>
    </row>
    <row r="1080" spans="1:6" x14ac:dyDescent="0.25">
      <c r="A1080" s="2" t="s">
        <v>1559</v>
      </c>
      <c r="B1080" s="2" t="s">
        <v>1559</v>
      </c>
      <c r="C1080" s="6">
        <v>6612444.5999999996</v>
      </c>
      <c r="D1080" s="6">
        <v>5226027.84</v>
      </c>
      <c r="E1080" s="6">
        <f>C1080-D1080</f>
        <v>1386416.7599999998</v>
      </c>
      <c r="F1080" s="6">
        <f>IF(C1080&lt;&gt;0, ((C1080-D1080)/C1080)*100, 0)</f>
        <v>20.966780727357623</v>
      </c>
    </row>
    <row r="1081" spans="1:6" x14ac:dyDescent="0.25">
      <c r="A1081" s="2" t="s">
        <v>1560</v>
      </c>
      <c r="B1081" s="2" t="s">
        <v>1560</v>
      </c>
      <c r="C1081" s="6">
        <v>136620</v>
      </c>
      <c r="D1081" s="6">
        <v>124200</v>
      </c>
      <c r="E1081" s="6">
        <f>C1081-D1081</f>
        <v>12420</v>
      </c>
      <c r="F1081" s="6">
        <f>IF(C1081&lt;&gt;0, ((C1081-D1081)/C1081)*100, 0)</f>
        <v>9.0909090909090917</v>
      </c>
    </row>
    <row r="1082" spans="1:6" x14ac:dyDescent="0.25">
      <c r="A1082" s="2" t="s">
        <v>1561</v>
      </c>
      <c r="B1082" s="2" t="s">
        <v>1561</v>
      </c>
      <c r="C1082" s="6">
        <v>12270</v>
      </c>
      <c r="D1082" s="6">
        <v>7235</v>
      </c>
      <c r="E1082" s="6">
        <f>C1082-D1082</f>
        <v>5035</v>
      </c>
      <c r="F1082" s="6">
        <f>IF(C1082&lt;&gt;0, ((C1082-D1082)/C1082)*100, 0)</f>
        <v>41.035044824775873</v>
      </c>
    </row>
    <row r="1083" spans="1:6" x14ac:dyDescent="0.25">
      <c r="A1083" s="2" t="s">
        <v>1562</v>
      </c>
      <c r="B1083" s="2" t="s">
        <v>1562</v>
      </c>
      <c r="C1083" s="6">
        <v>479420</v>
      </c>
      <c r="D1083" s="6">
        <v>398792</v>
      </c>
      <c r="E1083" s="6">
        <f>C1083-D1083</f>
        <v>80628</v>
      </c>
      <c r="F1083" s="6">
        <f>IF(C1083&lt;&gt;0, ((C1083-D1083)/C1083)*100, 0)</f>
        <v>16.81782153435401</v>
      </c>
    </row>
    <row r="1084" spans="1:6" x14ac:dyDescent="0.25">
      <c r="A1084" s="2" t="s">
        <v>1563</v>
      </c>
      <c r="B1084" s="2" t="s">
        <v>1564</v>
      </c>
      <c r="C1084" s="6">
        <v>317300</v>
      </c>
      <c r="D1084" s="6">
        <v>274459.59000000003</v>
      </c>
      <c r="E1084" s="6">
        <f>C1084-D1084</f>
        <v>42840.409999999974</v>
      </c>
      <c r="F1084" s="6">
        <f>IF(C1084&lt;&gt;0, ((C1084-D1084)/C1084)*100, 0)</f>
        <v>13.501547431452876</v>
      </c>
    </row>
    <row r="1085" spans="1:6" x14ac:dyDescent="0.25">
      <c r="A1085" s="2" t="s">
        <v>1565</v>
      </c>
      <c r="B1085" s="2" t="s">
        <v>1565</v>
      </c>
      <c r="C1085" s="6">
        <v>4231146</v>
      </c>
      <c r="D1085" s="6">
        <v>3358126.56</v>
      </c>
      <c r="E1085" s="6">
        <f>C1085-D1085</f>
        <v>873019.44</v>
      </c>
      <c r="F1085" s="6">
        <f>IF(C1085&lt;&gt;0, ((C1085-D1085)/C1085)*100, 0)</f>
        <v>20.633167468104386</v>
      </c>
    </row>
    <row r="1086" spans="1:6" x14ac:dyDescent="0.25">
      <c r="A1086" s="2" t="s">
        <v>1566</v>
      </c>
      <c r="B1086" s="2" t="s">
        <v>1567</v>
      </c>
      <c r="C1086" s="6">
        <v>1387085</v>
      </c>
      <c r="D1086" s="6">
        <v>1054932.5900000001</v>
      </c>
      <c r="E1086" s="6">
        <f>C1086-D1086</f>
        <v>332152.40999999992</v>
      </c>
      <c r="F1086" s="6">
        <f>IF(C1086&lt;&gt;0, ((C1086-D1086)/C1086)*100, 0)</f>
        <v>23.946074681796713</v>
      </c>
    </row>
    <row r="1087" spans="1:6" x14ac:dyDescent="0.25">
      <c r="A1087" s="2" t="s">
        <v>1568</v>
      </c>
      <c r="B1087" s="2" t="s">
        <v>1569</v>
      </c>
      <c r="C1087" s="6">
        <v>49191.88</v>
      </c>
      <c r="D1087" s="6">
        <v>32848.199999999997</v>
      </c>
      <c r="E1087" s="6">
        <f>C1087-D1087</f>
        <v>16343.68</v>
      </c>
      <c r="F1087" s="6">
        <f>IF(C1087&lt;&gt;0, ((C1087-D1087)/C1087)*100, 0)</f>
        <v>33.224345156151792</v>
      </c>
    </row>
    <row r="1088" spans="1:6" x14ac:dyDescent="0.25">
      <c r="A1088" s="2" t="s">
        <v>1570</v>
      </c>
      <c r="B1088" s="2" t="s">
        <v>1571</v>
      </c>
      <c r="C1088" s="6">
        <v>324349</v>
      </c>
      <c r="E1088" s="6">
        <f>C1088-D1088</f>
        <v>324349</v>
      </c>
      <c r="F1088" s="6">
        <f>IF(C1088&lt;&gt;0, ((C1088-D1088)/C1088)*100, 0)</f>
        <v>100</v>
      </c>
    </row>
    <row r="1089" spans="1:6" x14ac:dyDescent="0.25">
      <c r="A1089" s="2" t="s">
        <v>1572</v>
      </c>
      <c r="B1089" s="2" t="s">
        <v>1572</v>
      </c>
      <c r="C1089" s="6">
        <v>-160</v>
      </c>
      <c r="E1089" s="6">
        <f>C1089-D1089</f>
        <v>-160</v>
      </c>
      <c r="F1089" s="6">
        <f>IF(C1089&lt;&gt;0, ((C1089-D1089)/C1089)*100, 0)</f>
        <v>100</v>
      </c>
    </row>
    <row r="1090" spans="1:6" x14ac:dyDescent="0.25">
      <c r="A1090" s="2" t="s">
        <v>1573</v>
      </c>
      <c r="B1090" s="2" t="s">
        <v>1573</v>
      </c>
      <c r="C1090" s="6">
        <v>499754</v>
      </c>
      <c r="D1090" s="6">
        <v>542415.57999999996</v>
      </c>
      <c r="E1090" s="6">
        <f>C1090-D1090</f>
        <v>-42661.579999999958</v>
      </c>
      <c r="F1090" s="6">
        <f>IF(C1090&lt;&gt;0, ((C1090-D1090)/C1090)*100, 0)</f>
        <v>-8.536515965855191</v>
      </c>
    </row>
    <row r="1091" spans="1:6" x14ac:dyDescent="0.25">
      <c r="A1091" s="2" t="s">
        <v>1574</v>
      </c>
      <c r="B1091" s="2" t="s">
        <v>1575</v>
      </c>
      <c r="C1091" s="6">
        <v>25250</v>
      </c>
      <c r="D1091" s="6">
        <v>20690</v>
      </c>
      <c r="E1091" s="6">
        <f>C1091-D1091</f>
        <v>4560</v>
      </c>
      <c r="F1091" s="6">
        <f>IF(C1091&lt;&gt;0, ((C1091-D1091)/C1091)*100, 0)</f>
        <v>18.059405940594058</v>
      </c>
    </row>
    <row r="1092" spans="1:6" x14ac:dyDescent="0.25">
      <c r="A1092" s="2" t="s">
        <v>1576</v>
      </c>
      <c r="B1092" s="2" t="s">
        <v>1576</v>
      </c>
      <c r="C1092" s="6">
        <v>128220</v>
      </c>
      <c r="D1092" s="6">
        <v>115190</v>
      </c>
      <c r="E1092" s="6">
        <f>C1092-D1092</f>
        <v>13030</v>
      </c>
      <c r="F1092" s="6">
        <f>IF(C1092&lt;&gt;0, ((C1092-D1092)/C1092)*100, 0)</f>
        <v>10.162221182342849</v>
      </c>
    </row>
    <row r="1093" spans="1:6" x14ac:dyDescent="0.25">
      <c r="A1093" s="2" t="s">
        <v>1577</v>
      </c>
      <c r="B1093" s="2" t="s">
        <v>1577</v>
      </c>
      <c r="C1093" s="6">
        <v>6100</v>
      </c>
      <c r="D1093" s="6">
        <v>5545</v>
      </c>
      <c r="E1093" s="6">
        <f>C1093-D1093</f>
        <v>555</v>
      </c>
      <c r="F1093" s="6">
        <f>IF(C1093&lt;&gt;0, ((C1093-D1093)/C1093)*100, 0)</f>
        <v>9.0983606557377055</v>
      </c>
    </row>
    <row r="1094" spans="1:6" x14ac:dyDescent="0.25">
      <c r="A1094" s="2" t="s">
        <v>1578</v>
      </c>
      <c r="B1094" s="2" t="s">
        <v>1579</v>
      </c>
      <c r="C1094" s="6">
        <v>2000</v>
      </c>
      <c r="D1094" s="6">
        <v>1654.6</v>
      </c>
      <c r="E1094" s="6">
        <f>C1094-D1094</f>
        <v>345.40000000000009</v>
      </c>
      <c r="F1094" s="6">
        <f>IF(C1094&lt;&gt;0, ((C1094-D1094)/C1094)*100, 0)</f>
        <v>17.270000000000003</v>
      </c>
    </row>
    <row r="1095" spans="1:6" customFormat="1" ht="14.5" x14ac:dyDescent="0.35">
      <c r="C1095" s="10"/>
      <c r="D1095" s="10"/>
      <c r="E1095" s="10"/>
      <c r="F1095" s="10"/>
    </row>
    <row r="1096" spans="1:6" s="4" customFormat="1" ht="12" thickBot="1" x14ac:dyDescent="0.3">
      <c r="A1096" s="3" t="s">
        <v>1580</v>
      </c>
      <c r="B1096" s="3" t="s">
        <v>1581</v>
      </c>
      <c r="C1096" s="5">
        <f>SUBTOTAL(9, C2:C1095)</f>
        <v>8258168647.2999983</v>
      </c>
      <c r="D1096" s="5">
        <f>SUBTOTAL(9, D2:D1095)</f>
        <v>6761166469.6999969</v>
      </c>
      <c r="E1096" s="5">
        <f>SUBTOTAL(9, E2:E1095)</f>
        <v>1497002177.6000004</v>
      </c>
      <c r="F1096" s="5">
        <f>IF(C1096&lt;&gt;0, ((C1096-D1096)/C1096)*100, 0)</f>
        <v>18.127532162829407</v>
      </c>
    </row>
    <row r="1097" spans="1:6" customFormat="1" ht="15.5" thickTop="1" thickBot="1" x14ac:dyDescent="0.4">
      <c r="A1097" s="11"/>
      <c r="B1097" s="11"/>
      <c r="C1097" s="12"/>
      <c r="D1097" s="12"/>
      <c r="E1097" s="12"/>
      <c r="F1097" s="12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&amp;11&amp;BCustomer Sales History&amp;B
&amp;BFor the Period From Jan 1, 2017 to Jun 30, 2026&amp;B&amp;L&amp;"Arial"&amp;12
&amp;11
&amp;"Arial"&amp;8Filter Criteria includes: Report order is by Customer ID. Report is printed in Summary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Sales History</vt:lpstr>
      <vt:lpstr>'Customer Sales History'!Print_Titles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2026-07-02T09:39:48Z</dcterms:created>
  <dcterms:modified xsi:type="dcterms:W3CDTF">2026-07-02T09:41:52Z</dcterms:modified>
</cp:coreProperties>
</file>