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E48F5269-B2BE-480B-BBFA-744B5896E312}" xr6:coauthVersionLast="47" xr6:coauthVersionMax="47" xr10:uidLastSave="{00000000-0000-0000-0000-000000000000}"/>
  <bookViews>
    <workbookView xWindow="-110" yWindow="-110" windowWidth="19420" windowHeight="10300" xr2:uid="{CE5C8F4D-896B-4E37-86DE-55C754880A4E}"/>
  </bookViews>
  <sheets>
    <sheet name="Other Outstanding Items" sheetId="1" r:id="rId1"/>
  </sheets>
  <definedNames>
    <definedName name="_xlnm.Print_Titles" localSheetId="0">'Other Outstanding Items'!$1:$1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87" i="1" l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<sst xmlns="http://schemas.openxmlformats.org/spreadsheetml/2006/main" count="16175" uniqueCount="826">
  <si>
    <t>Trans No</t>
  </si>
  <si>
    <t>Date</t>
  </si>
  <si>
    <t>Trans Desc</t>
  </si>
  <si>
    <t>Trans Amt</t>
  </si>
  <si>
    <t>Balance</t>
  </si>
  <si>
    <t>2018 Closing TB</t>
  </si>
  <si>
    <t>Being 2018 Closing Trial Balan</t>
  </si>
  <si>
    <t>ABUJA CUSTOMER</t>
  </si>
  <si>
    <t>PAID BY MUSA BEATRICE BITRUS (</t>
  </si>
  <si>
    <t>ACCOUNT LIQUIDATION</t>
  </si>
  <si>
    <t>LIQUIDATION OF FIXDED DEPOSIT</t>
  </si>
  <si>
    <t>ACCOUNT TRANSFER</t>
  </si>
  <si>
    <t>AMOUNT TRANSFER FOR DRAFT FOR</t>
  </si>
  <si>
    <t>BALANCE OF PAYMENT</t>
  </si>
  <si>
    <t>BALANCE OF BABCOCK PAYMENT (#1</t>
  </si>
  <si>
    <t>BANK  CHARGE</t>
  </si>
  <si>
    <t>STAMP DUTY CHARGE</t>
  </si>
  <si>
    <t>SMS ALERT CHARGES</t>
  </si>
  <si>
    <t>COB TRANSFER TO OGUNDOYIN **51</t>
  </si>
  <si>
    <t>SMS ALERT CHARGE</t>
  </si>
  <si>
    <t>COB TRANSFER TO OLUHARAOTU **7</t>
  </si>
  <si>
    <t>BANK CAHRGES</t>
  </si>
  <si>
    <t>COB TRF TO J0NATHAN O *82044</t>
  </si>
  <si>
    <t>COB TRF TO JONATHAN O ***PCN R</t>
  </si>
  <si>
    <t>STAMP DUTY CHARGES</t>
  </si>
  <si>
    <t>COB TRF TO ADEJOKE AD **7776 B</t>
  </si>
  <si>
    <t>COB TRF TO AKPABIO AM**0399 ME</t>
  </si>
  <si>
    <t>CHARGE FOR 2 PAGES OF STATEMEN</t>
  </si>
  <si>
    <t>COB TRF TO GLAXOSMITH **9981 P</t>
  </si>
  <si>
    <t>COB TRF TO AREMU AB***4666 WEE</t>
  </si>
  <si>
    <t>STAMP DUTY CHRAGE</t>
  </si>
  <si>
    <t>COB TRF TO SANOFI-AVE **0468 P</t>
  </si>
  <si>
    <t>CHARGE FOR FUNDS TRANSFER FORM</t>
  </si>
  <si>
    <t>NIP/SLR IFO JEGEDE TEMITOPE</t>
  </si>
  <si>
    <t>NIP/SLR IFO OBIAKOR OYINYE EST</t>
  </si>
  <si>
    <t>BANK CAHRGES1</t>
  </si>
  <si>
    <t>BANK CHAR</t>
  </si>
  <si>
    <t>GSK BANK GUARANTEE  CHARGE + V</t>
  </si>
  <si>
    <t>BANK CHARGE</t>
  </si>
  <si>
    <t>COB TRANSFER TO ALABI GIFT FOR</t>
  </si>
  <si>
    <t>COB TRANSFER TO AKINOLA CHEQUE</t>
  </si>
  <si>
    <t>COB TRANSFER TO OLUSOJI</t>
  </si>
  <si>
    <t>COB TRANSFER TO KING GLORY</t>
  </si>
  <si>
    <t>CBN STAMP DUTY CHARGE</t>
  </si>
  <si>
    <t>COB TRANSFER TO TEHILLS</t>
  </si>
  <si>
    <t>COB TRANSFER TO GLAXOSMITH</t>
  </si>
  <si>
    <t>COB TRANSFER TO T-MES ENTE GIF</t>
  </si>
  <si>
    <t>COB TRANSFER TO GLASXOSMITH</t>
  </si>
  <si>
    <t>COB TRANSFER TO ADEWALE LOAN T</t>
  </si>
  <si>
    <t>COB TRANSFER TO FAJUYITAN</t>
  </si>
  <si>
    <t>BANK CHARGES FEB 2019 SALARY</t>
  </si>
  <si>
    <t>TRF FORM CHRAGE</t>
  </si>
  <si>
    <t>STAMP DUTY</t>
  </si>
  <si>
    <t>CHARGE ON TRANSFER</t>
  </si>
  <si>
    <t>CHARGES FOR TRANSFER</t>
  </si>
  <si>
    <t>COB TRANSFER TO DANAX NIG**263</t>
  </si>
  <si>
    <t>COB TRANSFER TO AKINWA OLA **2</t>
  </si>
  <si>
    <t>COB TRANSFER TOOWEZIE VI **281</t>
  </si>
  <si>
    <t>COB TRANSFER TO IDRIS ABI**110</t>
  </si>
  <si>
    <t>COB TRANSFER TO DARAMOLA ***69</t>
  </si>
  <si>
    <t>COB TRANSFER TO RENAISSANC**53</t>
  </si>
  <si>
    <t>COB TRANSFER TO LAWAL WAS**308</t>
  </si>
  <si>
    <t>COB TRANSFER TO OLALEYE MO**49</t>
  </si>
  <si>
    <t>COB TRANSFER TO BLK PRESTI**16</t>
  </si>
  <si>
    <t>COB TRANSFER TO OJINIGBO **794</t>
  </si>
  <si>
    <t>COB TRANSFER TO BASUO AYEB**83</t>
  </si>
  <si>
    <t>COB TRANSFER TO INTERPHARM**09</t>
  </si>
  <si>
    <t>TRANSFER CHARGE</t>
  </si>
  <si>
    <t>SMS ALERT</t>
  </si>
  <si>
    <t>REF LETTER CHARGE + VAT</t>
  </si>
  <si>
    <t>COB TRANSFER TO JONATHAN **204</t>
  </si>
  <si>
    <t>COB TRANSFER TO FAJUYITAN **03</t>
  </si>
  <si>
    <t>FUNDS TRANSFER FROM CHARGE</t>
  </si>
  <si>
    <t>STAMP DUTY CHARGE \</t>
  </si>
  <si>
    <t>COB TRANSFER TO SUPPLY MED **7</t>
  </si>
  <si>
    <t>NIP/SLR ALLIOWE KABIR ABIODUN</t>
  </si>
  <si>
    <t>NIP/SLR ONIAKOR OYINYE ESTHER</t>
  </si>
  <si>
    <t>NIP/SLR JEGEDE TEMITOPE APRIL</t>
  </si>
  <si>
    <t>COB TRANSFER TO GLAXOSMITH **9</t>
  </si>
  <si>
    <t>COB TRANSFER TO GLAXOSMITH**03</t>
  </si>
  <si>
    <t>COB TRANSFER TO ONISUNA AB**65</t>
  </si>
  <si>
    <t>COB TRANSFER TO AREMU A **4666</t>
  </si>
  <si>
    <t>COB TRANSFER TO SULYMON BO**54</t>
  </si>
  <si>
    <t>COB  TRANSFER TO ALLIOWE KA**8</t>
  </si>
  <si>
    <t>COB TRANSFER TO AREMU AB**4666</t>
  </si>
  <si>
    <t>COB TRNASFER TO GLAXOSMITRH**9</t>
  </si>
  <si>
    <t>COB TRANSFER TO OREGUN FRE**77</t>
  </si>
  <si>
    <t>COB TRANSFER TO SANOFI AVE **0</t>
  </si>
  <si>
    <t>COB TRANSFER TO AREMU  AB**466</t>
  </si>
  <si>
    <t>COB TRANSFER  TOMARTIN ENI**84</t>
  </si>
  <si>
    <t>STAMP  DUTY CHARGE</t>
  </si>
  <si>
    <t>STAMP DUTY  CHARGE</t>
  </si>
  <si>
    <t>CHQ CHARGE (VAT)</t>
  </si>
  <si>
    <t>CHQ CHARGE</t>
  </si>
  <si>
    <t>NIP/IFO OBIAKOR OYINYE ESTHER</t>
  </si>
  <si>
    <t>NIP/SLR-IFO JEGEDE TEMITOPE</t>
  </si>
  <si>
    <t>NIP/SLR-IFO ALLIOWE KABIR ABIO</t>
  </si>
  <si>
    <t>COB TRANSFER TO SANOFI-AVE **0</t>
  </si>
  <si>
    <t>COB TRANSFER TO SANOFI-AVE**04</t>
  </si>
  <si>
    <t>COB TRANSFER TO PHARMACEUT**30</t>
  </si>
  <si>
    <t>COB TRANSFER TO FAJUYITAN**038</t>
  </si>
  <si>
    <t>COB TRANSFER TO GBOLAGADE **08</t>
  </si>
  <si>
    <t>NIP/SLR JEGEDE TEMITOPE VOVO 2</t>
  </si>
  <si>
    <t>NIP/TRF IFO OBIAKOR OYINYE EST</t>
  </si>
  <si>
    <t>COB TRF TO TRIDAC EN *81875 PU</t>
  </si>
  <si>
    <t>COB TRF TO GLAXOSMITH**9981 PA</t>
  </si>
  <si>
    <t>COB TRF TO AREMU ABOSEDE **466</t>
  </si>
  <si>
    <t>COB TRF TO SULYMON BO**5400 RE</t>
  </si>
  <si>
    <t>COB TRF TO SULYMON BO**5400 BA</t>
  </si>
  <si>
    <t>COB TRF TO ADEOLA O.A **3338 P</t>
  </si>
  <si>
    <t>COB TRF TO JONATHAN O **2044 F</t>
  </si>
  <si>
    <t>COB TRF TO AKPABIO AM **0399 A</t>
  </si>
  <si>
    <t>COB TRF TO SULYMON BO**5400 PA</t>
  </si>
  <si>
    <t>COB TRF TO AREMU AB**4666</t>
  </si>
  <si>
    <t>COB TRF TO AKPABIO AM **0399 G</t>
  </si>
  <si>
    <t>NIP/SLR MARCH 2021 IFO OBIAKOR</t>
  </si>
  <si>
    <t>COB TRF TO ASIMIYU MU**5550 FO</t>
  </si>
  <si>
    <t>COB TRF TO CORNERSTONE **0130</t>
  </si>
  <si>
    <t>COB TRF TO FAJUYITAN **0389 GI</t>
  </si>
  <si>
    <t>COB TRF TO TEMITOPE **8075 PAI</t>
  </si>
  <si>
    <t>COB TRF TO TVP INTERN **1016 P</t>
  </si>
  <si>
    <t>COB TRF FEMTOP INT**3484 TRANS</t>
  </si>
  <si>
    <t>COB TRF TO WANG CHAO**1214 PAY</t>
  </si>
  <si>
    <t>SMS ALERT CHARGS</t>
  </si>
  <si>
    <t>COB TRF TO ADEDIPE FO**9357 PU</t>
  </si>
  <si>
    <t>COB TRF TO ADEIPE FO**9357 PUR</t>
  </si>
  <si>
    <t>COB TRF TO TVP INTERN**1016 AD</t>
  </si>
  <si>
    <t>COB FRT TO ALAMU RIL**5280 REP</t>
  </si>
  <si>
    <t>COB TRF TO WANG CHAO **8076 PU</t>
  </si>
  <si>
    <t>COB TRF TO GLAXOSMITH **9981 B</t>
  </si>
  <si>
    <t>COB TRF TO FAJUYITAN**0389 NAF</t>
  </si>
  <si>
    <t>SMS ALERT CHRAGES</t>
  </si>
  <si>
    <t>COB TRF TO SANOFI-AVE**0468 SA</t>
  </si>
  <si>
    <t>COB TRF TO INFINITY T**7638 PU</t>
  </si>
  <si>
    <t>NIP/SLR MAY 2021 OBIAKOR OYINY</t>
  </si>
  <si>
    <t>NIP/SLR MAY 2021 OGUNMOKUN ADE</t>
  </si>
  <si>
    <t>NIP/SLR MAY 2021 ZULKHARNAIN O</t>
  </si>
  <si>
    <t>FUNDS TRANSFER FORM CHARGE</t>
  </si>
  <si>
    <t>COB TRF TO TVP INTERN **1016 B</t>
  </si>
  <si>
    <t>COB TRF TO TAIWO OLUB**0217 FO</t>
  </si>
  <si>
    <t>COB TRF TO DARAMOLA**6918 REPA</t>
  </si>
  <si>
    <t>COB TRF TO ONI OLUTUN **1462 R</t>
  </si>
  <si>
    <t>COB TRF TO GLAXOSMITH**0311 PA</t>
  </si>
  <si>
    <t>cob trf to alamu ril**5280 pur</t>
  </si>
  <si>
    <t>COB TRF TO EBHODAGHE *4155 LOA</t>
  </si>
  <si>
    <t>COB TRF TO OLOFINLADE **6864 R</t>
  </si>
  <si>
    <t>COB TRANSFER TO SANOFI- AVE **</t>
  </si>
  <si>
    <t>FUND TRANSFER FORM CHARGE</t>
  </si>
  <si>
    <t>NIP/SLR JUNE 2021 IFO OBIAKOR</t>
  </si>
  <si>
    <t>NIP/SLR JUNE 2021 IFO ZULKHARN</t>
  </si>
  <si>
    <t>NIP/SLR JUNE 2021 IFO OGUNMOKU</t>
  </si>
  <si>
    <t>COB TRF TO SANOFI AVENT**5247</t>
  </si>
  <si>
    <t>COB TRF TO ABAYOMI O***5401 NE</t>
  </si>
  <si>
    <t>COB TRF TO ADEOLA ***3338 REPA</t>
  </si>
  <si>
    <t>REF LETTER CHARGE</t>
  </si>
  <si>
    <t>VAT COLLECTION</t>
  </si>
  <si>
    <t>COB TRANSFER TO ABIDEMI **9719</t>
  </si>
  <si>
    <t>COB TRANSFER TO ABIODUN **6599</t>
  </si>
  <si>
    <t>COB TRF TO SULYMON BO **5400 P</t>
  </si>
  <si>
    <t>SMS ALERRT CHARGES</t>
  </si>
  <si>
    <t>COB TRF TO ABIMBOLA E **9238 R</t>
  </si>
  <si>
    <t>COB TRF TO ARAWANDE SEGUN**067</t>
  </si>
  <si>
    <t>SMS ALERT CHAGRES</t>
  </si>
  <si>
    <t>COB TRF TO AKINKUNMI **5700 PA</t>
  </si>
  <si>
    <t>cob trf to sanofi aven**5247 p</t>
  </si>
  <si>
    <t>COB TRF TO SANOFI AVEN**5247 P</t>
  </si>
  <si>
    <t>COB TRF TO AUSTIN OLI**8365 BE</t>
  </si>
  <si>
    <t>COB TRF</t>
  </si>
  <si>
    <t>COB TRF TO FINE SPECT**2549 BA</t>
  </si>
  <si>
    <t>NIP/ OCT SLR IFO ZULKHARNAIN O</t>
  </si>
  <si>
    <t>NIP/OCT SLR IFO OBIAKOR OYINYE</t>
  </si>
  <si>
    <t>NIP/OCT IFO OGUNMOKUN ADEFEMI</t>
  </si>
  <si>
    <t>stamp duty charge</t>
  </si>
  <si>
    <t>COB ON TRF</t>
  </si>
  <si>
    <t>CHARGES ON TRANSFER</t>
  </si>
  <si>
    <t>STAMP DUTY CHARGE 50</t>
  </si>
  <si>
    <t>GSK BANK GUARANTEE ISSUE CHARG</t>
  </si>
  <si>
    <t>VAT ON GSK BANK GUARANTEE ISSU</t>
  </si>
  <si>
    <t>SMS ALERT  CHARGE</t>
  </si>
  <si>
    <t>SALARY HANDLING CHARGE</t>
  </si>
  <si>
    <t>STATEMENT CHARGE</t>
  </si>
  <si>
    <t>VAT COLLECTION CHARGE</t>
  </si>
  <si>
    <t>REF. LETTER CHARGE</t>
  </si>
  <si>
    <t>REFERENCE LETTER CHARGE</t>
  </si>
  <si>
    <t>CHARGES  ON TRANSFER</t>
  </si>
  <si>
    <t>.STAMP DUTY CHARGE</t>
  </si>
  <si>
    <t>MC ISSUE CHARGE</t>
  </si>
  <si>
    <t>CHARGE ON STATEMENT</t>
  </si>
  <si>
    <t>CHATGE ON TRANSFER</t>
  </si>
  <si>
    <t>CHARGE ON CHEQUE BOOK(VAT)</t>
  </si>
  <si>
    <t>CHARGE ON CHEQUE BOOK</t>
  </si>
  <si>
    <t>FORM CHARGES</t>
  </si>
  <si>
    <t>CHARGE ON VAT</t>
  </si>
  <si>
    <t>CHARGE ON REFERENCE LETTER</t>
  </si>
  <si>
    <t>CHARGE ON ACCT STATEMENT</t>
  </si>
  <si>
    <t>CHARGE ON SMS</t>
  </si>
  <si>
    <t>SMS AKERT CHARGE</t>
  </si>
  <si>
    <t>.CHARGE ON TRANSFER</t>
  </si>
  <si>
    <t>CHEQUE (VAT) CHARGE</t>
  </si>
  <si>
    <t>CHEQUE CHARGE</t>
  </si>
  <si>
    <t>SMNS ALERT CHARGE</t>
  </si>
  <si>
    <t>FT FORM CHARGE</t>
  </si>
  <si>
    <t>CHARGE ON VAT COLLECTION</t>
  </si>
  <si>
    <t>CHARGE ON TRANSFER .</t>
  </si>
  <si>
    <t>VAT CHARGES ON SABIO DEVELOPME</t>
  </si>
  <si>
    <t>TELEX CHARGE REMMITTANCE  ON V</t>
  </si>
  <si>
    <t>OFFSHORE CHARGES ON VACCINES</t>
  </si>
  <si>
    <t>DOM COM NGN CHARGES</t>
  </si>
  <si>
    <t>OFFSHORE CHARGE ON VACCINE</t>
  </si>
  <si>
    <t>DOM COMM CHARGE ON VACCINE</t>
  </si>
  <si>
    <t>TELEX CHARGE ON VACCINE</t>
  </si>
  <si>
    <t>VAT CHARGE ON VACCINES</t>
  </si>
  <si>
    <t>DOMM COM CHARGE ON VACCINE</t>
  </si>
  <si>
    <t>PAAR CHARGE</t>
  </si>
  <si>
    <t>SMS ALERT CHARGER</t>
  </si>
  <si>
    <t>SMA ALERT CHARGE</t>
  </si>
  <si>
    <t>SMS ALET CHARGE</t>
  </si>
  <si>
    <t>OFF SHORE REMMITANCE CHARGE</t>
  </si>
  <si>
    <t>TELEX CHARGE ON VACCINES</t>
  </si>
  <si>
    <t>VAT CHARGE ON VACCINE</t>
  </si>
  <si>
    <t>CHARGE ON REMITA</t>
  </si>
  <si>
    <t>CHARGES ON REMITTA</t>
  </si>
  <si>
    <t>CHARGE ON FORM M</t>
  </si>
  <si>
    <t>VAT CHARGE</t>
  </si>
  <si>
    <t>FORM M PROCESSING CHARGE</t>
  </si>
  <si>
    <t>VAT ON FORM M CHARGE</t>
  </si>
  <si>
    <t>CHEQUE BOOK CHARGE</t>
  </si>
  <si>
    <t>FORM M CHARGE</t>
  </si>
  <si>
    <t>VAT ON FORM M</t>
  </si>
  <si>
    <t>SMS  ALERT CHARGE</t>
  </si>
  <si>
    <t>WITHHOLDING TAX ON INTEREST PA</t>
  </si>
  <si>
    <t>SOFT TOKEN CHARGE</t>
  </si>
  <si>
    <t>BANK STATEMENT CHARGE</t>
  </si>
  <si>
    <t>HANDLING CHARGE</t>
  </si>
  <si>
    <t>CHARGE OF TRANSFER</t>
  </si>
  <si>
    <t>CHARGE ON TRANSFER 53.75</t>
  </si>
  <si>
    <t>CHARGE  ON TRANSFER</t>
  </si>
  <si>
    <t>SME ALERT CHARGE</t>
  </si>
  <si>
    <t>STAMP DUTY STAMP</t>
  </si>
  <si>
    <t>VAT ON REF</t>
  </si>
  <si>
    <t>BANK CHARGE1</t>
  </si>
  <si>
    <t>COB TRANSFER TO WORLD WIDE **5</t>
  </si>
  <si>
    <t>BANK CHARGES</t>
  </si>
  <si>
    <t>COB TRANSFER TO IDRIS, ABI***1</t>
  </si>
  <si>
    <t>COB TRANSFER TO SANOFI AVE</t>
  </si>
  <si>
    <t>COB TRANSFER TO DANAX NIGERIA</t>
  </si>
  <si>
    <t>CBN STAMP DUTY CHARGES</t>
  </si>
  <si>
    <t>COB TRANSFER TO AKINPELU</t>
  </si>
  <si>
    <t>COB TRANSFER TO AKAHARA PR4625</t>
  </si>
  <si>
    <t>CHARGES FOR ACCT STMTS</t>
  </si>
  <si>
    <t>COB TRANSFER TO LIFEGIVER **86</t>
  </si>
  <si>
    <t>SMS ALERT  CHARGES</t>
  </si>
  <si>
    <t>COB TRANSFER TO NUOBEJECTS***5</t>
  </si>
  <si>
    <t>COB TRANSFER  TO SASANYA S**05</t>
  </si>
  <si>
    <t>COB TRANSFER TO ADEDIPE, F **9</t>
  </si>
  <si>
    <t>COB TRANSFER TO DANAX NIGE**26</t>
  </si>
  <si>
    <t>COB TRANSFER TO ARAWANDE S***0</t>
  </si>
  <si>
    <t>CHARGES FOR WWCV RETURNED CHQ</t>
  </si>
  <si>
    <t>COB TRANSFER TO AKINOLA ID**51</t>
  </si>
  <si>
    <t>COB TRANSFER TO ONAFOWORA **15</t>
  </si>
  <si>
    <t>COB TRANSFER TO SANOFI -AVE **</t>
  </si>
  <si>
    <t>COB TRANSFER TO AKINWALE M***9</t>
  </si>
  <si>
    <t>COB TRANSFER TO TAIWO OLUB**02</t>
  </si>
  <si>
    <t>COB TRANSFER TO AKINOLA, AY**7</t>
  </si>
  <si>
    <t>STAMP DUT CHARGE</t>
  </si>
  <si>
    <t>COB TRANSFER TO OGUNDOYIN**514</t>
  </si>
  <si>
    <t>COB TRANSFER TO ADEBANJO O***2</t>
  </si>
  <si>
    <t>COB TRANSFER TO APPLECART***78</t>
  </si>
  <si>
    <t>COB TRANSFER TO DARAMOLA **691</t>
  </si>
  <si>
    <t>COB FOR 504793684053 1723/ ONB</t>
  </si>
  <si>
    <t>COB TANSFER TO OJINIGBO **7940</t>
  </si>
  <si>
    <t>CHEQUE ISSUES CHARGES</t>
  </si>
  <si>
    <t>VAT. CH.ISSUE.CHRG</t>
  </si>
  <si>
    <t>TRF FROM CHRG</t>
  </si>
  <si>
    <t>COB FOR 5047414210801723 ONB 1</t>
  </si>
  <si>
    <t>COB TRANSFER TO ADELESI A**290</t>
  </si>
  <si>
    <t>COB TRANSFER TO PLACEWARE**855</t>
  </si>
  <si>
    <t>COB TRANSFER TO GREGORY SY**10</t>
  </si>
  <si>
    <t>COB TRANSFER TO EXCUZIA P***96</t>
  </si>
  <si>
    <t>COB TRANSFER TO BLK PRESTI **8</t>
  </si>
  <si>
    <t>COB TRANSFER TO ADEGBOYEGA **5</t>
  </si>
  <si>
    <t>COB TRANSFER TO BLK PRESTI***8</t>
  </si>
  <si>
    <t>COB TRANSFER TO OLADIPO MO **4</t>
  </si>
  <si>
    <t>COB TRANSFER TO BELLS UNIV**52</t>
  </si>
  <si>
    <t>COB TRANSFER TO AREMU A**4666</t>
  </si>
  <si>
    <t>COB FOR 896020191202104801 172</t>
  </si>
  <si>
    <t>COB TRANSFER TO PROFECTUS **94</t>
  </si>
  <si>
    <t>SMS ALERT CHAGES</t>
  </si>
  <si>
    <t>COB TRANSFER TO AREMU, A**4666</t>
  </si>
  <si>
    <t>CHRG FOR ACCT STMT</t>
  </si>
  <si>
    <t>VAT COOLECTION</t>
  </si>
  <si>
    <t>COB TRANSFER TO BENBENDO N**03</t>
  </si>
  <si>
    <t>COB TRANSFER TO OKEOWO OLU**80</t>
  </si>
  <si>
    <t>COB TRANSFER TO GLENEGLES **20</t>
  </si>
  <si>
    <t>CHARGE FOR FUND TRANSFER FORM</t>
  </si>
  <si>
    <t>COB TRANSFER TO ZOLON HEAL **9</t>
  </si>
  <si>
    <t>COB TRANSFER TO AKINOLA ID **5</t>
  </si>
  <si>
    <t>SMS  ALERT CHARGES</t>
  </si>
  <si>
    <t>COB TRANSFER TO T-MES ENTE*122</t>
  </si>
  <si>
    <t>COB TRANSFER TO KANAYO AND **0</t>
  </si>
  <si>
    <t>STAMP DUTY CHARGE STAMP DUTY</t>
  </si>
  <si>
    <t>COB TRANSFER TO AREMU *4666 SA</t>
  </si>
  <si>
    <t>NIP/CHQ/JEGEDE TEMITOPE</t>
  </si>
  <si>
    <t>HANDLING CHARGE FOR STAFF SALA</t>
  </si>
  <si>
    <t>COB TRANSFER TO OGUNDIRAN**531</t>
  </si>
  <si>
    <t>COB TRANSFER TO OGUNDIRAN **53</t>
  </si>
  <si>
    <t>COB TRANSFER TO GLAXOSMITH**99</t>
  </si>
  <si>
    <t>COB TRANSFER TO AKINOLA OL**46</t>
  </si>
  <si>
    <t>COB TRANSFER TO OYELEYE N**866</t>
  </si>
  <si>
    <t>COB TRANSFER TO AKINOLA O **92</t>
  </si>
  <si>
    <t>COB TRANSFER TO ZOLON HEAL**97</t>
  </si>
  <si>
    <t>COB TRANSFER TO CORNERSTON**01</t>
  </si>
  <si>
    <t>NIP/SLR APRIL 2020 IFO JEGEDE</t>
  </si>
  <si>
    <t>NIP/SLR APRIL 2020 IFO ALLIOWE</t>
  </si>
  <si>
    <t>NIP/SLR APRIL 2020/IFO OBIAKOR</t>
  </si>
  <si>
    <t>CHARGE FOR FUNDS TRANSFER  FOR</t>
  </si>
  <si>
    <t>COB TRANSFER TO WOLDWIDE **536</t>
  </si>
  <si>
    <t>COB TRANSFER TO WORLDWIDE ***5</t>
  </si>
  <si>
    <t>COB TRANSFER TO AREMU A*4666 B</t>
  </si>
  <si>
    <t>COB TRANSFER TO SANOFI-AVE **2</t>
  </si>
  <si>
    <t>COB TRANSFER TO GLAXOSMITHKLIN</t>
  </si>
  <si>
    <t>COB TRANSFER TO SANOFI-AVE***2</t>
  </si>
  <si>
    <t>COB TRANSFER TO SANOFI AVE**20</t>
  </si>
  <si>
    <t>COB TRANSFER TO SANOFI -AVE**2</t>
  </si>
  <si>
    <t>TRANSFER FORM CHARGE</t>
  </si>
  <si>
    <t>NIP/SLR IFO ALLIOWE KABIR ABIO</t>
  </si>
  <si>
    <t>NIP/SLR IFO JEGEDE TEMITOPE B/</t>
  </si>
  <si>
    <t>COB TRANSFER TO FOUANI AMI**54</t>
  </si>
  <si>
    <t>COB TARNSFER TO I.P.W FORU **9</t>
  </si>
  <si>
    <t>COB TRANSFER TO ADEDIPE FO**93</t>
  </si>
  <si>
    <t>COB TRANSFER TO AKINOLA BO**84</t>
  </si>
  <si>
    <t>BANKCHARGE</t>
  </si>
  <si>
    <t>COB TRANSFER TO GLAXOSMITH***9</t>
  </si>
  <si>
    <t>TRANSFER FROM CHARGE</t>
  </si>
  <si>
    <t>BF/FEE-5620012346/200728QLBAAA</t>
  </si>
  <si>
    <t>BF/VAT-5620012346/200728QLBAAA</t>
  </si>
  <si>
    <t>COB TRANSFER TO SANOFI AVE **2</t>
  </si>
  <si>
    <t>SMSALERT CHARGES</t>
  </si>
  <si>
    <t>COB TRANSFER TO TO TOLBERT SP*</t>
  </si>
  <si>
    <t>COB TRANSFER TO ASSENE-LAB**65</t>
  </si>
  <si>
    <t>COB TRANSFER TO SULYMON BO **5</t>
  </si>
  <si>
    <t>COB TRANSFER TO TRIDAC EN**187</t>
  </si>
  <si>
    <t>NIP/SLR OBIAKOR OYINYE ESTHER</t>
  </si>
  <si>
    <t>NIP/SLR JEGEDE TEMITOPE AUG 20</t>
  </si>
  <si>
    <t>ROYAN MEDICAL ENTERPRISES CHEQ</t>
  </si>
  <si>
    <t>COB TRANSFER TO FRIDAY IW**947</t>
  </si>
  <si>
    <t>COB TRANSFER TO HUNTON SAM **0</t>
  </si>
  <si>
    <t>COB TRANSFER TO SULYMON BO***5</t>
  </si>
  <si>
    <t>COB TRANSFER TO RAHEEM O.**059</t>
  </si>
  <si>
    <t>COB TRANSFER TO ADEPOJU AD**69</t>
  </si>
  <si>
    <t>COB TRANSFER  TO ZOLON HEALTH</t>
  </si>
  <si>
    <t>COB TRANSFER TO TUNSLAM AL**68</t>
  </si>
  <si>
    <t>COB TRANSFER TO DARAMOLA**6918</t>
  </si>
  <si>
    <t>SMS LERT CHARGES</t>
  </si>
  <si>
    <t>STAMP DUTY + VAT</t>
  </si>
  <si>
    <t>COB TRANSFER TO OGUNDOYIN **02</t>
  </si>
  <si>
    <t>COB TRANSFER TO OGUNDOYIN **37</t>
  </si>
  <si>
    <t>COB TRANSFER TO ALAMU RIL **52</t>
  </si>
  <si>
    <t>SMS CHARGES</t>
  </si>
  <si>
    <t>COB TRANSFER TO FEMTOP INT**34</t>
  </si>
  <si>
    <t>COB TRANSFER TO SANOFI-AVE **1</t>
  </si>
  <si>
    <t>COB TRANSFER TO WORLD WIDE**53</t>
  </si>
  <si>
    <t>COB TRANSFER TO ILESANMITI**20</t>
  </si>
  <si>
    <t>CHARGE FOR STATEMENT</t>
  </si>
  <si>
    <t>COB TRANSFER TO ABOSEDE OL**24</t>
  </si>
  <si>
    <t>COB TRANSFER TO SELFA NIGERIA</t>
  </si>
  <si>
    <t>COB TRANSFER TO AFEEZ OYEL**86</t>
  </si>
  <si>
    <t>COB TRANSFER TO AREMU AB**466</t>
  </si>
  <si>
    <t>NIP/SLR IFO JEGEDE TEMITOPE DE</t>
  </si>
  <si>
    <t>COB TRF TO SULYMON BO**5400 SA</t>
  </si>
  <si>
    <t>COB TRF TO AREMU AB**4666 SALA</t>
  </si>
  <si>
    <t>COB TRF TO ALLIOWE KA**8200 SA</t>
  </si>
  <si>
    <t>COB TRF TO FAJUYITAN **0389 PA</t>
  </si>
  <si>
    <t>COB TRF TO AREMU AB ***4666 2</t>
  </si>
  <si>
    <t>COB TRF TO JONATHAN O**2044 PC</t>
  </si>
  <si>
    <t>COB TRF TO AKINOLAIDO **5172 P</t>
  </si>
  <si>
    <t>COB TRF TO ADEJOKE AD**7776 PU</t>
  </si>
  <si>
    <t>COB TRF TO SANOFI-AVE ***0468</t>
  </si>
  <si>
    <t>COBTRF TO IKEDC IKEJI **8266 L</t>
  </si>
  <si>
    <t>COB TRF TO GLAXOSMITH  **9981</t>
  </si>
  <si>
    <t>COB TRANSFER TO FIRST EBORN **</t>
  </si>
  <si>
    <t>COB TRF TO SARUMI FAR ** 2245</t>
  </si>
  <si>
    <t>COB TRF TO OGUNDOYIN **5145 ME</t>
  </si>
  <si>
    <t>COB TRANSFER TO AKPABIO AM**03</t>
  </si>
  <si>
    <t>STATEMENT CHRG</t>
  </si>
  <si>
    <t>COB TRF TO JOLLY OM**6045 ADDI</t>
  </si>
  <si>
    <t>COB TRF TO GLAXOSMITH **0311 P</t>
  </si>
  <si>
    <t>COB TRF TO SPEEDWINGS **9191 T</t>
  </si>
  <si>
    <t>COB TRF TO AREMU AB**4666 2 WE</t>
  </si>
  <si>
    <t>COB TRF TO TIJANI ZUB **3209 P</t>
  </si>
  <si>
    <t>COB TRF TO DARAMOLA **6918 REP</t>
  </si>
  <si>
    <t>COB TRF TO AKPABIO AM**0399 PA</t>
  </si>
  <si>
    <t>COB TRF TO AKINOLA OL**4623 LO</t>
  </si>
  <si>
    <t>COB TRF TO DARAMOLA **6918  RE</t>
  </si>
  <si>
    <t>COB TRF TO ALAMU RIL**5280 LOA</t>
  </si>
  <si>
    <t>NIP/SLR B/O PLACEWARE</t>
  </si>
  <si>
    <t>NIP/SLR IFO UNMOKUN ADEFEMI/ F</t>
  </si>
  <si>
    <t>COB TRF TO FEMTOP INT**3484 LO</t>
  </si>
  <si>
    <t>COB TRF TO AREMU AB **4666 SAL</t>
  </si>
  <si>
    <t>COB TRF TO JOLLY JOM **6045 BU</t>
  </si>
  <si>
    <t>COB TRF TO SANOFI-AVE**0468 PA</t>
  </si>
  <si>
    <t>COB TRF TO SOMOTEX NI**7903 PA</t>
  </si>
  <si>
    <t>COB TRANSFER TO ASIMIYU MU**55</t>
  </si>
  <si>
    <t>COB TRF TO AREMU AB**4666 PAYM</t>
  </si>
  <si>
    <t>COB TRF TO AFOLABI JU***9355 I</t>
  </si>
  <si>
    <t>NIP/SLR MARCH 2021 IFO OGUNMOK</t>
  </si>
  <si>
    <t>COB TRF TO AFOLABI JU **9355 B</t>
  </si>
  <si>
    <t>STAMP DUTY CHARGES 50</t>
  </si>
  <si>
    <t>COB TRF VTO INTIGROLL **1591 P</t>
  </si>
  <si>
    <t>COB TRF TO AFOLABI JU**9355 RE</t>
  </si>
  <si>
    <t>NIP/ SLR SALRY APRIL 2021 ZULK</t>
  </si>
  <si>
    <t>NIP/ SLR SALRY APRIL 2021 OGUN</t>
  </si>
  <si>
    <t>NIP/ SLR SALRY APRIL 2021 OBIA</t>
  </si>
  <si>
    <t>CHQ CHARGE(VAT)</t>
  </si>
  <si>
    <t>COB TRF TO IKEDC IKEJA **8266</t>
  </si>
  <si>
    <t>COB TRF TO ABIDEMI **9719 PART</t>
  </si>
  <si>
    <t>COB TRF TO CORNERSTON **0130 P</t>
  </si>
  <si>
    <t>COB TRF TO ALAMU RIL**5280 REP</t>
  </si>
  <si>
    <t>COB TRF TO OYELEYE NU**8666 PA</t>
  </si>
  <si>
    <t>COB TRF TO SANOFI AVENTIS *524</t>
  </si>
  <si>
    <t>COB TRF TO SANOFI AVENTIS **52</t>
  </si>
  <si>
    <t>COB TRF TO AKPZBIO AM**0399 FO</t>
  </si>
  <si>
    <t>COB TRF TO ORTHOPLUS **6002 PA</t>
  </si>
  <si>
    <t>sms alert charge</t>
  </si>
  <si>
    <t>sms alert charges</t>
  </si>
  <si>
    <t>NIP/SLR JULY 2021 IFO OBIAKOR</t>
  </si>
  <si>
    <t>JULY 2021 IFO ZULKAHARNAIN OLA</t>
  </si>
  <si>
    <t>COB TRF TO FEMTOP INT**3484 FU</t>
  </si>
  <si>
    <t>COB TRF TO OYELEYE NU**8666 PU</t>
  </si>
  <si>
    <t>COB TRANSFER TO MARTIN ENI*843</t>
  </si>
  <si>
    <t>COB TRF TO SANOFI AVENTIS  **5</t>
  </si>
  <si>
    <t>SMS ALERT CHARES</t>
  </si>
  <si>
    <t>COB TRF TO DARAMOLA **6918 SPA</t>
  </si>
  <si>
    <t>COB TRF TO DICKSON MA**5960 PA</t>
  </si>
  <si>
    <t>COB TRF TO AFOLABI A**0528 GIF</t>
  </si>
  <si>
    <t>COB TRF TO SANOFI AVENTIS**524</t>
  </si>
  <si>
    <t>STAMP DUTY CHARGES \</t>
  </si>
  <si>
    <t>NIP/SLR AUG 2021 IFO OBIAKOR O</t>
  </si>
  <si>
    <t>NIP/SLR AUG 2021 IFO OGUNMOKUN</t>
  </si>
  <si>
    <t>NIP/SLR AUG 2021 IFO ZULKHARNA</t>
  </si>
  <si>
    <t>COB TRF TO ONISUNA AB***6560 T</t>
  </si>
  <si>
    <t>COB TRF TO OLUWAFEMI **2731 PA</t>
  </si>
  <si>
    <t>COB TRF TO DARAMOLA **6918 PAR</t>
  </si>
  <si>
    <t>CHQ CHARGE VAT</t>
  </si>
  <si>
    <t>COB TRF TO OLUWAFEMI **2731 CO</t>
  </si>
  <si>
    <t>NIP/SLR SEPT 2021 OGUNMOKUN AD</t>
  </si>
  <si>
    <t>NIP/SLR SEPT 2021 ZULKHARAIN O</t>
  </si>
  <si>
    <t>NIP/SLR SEPT 2021 OBIAKOR OYIN</t>
  </si>
  <si>
    <t>COB TRF TO OYELEYE **8666 PAYM</t>
  </si>
  <si>
    <t>COB TRF TO ARRRAWANDE S**0672</t>
  </si>
  <si>
    <t>COB TRF TO OGUNDOYIN MO**4956</t>
  </si>
  <si>
    <t>COB TRF TO SANOFI  AVEN **5247</t>
  </si>
  <si>
    <t>COB TRF TO ARAWANDE FOR THE IN</t>
  </si>
  <si>
    <t>COB TRF TO ADEPOJU AD**6903 PA</t>
  </si>
  <si>
    <t>COB TRF TO PUREHEART **0610 DO</t>
  </si>
  <si>
    <t>COB TRF TO ADEKUNLE R**3096B P</t>
  </si>
  <si>
    <t>COB TRF TO ABAYOMI O**5401 PAY</t>
  </si>
  <si>
    <t>COB TRF TO IDRIS ABIO **1107 P</t>
  </si>
  <si>
    <t>COB TRF TO SANOFI AVENTIS*5247</t>
  </si>
  <si>
    <t>COB TRF TO IKECHUKWU **2429 PA</t>
  </si>
  <si>
    <t>COB TRF TO ABAYOMI O **5401 PA</t>
  </si>
  <si>
    <t>NIP/SLR NOV 2021 ZULKHARNAIN O</t>
  </si>
  <si>
    <t>NIP/SLR NOV 2021 OBIAKOR OYINY</t>
  </si>
  <si>
    <t>NIP/SLR NOV 2021 OGUNMOKUN ADE</t>
  </si>
  <si>
    <t>COB TRF TO AKINREFON  **2693 C</t>
  </si>
  <si>
    <t>COB TRF TO DADA OLALE**3416 NE</t>
  </si>
  <si>
    <t>COB TRF TO IDRIS ABIO*1107 PAY</t>
  </si>
  <si>
    <t>COB  TRF TO FAJUYITAN **0389 P</t>
  </si>
  <si>
    <t>COB TRF TO ADEOLA OLU**1864 RE</t>
  </si>
  <si>
    <t>COB TRF TO FALAWO</t>
  </si>
  <si>
    <t>COB TRF TO SHITTU GAN **4246 F</t>
  </si>
  <si>
    <t>COB TRF TO RAHEEMSULA **6762 B</t>
  </si>
  <si>
    <t>COB TRF TO TVP INTERN</t>
  </si>
  <si>
    <t>COB TRF TO AKINADE OL**6011 LA</t>
  </si>
  <si>
    <t>COB TRF TO SAMUEL OLA**1323 RE</t>
  </si>
  <si>
    <t>COB TRF TO AKINADE OL**6011 LO</t>
  </si>
  <si>
    <t>HANDLING CHARGE/PLACEWARE NIGE</t>
  </si>
  <si>
    <t>NIP/SLRDEC 2021 OGUNMOKUN ADEF</t>
  </si>
  <si>
    <t>nip/slr dec2021 obiakor oyinye</t>
  </si>
  <si>
    <t>nip/slr dec 2021 zulkharnain o</t>
  </si>
  <si>
    <t>sms alert changes</t>
  </si>
  <si>
    <t>BANK CHARGES1</t>
  </si>
  <si>
    <t>STAMP DUTY CHARGES STAMP DUT</t>
  </si>
  <si>
    <t>BANK INTEREST</t>
  </si>
  <si>
    <t>FIDELITY BANK INTEREST FOR MAY</t>
  </si>
  <si>
    <t>FIDELITY BANK INTEREST FOR JUN</t>
  </si>
  <si>
    <t>INTEREST ON FIDELITY ACCOUNT F</t>
  </si>
  <si>
    <t>INTEREST PAID TO FIDELITY ACCT</t>
  </si>
  <si>
    <t>BANK INTEREST PAID</t>
  </si>
  <si>
    <t>BANK INTEREST PAID ON ACCOUNT</t>
  </si>
  <si>
    <t>BANK TRANSFER</t>
  </si>
  <si>
    <t>TRANSFER FROM FIDELITY BANK  T</t>
  </si>
  <si>
    <t>TRANSFER FROM ZENITH BANK TO F</t>
  </si>
  <si>
    <t>MONEY TRANSFERRED FROM ZIB TO</t>
  </si>
  <si>
    <t>BANLK CHARGE</t>
  </si>
  <si>
    <t>BELLS PAYMENT</t>
  </si>
  <si>
    <t>BELLS PMT ON  28/11/25 OF #3,6</t>
  </si>
  <si>
    <t>BELLS PMT</t>
  </si>
  <si>
    <t>PART OF BELLS PAYMENT MADE ON</t>
  </si>
  <si>
    <t>PART OF BELLS PMT OF #3657,800</t>
  </si>
  <si>
    <t>BAL OF BELLS PMT ON  19/11/25</t>
  </si>
  <si>
    <t>BELLS PMT ON  03/12/25 OF #3,6</t>
  </si>
  <si>
    <t>BELLS PMT REF</t>
  </si>
  <si>
    <t>CASH LODGEMENT</t>
  </si>
  <si>
    <t>CASH LODGED IN FIDELITY</t>
  </si>
  <si>
    <t>CHEQUE EXCHANGE</t>
  </si>
  <si>
    <t>GM'S FIDELITY CHEQUE EXCHANGED</t>
  </si>
  <si>
    <t>GM'S GTB CHEQUE 00000228 EXCHA</t>
  </si>
  <si>
    <t>GM'S GTB CHEQUE 00000229 EXCHA</t>
  </si>
  <si>
    <t>GM'S FDB CHEQUE 10620591 EXCHA</t>
  </si>
  <si>
    <t>COB TRANSFER TO IDOWU OLUK**27</t>
  </si>
  <si>
    <t>GM'S FBD CHEQUE 12000215 EXCHA</t>
  </si>
  <si>
    <t>GM'S FDB  CHEQUE 10620594 EXCH</t>
  </si>
  <si>
    <t>FBN CHQ FOR CASH EXCHANGE</t>
  </si>
  <si>
    <t>CHQ EXCHANGED FOR CASH BY MR I</t>
  </si>
  <si>
    <t>ROYAN  FIDLEITY CHEQUE 3389023</t>
  </si>
  <si>
    <t>FIDELITY CHEQUE 36078735 EXCHA</t>
  </si>
  <si>
    <t>MD FIDELITY CHEQUE NO (8427466</t>
  </si>
  <si>
    <t>MD FIDELITY CHEQUE NO (8427476</t>
  </si>
  <si>
    <t>ROYAN (ACCESS CHQ NO 00006046)</t>
  </si>
  <si>
    <t>MD FIDELITY CHEQUE (84274774)</t>
  </si>
  <si>
    <t>MD FIDELITY CHEQUE (84274775)</t>
  </si>
  <si>
    <t>MD (DIOCESE OF LAGOS WEST YOUT</t>
  </si>
  <si>
    <t>MD'S KEYSTONE CHEQUE (123) EXC</t>
  </si>
  <si>
    <t>MD'S KEYSTONE CHEQUE (125) EXC</t>
  </si>
  <si>
    <t>CHEQUE EXCHANGED</t>
  </si>
  <si>
    <t>CHEQUE  00000108 ECOBANK EXCHA</t>
  </si>
  <si>
    <t>WOMENS GUILD THE DIOCESES OF L</t>
  </si>
  <si>
    <t>GM'S FDB  CHEQUE 10620592 EXCH</t>
  </si>
  <si>
    <t>GM'S GTB CHEQUE 00000234 EXCHA</t>
  </si>
  <si>
    <t>CHEQUE EXCHANGED1</t>
  </si>
  <si>
    <t>GM'S FBN  CHEQUE 12451807 EXCH</t>
  </si>
  <si>
    <t>CHEQUE EXCHANGES</t>
  </si>
  <si>
    <t>ONB TRANSFER FROM IDOWU OLUK**</t>
  </si>
  <si>
    <t>CHEQUE EXCHANGES1</t>
  </si>
  <si>
    <t>CHEQUE EXCHANGED BY MR IDOWU A</t>
  </si>
  <si>
    <t>CHQ EXCHANGED</t>
  </si>
  <si>
    <t>GM'S FIDELITY BANK CHQ NO 1007</t>
  </si>
  <si>
    <t>CHQUE EXCHANGE</t>
  </si>
  <si>
    <t>ROYAN  FIDELITY CHEUQE EXCHANG</t>
  </si>
  <si>
    <t>CONSOLIDATED INT</t>
  </si>
  <si>
    <t>CONSOLIDATED INTEREST RECEIVED</t>
  </si>
  <si>
    <t>DAMIKAY MONEY</t>
  </si>
  <si>
    <t>DAMIKAY MONEY TRANSFFED INTO P</t>
  </si>
  <si>
    <t>DELIVERY CHARGE</t>
  </si>
  <si>
    <t>DELIVERY CHARGE ON  GSK SPECIA</t>
  </si>
  <si>
    <t>DELIVERY REFUND</t>
  </si>
  <si>
    <t>REFUND OF DELIVERY FEE (DELIVE</t>
  </si>
  <si>
    <t>DRAWINGS REFUND</t>
  </si>
  <si>
    <t>REFUND OF MD'S DRAWING</t>
  </si>
  <si>
    <t>E.H.A PAYMENT</t>
  </si>
  <si>
    <t>PAYMENT MADE  FROM E.H.A HOSPI</t>
  </si>
  <si>
    <t>FIDELITY BANK INT</t>
  </si>
  <si>
    <t>FOREX REFUND</t>
  </si>
  <si>
    <t>REFUND OF FOREX PAYMENT</t>
  </si>
  <si>
    <t>REFUND PART OF FOREX PAYMENT</t>
  </si>
  <si>
    <t>FUND TRANSFER</t>
  </si>
  <si>
    <t>ZENITH  CHQ NO 00004619) EXCHA</t>
  </si>
  <si>
    <t>FUND TRANSFER FROM ZIB TO FIDE</t>
  </si>
  <si>
    <t>HEALTHSHARE EUVAXB</t>
  </si>
  <si>
    <t>PART OF NHS DIRECT PAYMENT (17</t>
  </si>
  <si>
    <t>HEALTHSHARE MONEY</t>
  </si>
  <si>
    <t>PART OF NSH (DIRECT PAYMENT OF</t>
  </si>
  <si>
    <t>INSURANCE FORM M</t>
  </si>
  <si>
    <t>INSURANCE ON FORM M FOR VACCIN</t>
  </si>
  <si>
    <t>INSURANCE REFUND</t>
  </si>
  <si>
    <t>REFUND FROM CORNERSTONE INSURA</t>
  </si>
  <si>
    <t>INVESTMENT</t>
  </si>
  <si>
    <t>INVESTMENT FOR VACCINES (STOCK</t>
  </si>
  <si>
    <t>INVESTMENT WITH ATIAT LIMITED</t>
  </si>
  <si>
    <t>TRANSFER TO VACCIPHARM FOR THE</t>
  </si>
  <si>
    <t>JAIYESIMI O (RECEIPT</t>
  </si>
  <si>
    <t>MONEY PAID FOR VACCINES BY JAI</t>
  </si>
  <si>
    <t>LAON REFUNDED</t>
  </si>
  <si>
    <t>REFUND OF  CAR LOAN BY MR YEMI</t>
  </si>
  <si>
    <t>LOAN</t>
  </si>
  <si>
    <t>LOAN FROM AKINOLA OLUKUNLE ESQ</t>
  </si>
  <si>
    <t>LOAN TO LEKKZY</t>
  </si>
  <si>
    <t>LOAN FROM K (FOR SANOFI VACCIN</t>
  </si>
  <si>
    <t>LOAN FOR THE PURCHASE OF VACCI</t>
  </si>
  <si>
    <t>LOAN TO PROF AKINOLA</t>
  </si>
  <si>
    <t>LOAN FOR GSK</t>
  </si>
  <si>
    <t>LOAN FROM ROYAN</t>
  </si>
  <si>
    <t>LOAN FROM ROYAN (ROYAN MEDICAL</t>
  </si>
  <si>
    <t>LOAN RECEIVAB (PART)</t>
  </si>
  <si>
    <t>PMT FOR THE PURCHASE OF SANOFI</t>
  </si>
  <si>
    <t>LOAN RECEIVABLE</t>
  </si>
  <si>
    <t>INSURANCE AND OTHER CHARGES FO</t>
  </si>
  <si>
    <t>INSURANCE FOR THE IMPORTATION</t>
  </si>
  <si>
    <t>PROCESSING CHARGE FOR THE IMPO</t>
  </si>
  <si>
    <t>LOAN FOR HAJJ MENACTRA CLEARIN</t>
  </si>
  <si>
    <t>TRANSPORTATION AND AIRPORT LOG</t>
  </si>
  <si>
    <t>CUSTOM DUTIES FOR MARCH SANOFI</t>
  </si>
  <si>
    <t>PAYMENT FOR THE PURCHASE OF SA</t>
  </si>
  <si>
    <t>NAFDAC EXPENSES ON HAJJ VACCIN</t>
  </si>
  <si>
    <t>CLEARING EXPENSES ON HAJJ VACC</t>
  </si>
  <si>
    <t>INSURANCE EXPENSES ON HAJJ FLU</t>
  </si>
  <si>
    <t>NAFDAC EXPENSES ON HAJJ FLU VA</t>
  </si>
  <si>
    <t>NAFDAC CLEARANCE ON SANOFI PRO</t>
  </si>
  <si>
    <t>EXPENSES ON HAJJ FLU VACCINES</t>
  </si>
  <si>
    <t>PART OF NAFDAC CLEARANCE FOR H</t>
  </si>
  <si>
    <t>INSURANCE COST FOR HAJJ MARCH</t>
  </si>
  <si>
    <t>PART OF CLEARING FOR HAJJ VACC</t>
  </si>
  <si>
    <t>PART OF CLEARING FOR HAJJ MARC</t>
  </si>
  <si>
    <t>BAL PAYMENT FOR THE   CLEARING</t>
  </si>
  <si>
    <t>CUSTOM DUTY ON THE LAST BATCH</t>
  </si>
  <si>
    <t>CUSTOM DUTY ON HAJJ FLU VACCIN</t>
  </si>
  <si>
    <t>PORT CHARGES ON HAJJ VACCINES</t>
  </si>
  <si>
    <t>NAFDAC CLEARING FOR HAJJ MENAC</t>
  </si>
  <si>
    <t>LOAN RECEIVABLE(PART</t>
  </si>
  <si>
    <t>LOAN REFUND</t>
  </si>
  <si>
    <t>REFUND PART OF LOAN(#1,650,000</t>
  </si>
  <si>
    <t>LOAN REFUNDED FROM HINVEIR LTD</t>
  </si>
  <si>
    <t>LOAN REFUNDED BY ROYANJU OLU</t>
  </si>
  <si>
    <t>LOAN REFUNDED</t>
  </si>
  <si>
    <t>LOAN REFUNDED BY ROYAN MEDICAL</t>
  </si>
  <si>
    <t>LOAN REFUNDED BY SCANCARE DIAG</t>
  </si>
  <si>
    <t>LOAN REFUNDED BY DAMIKAY</t>
  </si>
  <si>
    <t>REFUND PART OF #1,650,000 LOAN</t>
  </si>
  <si>
    <t>LOAN REFUNDED BY MAYTOD</t>
  </si>
  <si>
    <t>ACCUMULATED LOAN REFUNDED BY R</t>
  </si>
  <si>
    <t>LOAN FOR ROYAN LAB. RE-AGENT R</t>
  </si>
  <si>
    <t>REFUND PART OF AC LOAN BY ROYA</t>
  </si>
  <si>
    <t>REFUND OF LOAN BY ROYAN HOSPIT</t>
  </si>
  <si>
    <t>LOAN REFUNDED BY ROYAN FOR AMB</t>
  </si>
  <si>
    <t>LOAN REFUNDED BY ROYAN HOSPITA</t>
  </si>
  <si>
    <t>LOAN REFUNDED BY ROYANJU-OLA C</t>
  </si>
  <si>
    <t>LOAN REFUNDED BY AJAYI EBENEZE</t>
  </si>
  <si>
    <t>LOAN REFUNDED BY SCAN CARE FOR</t>
  </si>
  <si>
    <t>LOAN REFUNDED ACCESS CHQ 494 R</t>
  </si>
  <si>
    <t>LOAN REFUNDED BY DAMIKAY PART</t>
  </si>
  <si>
    <t>PREVIOUS LOAN REFUNDED BY MRS</t>
  </si>
  <si>
    <t>LOAN REFUNDED TO MR AKINOLA OL</t>
  </si>
  <si>
    <t>ROYAN MEDICAL ENTERPRISES  CHQ</t>
  </si>
  <si>
    <t>LOAN REFUNDED BY PROF DR AKINO</t>
  </si>
  <si>
    <t>REFUND OF LOAN BY DR AKINOLA F</t>
  </si>
  <si>
    <t>LOAN REFUNDED TO CHIEF OLUKUNL</t>
  </si>
  <si>
    <t>REFUND PART OF LOAN BY MR IDOW</t>
  </si>
  <si>
    <t>REFUND BY SCANCARE DIAGNOSTIC</t>
  </si>
  <si>
    <t>LOAN REFUNDED BY MAYTOD ENTERP</t>
  </si>
  <si>
    <t>LOAN REFUNDED WITH P0LARIS BAN</t>
  </si>
  <si>
    <t>LOAN REFUNDED BY DR OLUWAROTIM</t>
  </si>
  <si>
    <t>REFUND OF LOAN BY HINVEIR</t>
  </si>
  <si>
    <t>REFUND OF LOAN BY ANGLICAN CHU</t>
  </si>
  <si>
    <t>REFUND OF LOAN (AKINOLA OLUKUN</t>
  </si>
  <si>
    <t>LOAN REFUNDED BY MRS FEYISAYO</t>
  </si>
  <si>
    <t>LOAN REFUNDED BY MR IDOWU OLUK</t>
  </si>
  <si>
    <t>LOAN REFUNDED BY IDOWU OLUKUNL</t>
  </si>
  <si>
    <t>LOAN REFUNDED BY IDOWU OLUKORE</t>
  </si>
  <si>
    <t>LOAN REFUNDED BY MD (FOR CAR)</t>
  </si>
  <si>
    <t>LOAN REFUNDED BY MD</t>
  </si>
  <si>
    <t>LOAN REFUNDED BY SCANCARE (#25</t>
  </si>
  <si>
    <t>LOAN REFUNDED BY FOWOSHADE GRE</t>
  </si>
  <si>
    <t>LOAN REFUNDED BY IKEJA HOTEL</t>
  </si>
  <si>
    <t>LOAN REFUNDED BY MR AKINOLA OL</t>
  </si>
  <si>
    <t>REFUND OF LOAN (ROYAN CHEQUE)</t>
  </si>
  <si>
    <t>LOAN REFUNDED BY SCANCARE (FIR</t>
  </si>
  <si>
    <t>REFUND OF SHORT TERM LOAN FOR</t>
  </si>
  <si>
    <t>LOAN REFUNDED FROM KEHINHDE OL</t>
  </si>
  <si>
    <t>LOAN REFUNDED BY MR AYODELE KA</t>
  </si>
  <si>
    <t>LOAN REFUNDED FROM SOLOTEX (</t>
  </si>
  <si>
    <t>LOAN REFUNDED BY MR NURUDEEN O</t>
  </si>
  <si>
    <t>REFUND OF LOAN OVER PAID</t>
  </si>
  <si>
    <t>LOAN REFUNDED BY KEHINDED AKIN</t>
  </si>
  <si>
    <t>REFUND OF LOAN FOR THE PURCHAS</t>
  </si>
  <si>
    <t>REFUND OF LOAN BY MRS FEYISAYO</t>
  </si>
  <si>
    <t>LOAN REFUNDED FROM  SCANCARE (</t>
  </si>
  <si>
    <t>REFUND OF LOAN FROM  MR OKANLA</t>
  </si>
  <si>
    <t>LOAN REFUNDED FROM SCANCARE DI</t>
  </si>
  <si>
    <t>PAID IN ADVANCE FOR SANOFI VAC</t>
  </si>
  <si>
    <t>REFUND OF LOAN BY VACCIPHARM N</t>
  </si>
  <si>
    <t>LOAN REFUNDED BY MR FEMI DARAM</t>
  </si>
  <si>
    <t>REFUND OF LOAN FOR NEPA METER</t>
  </si>
  <si>
    <t>REFUND OF LOAN FROM MR BOLA AK</t>
  </si>
  <si>
    <t>REFUND OF PART OF LOAN FOR CUS</t>
  </si>
  <si>
    <t>REFUND OF LOAN FROM PROF AKINO</t>
  </si>
  <si>
    <t>LOAN TO OCTAPHARMA</t>
  </si>
  <si>
    <t>LOAN TO OCTAPHARMA (FOR CUSTOM</t>
  </si>
  <si>
    <t>LOAN TO SCANCARE</t>
  </si>
  <si>
    <t>LOAN TO SCANCARE (FIDELITY BAN</t>
  </si>
  <si>
    <t>LOANREC  REFUNDED</t>
  </si>
  <si>
    <t>REFUND OF PART  PAYMENT MADE</t>
  </si>
  <si>
    <t>MEDVACC PMT</t>
  </si>
  <si>
    <t>PAYMENT MADE TO PLACEWARE ACCT</t>
  </si>
  <si>
    <t>MONEY WRONGLY PAID</t>
  </si>
  <si>
    <t>MONEY WRONGLY PAID INTO PLACEW</t>
  </si>
  <si>
    <t>MR AKINLOYE"S MONEY</t>
  </si>
  <si>
    <t>PART OF REDEEMERS DIRECT PAYME</t>
  </si>
  <si>
    <t>MR LEKAN ALABI MONEY</t>
  </si>
  <si>
    <t>PART OF THE BELLS DIRECT PAYME</t>
  </si>
  <si>
    <t>MR LEKAN'S MONEY</t>
  </si>
  <si>
    <t>NAFDAC REFUND</t>
  </si>
  <si>
    <t>PAYMENT REFUND FROM NAFDAC</t>
  </si>
  <si>
    <t>NAMA'S  MONEY</t>
  </si>
  <si>
    <t>BALANCE OF NAMA MONEY(#9,446,2</t>
  </si>
  <si>
    <t>PAID INTO ACCOUNT</t>
  </si>
  <si>
    <t>PAID BY UNKNOWN PERSON TO FIDE</t>
  </si>
  <si>
    <t>PAYMENT INTO FIDELI1</t>
  </si>
  <si>
    <t>PAID BY ADEWALE RAZAK INTO FID</t>
  </si>
  <si>
    <t>PAYMENT INTO FIDELIT</t>
  </si>
  <si>
    <t>PAYMENT BY ONIKE BASIRAT</t>
  </si>
  <si>
    <t>PAID BY FUNMI DORCAS</t>
  </si>
  <si>
    <t>REDEEMER'S MONEY</t>
  </si>
  <si>
    <t>BALANCE OF REDEMER'S MONEY (#1</t>
  </si>
  <si>
    <t>REF SHORT TERM LOAN</t>
  </si>
  <si>
    <t>REFUND OF LOAN FOR CLEARING OF</t>
  </si>
  <si>
    <t>REF. SHORT TERM</t>
  </si>
  <si>
    <t>REFUN OF LOAN</t>
  </si>
  <si>
    <t>REFUND</t>
  </si>
  <si>
    <t>REFUND ECO/127/ROYAN HOSPITAL</t>
  </si>
  <si>
    <t>REFUND PART OF #1,462,500 DRAW</t>
  </si>
  <si>
    <t>REFUND PART OF REDEEMERS PAYME</t>
  </si>
  <si>
    <t>REFUND (LEKAN JUBRIL</t>
  </si>
  <si>
    <t>TRANSFER REFUNDED BY MR LAKAN</t>
  </si>
  <si>
    <t>REFUND (SANOFI VAC)</t>
  </si>
  <si>
    <t>REFUND OF PART OF DOLLAR FOR</t>
  </si>
  <si>
    <t>REFUND - THE BELLS</t>
  </si>
  <si>
    <t>REFUND OF MONEY PAID BY THE BE</t>
  </si>
  <si>
    <t>REFUND FOR SANOFI</t>
  </si>
  <si>
    <t>REFUND PART OF LOAN FOR THE PU</t>
  </si>
  <si>
    <t>REFUND OF AMT PAID</t>
  </si>
  <si>
    <t>REFUND OF MONEY WRONGLY PAID I</t>
  </si>
  <si>
    <t>REFUND OF CHEQUE EXC</t>
  </si>
  <si>
    <t>PART OF #1.4M CHEQUE EXCHANGED</t>
  </si>
  <si>
    <t>REFUND OF DELIVERY C</t>
  </si>
  <si>
    <t>REFUND OF DELIVERY CHARGE MADE</t>
  </si>
  <si>
    <t>REFUND OF LOAN</t>
  </si>
  <si>
    <t>REFUND OF LOAN BY LIFE GIVER (</t>
  </si>
  <si>
    <t>COB TRANSFER FROM OLUWASEUN *9</t>
  </si>
  <si>
    <t>REFUND OF NAFDAC REG</t>
  </si>
  <si>
    <t>REFUND OF PAYMENT FOR  VARIRID</t>
  </si>
  <si>
    <t>REFUND OF SHORT TERM</t>
  </si>
  <si>
    <t>REFUND OF LOAN BORROWED FOR AU</t>
  </si>
  <si>
    <t>REFUND OF XMAS GIFT</t>
  </si>
  <si>
    <t>REFUND OF CHRISTMAS GIFT NOT B</t>
  </si>
  <si>
    <t>REFUND PAYMENT</t>
  </si>
  <si>
    <t>REFUND OF PAYMENT BALANCE PAID</t>
  </si>
  <si>
    <t>REFUND TO LIFEGIVER</t>
  </si>
  <si>
    <t>REFUND PART OF PAYMENT (#1,923</t>
  </si>
  <si>
    <t>REFUND(MR LEKAN MONE</t>
  </si>
  <si>
    <t>REFUND PART OF  THE BELLS MONE</t>
  </si>
  <si>
    <t>REFUND(PROCESIN CHR)</t>
  </si>
  <si>
    <t>REFUND OF FORM M PROCESSING CH</t>
  </si>
  <si>
    <t>REMITTA CHARGE</t>
  </si>
  <si>
    <t>CHARGES ON REMITTA ON ITF AND</t>
  </si>
  <si>
    <t>ROYAN HX XMAS GIFT</t>
  </si>
  <si>
    <t>PAID BY ROYAN ROYAN HOSPITAL F</t>
  </si>
  <si>
    <t>SALES OF ASSET</t>
  </si>
  <si>
    <t>SALES OF  POWER BIKE</t>
  </si>
  <si>
    <t>SALES OF ASSET (MOTOR VEHICLE)</t>
  </si>
  <si>
    <t>BALANCE PAYMENT FOR THE SALES</t>
  </si>
  <si>
    <t>SHORT TERM LOAN</t>
  </si>
  <si>
    <t>LOAN FOR THE TOTAL DELIVERY C</t>
  </si>
  <si>
    <t>SHORT TERM LOAN FOR GSK SPECIA</t>
  </si>
  <si>
    <t>SHORT TERM LOAN TRANSFERRED FR</t>
  </si>
  <si>
    <t>SHORT TERM LOAN FROM PLACEWARE</t>
  </si>
  <si>
    <t>PART OF MONEY PAID FOR SPECIAL</t>
  </si>
  <si>
    <t>LOAN TO OCTAPHARMA FOR VARILRI</t>
  </si>
  <si>
    <t>LOAN FOR THE PURCHASE OF PLACE</t>
  </si>
  <si>
    <t>LOAN FOR CLEARING VAXIGRIP</t>
  </si>
  <si>
    <t>LOAN FOR CLEARING VAXIGRIP (TR</t>
  </si>
  <si>
    <t>SHORT TERM LOAN FOR CLEARING V</t>
  </si>
  <si>
    <t>SHORT TERM LOAN FOR  VAXIGRIP</t>
  </si>
  <si>
    <t>SHORT TERM LOAN FOR LOADING AN</t>
  </si>
  <si>
    <t>SHORT TERM LOAN FOR TRANSPORTI</t>
  </si>
  <si>
    <t>SHORT TERM LOAN FOR THE DELIVE</t>
  </si>
  <si>
    <t>SHORT TERM LOAN1</t>
  </si>
  <si>
    <t>SHORT TREM LOAN</t>
  </si>
  <si>
    <t>BALANCE PAYMENT ON CLEARING OF</t>
  </si>
  <si>
    <t>STAMP DUTY CHARGE1</t>
  </si>
  <si>
    <t>SUSPENSE ACCOUNT</t>
  </si>
  <si>
    <t>PAID IN FIDELITY WITHOUT NAME</t>
  </si>
  <si>
    <t>PAYMENT INTO ACCOUNT  BY UNKNO</t>
  </si>
  <si>
    <t>THE BELLS MONEY</t>
  </si>
  <si>
    <t>MONEY PAID INTO PLACEWARE ACCT</t>
  </si>
  <si>
    <t>TRANSFER</t>
  </si>
  <si>
    <t>TRANSFER FROM FIDELITY TO ZIB</t>
  </si>
  <si>
    <t>TRANSFER FROM ZENITH A/C INTO</t>
  </si>
  <si>
    <t>TRANSFER FROM ZENITH</t>
  </si>
  <si>
    <t>MONEY TRANSFER FROM ZENITH ACC</t>
  </si>
  <si>
    <t>TRANSFER TO FIDELITY</t>
  </si>
  <si>
    <t>TRANSFER FROM ZENITH ACCOUNT T</t>
  </si>
  <si>
    <t>VACC PLACE (CHRIST P</t>
  </si>
  <si>
    <t>PAYMENT MADE FROM CHRISTIAN BR</t>
  </si>
  <si>
    <t>VACCINE PLA(CHR PMT)</t>
  </si>
  <si>
    <t>VACCINE PLA(EHA. PM</t>
  </si>
  <si>
    <t>PAYMENT MADE FROM E.H.A PX INT</t>
  </si>
  <si>
    <t>VACCINE PLA(EHA. PMT</t>
  </si>
  <si>
    <t>PAYMENT MADE FROM E.H.A PHARMA</t>
  </si>
  <si>
    <t>VACCINE PMT (RECEIPT</t>
  </si>
  <si>
    <t>MONEY PAID BY UNKNOWN PERSON F</t>
  </si>
  <si>
    <t>VACCINES (E.H.A PMT)</t>
  </si>
  <si>
    <t>VACCINES PLACE MONE</t>
  </si>
  <si>
    <t>PAYMENT MADE BY UZOEZI CHRIS S</t>
  </si>
  <si>
    <t>PAYMENT MADE BY VASTOVERS THAT</t>
  </si>
  <si>
    <t>PAYMENT MADE BY OCCUHEALTH SOL</t>
  </si>
  <si>
    <t>PAYMENT MADE BY I.O.M THAT BEL</t>
  </si>
  <si>
    <t>PAYMENT MADE BY CATHARINE SPEC</t>
  </si>
  <si>
    <t>PAYMENT MADE BY ZANKILI MED CE</t>
  </si>
  <si>
    <t>PAYMENT MADE BY QUEENS HOSPITA</t>
  </si>
  <si>
    <t>PAYMENT MADE BY KDW THAT BELON</t>
  </si>
  <si>
    <t>PAYMENT MADE BYAGNOSYS THAT BE</t>
  </si>
  <si>
    <t>VACCINES PLACE MONEY</t>
  </si>
  <si>
    <t>PAYMENT MADE BY OLAKPE UZOEZI</t>
  </si>
  <si>
    <t>VACCINES PLACE PMT</t>
  </si>
  <si>
    <t>VACCIPHARM EUVAXB</t>
  </si>
  <si>
    <t>VACCIPHARM MONEY</t>
  </si>
  <si>
    <t>PART OF REDEEMER UNIVERSITY PA</t>
  </si>
  <si>
    <t>PART OF NHS DIRECT PAYMENT (45</t>
  </si>
  <si>
    <t>PART OF NSH (DIRECT PAYMENT PA</t>
  </si>
  <si>
    <t>VACIPHARM MONEY</t>
  </si>
  <si>
    <t>WHT TAX</t>
  </si>
  <si>
    <t>WITHHOLDING TAX ON AUGUST INTE</t>
  </si>
  <si>
    <t>WHT TAX CHARGES</t>
  </si>
  <si>
    <t>WITHHOLDING TAX CHARGE FOR INT</t>
  </si>
  <si>
    <t>WHT TAX ON INT</t>
  </si>
  <si>
    <t>WITHHOLDING TAX ON INTEREST</t>
  </si>
  <si>
    <t>WITHHOLDING TAX</t>
  </si>
  <si>
    <t>WITHHOLDING TAX FOR MARCH</t>
  </si>
  <si>
    <t>WITHOLDING TAX CHARG</t>
  </si>
  <si>
    <t>WTH TAX ON INTEREST</t>
  </si>
  <si>
    <t>WITHHOLDING TAX ON CONSOLIDATE</t>
  </si>
  <si>
    <t>ZIB CHQ 4298</t>
  </si>
  <si>
    <t>TRANSFER FROM ZIB TO FIDELITY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</si>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</sst>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F305-AB3E-4A4E-B6F2-3DC14C3656BF}">
  <dimension ref="A1:E8088"/>
  <sheetViews>
    <sheetView tabSelected="1" workbookViewId="0">
      <pane ySplit="1" topLeftCell="A2" activePane="bottomLeft" state="frozenSplit"/>
      <selection pane="bottomLeft" activeCell="C22" sqref="C22"/>
    </sheetView>
  </sheetViews>
  <sheetFormatPr defaultRowHeight="11.5" x14ac:dyDescent="0.25"/>
  <cols>
    <col min="1" max="1" width="14.6328125" style="2" customWidth="1"/>
    <col min="2" max="2" width="7.6328125" style="6" customWidth="1"/>
    <col min="3" max="3" width="21.6328125" style="2" customWidth="1"/>
    <col min="4" max="5" width="10.6328125" style="8" customWidth="1"/>
    <col min="6" max="16384" width="8.7265625" style="1"/>
  </cols>
  <sheetData>
    <row r="1" spans="1:5" s="11" customFormat="1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</row>
    <row r="2" spans="1:5" x14ac:dyDescent="0.25">
      <c r="A2" s="2" t="s">
        <v>5</v>
      </c>
      <c r="B2" s="6">
        <v>43465</v>
      </c>
      <c r="C2" s="2" t="s">
        <v>6</v>
      </c>
      <c r="D2" s="8">
        <v>14293555.039999999</v>
      </c>
      <c r="E2" s="8">
        <f>0+(14293555.04-0)</f>
        <v>14293555.039999999</v>
      </c>
    </row>
    <row r="3" spans="1:5" x14ac:dyDescent="0.25">
      <c r="A3" s="2" t="s">
        <v>7</v>
      </c>
      <c r="B3" s="6">
        <v>43886</v>
      </c>
      <c r="C3" s="2" t="s">
        <v>8</v>
      </c>
      <c r="D3" s="8">
        <v>13725</v>
      </c>
      <c r="E3" s="8">
        <f>E2+(13725-0)</f>
        <v>14307280.039999999</v>
      </c>
    </row>
    <row r="4" spans="1:5" x14ac:dyDescent="0.25">
      <c r="A4" s="2" t="s">
        <v>9</v>
      </c>
      <c r="B4" s="6">
        <v>45288</v>
      </c>
      <c r="C4" s="2" t="s">
        <v>10</v>
      </c>
      <c r="D4" s="8">
        <v>10000000</v>
      </c>
      <c r="E4" s="8">
        <f>E3+(10000000-0)</f>
        <v>24307280.039999999</v>
      </c>
    </row>
    <row r="5" spans="1:5" x14ac:dyDescent="0.25">
      <c r="A5" s="2" t="s">
        <v>11</v>
      </c>
      <c r="B5" s="6">
        <v>45721</v>
      </c>
      <c r="C5" s="2" t="s">
        <v>12</v>
      </c>
      <c r="D5" s="8">
        <v>-11826000</v>
      </c>
      <c r="E5" s="8">
        <f>E4+(0-11826000)</f>
        <v>12481280.039999999</v>
      </c>
    </row>
    <row r="6" spans="1:5" x14ac:dyDescent="0.25">
      <c r="A6" s="2" t="s">
        <v>13</v>
      </c>
      <c r="B6" s="6">
        <v>43889</v>
      </c>
      <c r="C6" s="2" t="s">
        <v>14</v>
      </c>
      <c r="D6" s="8">
        <v>566650</v>
      </c>
      <c r="E6" s="8">
        <f>E5+(566650-0)</f>
        <v>13047930.039999999</v>
      </c>
    </row>
    <row r="7" spans="1:5" x14ac:dyDescent="0.25">
      <c r="A7" s="2" t="s">
        <v>15</v>
      </c>
      <c r="B7" s="6">
        <v>43657</v>
      </c>
      <c r="C7" s="2" t="s">
        <v>16</v>
      </c>
      <c r="D7" s="8">
        <v>-50</v>
      </c>
      <c r="E7" s="8">
        <f>E6+(0-50)</f>
        <v>13047880.039999999</v>
      </c>
    </row>
    <row r="8" spans="1:5" x14ac:dyDescent="0.25">
      <c r="A8" s="2" t="s">
        <v>15</v>
      </c>
      <c r="B8" s="6">
        <v>43657</v>
      </c>
      <c r="C8" s="2" t="s">
        <v>16</v>
      </c>
      <c r="D8" s="8">
        <v>-250</v>
      </c>
      <c r="E8" s="8">
        <f>E7+(0-250)</f>
        <v>13047630.039999999</v>
      </c>
    </row>
    <row r="9" spans="1:5" x14ac:dyDescent="0.25">
      <c r="A9" s="2" t="s">
        <v>15</v>
      </c>
      <c r="B9" s="6">
        <v>43657</v>
      </c>
      <c r="C9" s="2" t="s">
        <v>16</v>
      </c>
      <c r="D9" s="8">
        <v>-150</v>
      </c>
      <c r="E9" s="8">
        <f>E8+(0-150)</f>
        <v>13047480.039999999</v>
      </c>
    </row>
    <row r="10" spans="1:5" x14ac:dyDescent="0.25">
      <c r="A10" s="2" t="s">
        <v>15</v>
      </c>
      <c r="B10" s="6">
        <v>43657</v>
      </c>
      <c r="C10" s="2" t="s">
        <v>17</v>
      </c>
      <c r="D10" s="8">
        <v>-48</v>
      </c>
      <c r="E10" s="8">
        <f>E9+(0-48)</f>
        <v>13047432.039999999</v>
      </c>
    </row>
    <row r="11" spans="1:5" x14ac:dyDescent="0.25">
      <c r="A11" s="2" t="s">
        <v>15</v>
      </c>
      <c r="B11" s="6">
        <v>43660</v>
      </c>
      <c r="C11" s="2" t="s">
        <v>17</v>
      </c>
      <c r="D11" s="8">
        <v>-16</v>
      </c>
      <c r="E11" s="8">
        <f>E10+(0-16)</f>
        <v>13047416.039999999</v>
      </c>
    </row>
    <row r="12" spans="1:5" x14ac:dyDescent="0.25">
      <c r="A12" s="2" t="s">
        <v>15</v>
      </c>
      <c r="B12" s="6">
        <v>43660</v>
      </c>
      <c r="C12" s="2" t="s">
        <v>17</v>
      </c>
      <c r="D12" s="8">
        <v>-24</v>
      </c>
      <c r="E12" s="8">
        <f>E11+(0-24)</f>
        <v>13047392.039999999</v>
      </c>
    </row>
    <row r="13" spans="1:5" x14ac:dyDescent="0.25">
      <c r="A13" s="2" t="s">
        <v>15</v>
      </c>
      <c r="B13" s="6">
        <v>43661</v>
      </c>
      <c r="C13" s="2" t="s">
        <v>16</v>
      </c>
      <c r="D13" s="8">
        <v>-50</v>
      </c>
      <c r="E13" s="8">
        <f>E12+(0-50)</f>
        <v>13047342.039999999</v>
      </c>
    </row>
    <row r="14" spans="1:5" x14ac:dyDescent="0.25">
      <c r="A14" s="2" t="s">
        <v>15</v>
      </c>
      <c r="B14" s="6">
        <v>43662</v>
      </c>
      <c r="C14" s="2" t="s">
        <v>17</v>
      </c>
      <c r="D14" s="8">
        <v>-4</v>
      </c>
      <c r="E14" s="8">
        <f>E13+(0-4)</f>
        <v>13047338.039999999</v>
      </c>
    </row>
    <row r="15" spans="1:5" x14ac:dyDescent="0.25">
      <c r="A15" s="2" t="s">
        <v>15</v>
      </c>
      <c r="B15" s="6">
        <v>43662</v>
      </c>
      <c r="C15" s="2" t="s">
        <v>17</v>
      </c>
      <c r="D15" s="8">
        <v>-28</v>
      </c>
      <c r="E15" s="8">
        <f>E14+(0-28)</f>
        <v>13047310.039999999</v>
      </c>
    </row>
    <row r="16" spans="1:5" x14ac:dyDescent="0.25">
      <c r="A16" s="2" t="s">
        <v>15</v>
      </c>
      <c r="B16" s="6">
        <v>43662</v>
      </c>
      <c r="C16" s="2" t="s">
        <v>16</v>
      </c>
      <c r="D16" s="8">
        <v>-100</v>
      </c>
      <c r="E16" s="8">
        <f>E15+(0-100)</f>
        <v>13047210.039999999</v>
      </c>
    </row>
    <row r="17" spans="1:5" x14ac:dyDescent="0.25">
      <c r="A17" s="2" t="s">
        <v>15</v>
      </c>
      <c r="B17" s="6">
        <v>43663</v>
      </c>
      <c r="C17" s="2" t="s">
        <v>16</v>
      </c>
      <c r="D17" s="8">
        <v>-50</v>
      </c>
      <c r="E17" s="8">
        <f>E16+(0-50)</f>
        <v>13047160.039999999</v>
      </c>
    </row>
    <row r="18" spans="1:5" x14ac:dyDescent="0.25">
      <c r="A18" s="2" t="s">
        <v>15</v>
      </c>
      <c r="B18" s="6">
        <v>43663</v>
      </c>
      <c r="C18" s="2" t="s">
        <v>17</v>
      </c>
      <c r="D18" s="8">
        <v>-24</v>
      </c>
      <c r="E18" s="8">
        <f>E17+(0-24)</f>
        <v>13047136.039999999</v>
      </c>
    </row>
    <row r="19" spans="1:5" x14ac:dyDescent="0.25">
      <c r="A19" s="2" t="s">
        <v>15</v>
      </c>
      <c r="B19" s="6">
        <v>43663</v>
      </c>
      <c r="C19" s="2" t="s">
        <v>16</v>
      </c>
      <c r="D19" s="8">
        <v>-100</v>
      </c>
      <c r="E19" s="8">
        <f>E18+(0-100)</f>
        <v>13047036.039999999</v>
      </c>
    </row>
    <row r="20" spans="1:5" x14ac:dyDescent="0.25">
      <c r="A20" s="2" t="s">
        <v>15</v>
      </c>
      <c r="B20" s="6">
        <v>43664</v>
      </c>
      <c r="C20" s="2" t="s">
        <v>18</v>
      </c>
      <c r="D20" s="8">
        <v>-52.5</v>
      </c>
      <c r="E20" s="8">
        <f>E19+(0-52.5)</f>
        <v>13046983.539999999</v>
      </c>
    </row>
    <row r="21" spans="1:5" x14ac:dyDescent="0.25">
      <c r="A21" s="2" t="s">
        <v>15</v>
      </c>
      <c r="B21" s="6">
        <v>43664</v>
      </c>
      <c r="C21" s="2" t="s">
        <v>16</v>
      </c>
      <c r="D21" s="8">
        <v>-50</v>
      </c>
      <c r="E21" s="8">
        <f>E20+(0-50)</f>
        <v>13046933.539999999</v>
      </c>
    </row>
    <row r="22" spans="1:5" x14ac:dyDescent="0.25">
      <c r="A22" s="2" t="s">
        <v>15</v>
      </c>
      <c r="B22" s="6">
        <v>43664</v>
      </c>
      <c r="C22" s="2" t="s">
        <v>16</v>
      </c>
      <c r="D22" s="8">
        <v>-100</v>
      </c>
      <c r="E22" s="8">
        <f>E21+(0-100)</f>
        <v>13046833.539999999</v>
      </c>
    </row>
    <row r="23" spans="1:5" x14ac:dyDescent="0.25">
      <c r="A23" s="2" t="s">
        <v>15</v>
      </c>
      <c r="B23" s="6">
        <v>43664</v>
      </c>
      <c r="C23" s="2" t="s">
        <v>19</v>
      </c>
      <c r="D23" s="8">
        <v>-32</v>
      </c>
      <c r="E23" s="8">
        <f>E22+(0-32)</f>
        <v>13046801.539999999</v>
      </c>
    </row>
    <row r="24" spans="1:5" x14ac:dyDescent="0.25">
      <c r="A24" s="2" t="s">
        <v>15</v>
      </c>
      <c r="B24" s="6">
        <v>43665</v>
      </c>
      <c r="C24" s="2" t="s">
        <v>20</v>
      </c>
      <c r="D24" s="8">
        <v>-52.5</v>
      </c>
      <c r="E24" s="8">
        <f>E23+(0-52.5)</f>
        <v>13046749.039999999</v>
      </c>
    </row>
    <row r="25" spans="1:5" x14ac:dyDescent="0.25">
      <c r="A25" s="2" t="s">
        <v>15</v>
      </c>
      <c r="B25" s="6">
        <v>43665</v>
      </c>
      <c r="C25" s="2" t="s">
        <v>17</v>
      </c>
      <c r="D25" s="8">
        <v>-76</v>
      </c>
      <c r="E25" s="8">
        <f>E24+(0-76)</f>
        <v>13046673.039999999</v>
      </c>
    </row>
    <row r="26" spans="1:5" x14ac:dyDescent="0.25">
      <c r="A26" s="2" t="s">
        <v>15</v>
      </c>
      <c r="B26" s="6">
        <v>43665</v>
      </c>
      <c r="C26" s="2" t="s">
        <v>16</v>
      </c>
      <c r="D26" s="8">
        <v>-200</v>
      </c>
      <c r="E26" s="8">
        <f>E25+(0-200)</f>
        <v>13046473.039999999</v>
      </c>
    </row>
    <row r="27" spans="1:5" x14ac:dyDescent="0.25">
      <c r="A27" s="2" t="s">
        <v>15</v>
      </c>
      <c r="B27" s="6">
        <v>43667</v>
      </c>
      <c r="C27" s="2" t="s">
        <v>17</v>
      </c>
      <c r="D27" s="8">
        <v>-44</v>
      </c>
      <c r="E27" s="8">
        <f>E26+(0-44)</f>
        <v>13046429.039999999</v>
      </c>
    </row>
    <row r="28" spans="1:5" x14ac:dyDescent="0.25">
      <c r="A28" s="2" t="s">
        <v>15</v>
      </c>
      <c r="B28" s="6">
        <v>43668</v>
      </c>
      <c r="C28" s="2" t="s">
        <v>17</v>
      </c>
      <c r="D28" s="8">
        <v>-4</v>
      </c>
      <c r="E28" s="8">
        <f>E27+(0-4)</f>
        <v>13046425.039999999</v>
      </c>
    </row>
    <row r="29" spans="1:5" x14ac:dyDescent="0.25">
      <c r="A29" s="2" t="s">
        <v>15</v>
      </c>
      <c r="B29" s="6">
        <v>43668</v>
      </c>
      <c r="C29" s="2" t="s">
        <v>16</v>
      </c>
      <c r="D29" s="8">
        <v>-50</v>
      </c>
      <c r="E29" s="8">
        <f>E28+(0-50)</f>
        <v>13046375.039999999</v>
      </c>
    </row>
    <row r="30" spans="1:5" x14ac:dyDescent="0.25">
      <c r="A30" s="2" t="s">
        <v>15</v>
      </c>
      <c r="B30" s="6">
        <v>43668</v>
      </c>
      <c r="C30" s="2" t="s">
        <v>16</v>
      </c>
      <c r="D30" s="8">
        <v>-200</v>
      </c>
      <c r="E30" s="8">
        <f>E29+(0-200)</f>
        <v>13046175.039999999</v>
      </c>
    </row>
    <row r="31" spans="1:5" x14ac:dyDescent="0.25">
      <c r="A31" s="2" t="s">
        <v>15</v>
      </c>
      <c r="B31" s="6">
        <v>43669</v>
      </c>
      <c r="C31" s="2" t="s">
        <v>19</v>
      </c>
      <c r="D31" s="8">
        <v>-32</v>
      </c>
      <c r="E31" s="8">
        <f>E30+(0-32)</f>
        <v>13046143.039999999</v>
      </c>
    </row>
    <row r="32" spans="1:5" x14ac:dyDescent="0.25">
      <c r="A32" s="2" t="s">
        <v>15</v>
      </c>
      <c r="B32" s="6">
        <v>43669</v>
      </c>
      <c r="C32" s="2" t="s">
        <v>16</v>
      </c>
      <c r="D32" s="8">
        <v>-50</v>
      </c>
      <c r="E32" s="8">
        <f>E31+(0-50)</f>
        <v>13046093.039999999</v>
      </c>
    </row>
    <row r="33" spans="1:5" x14ac:dyDescent="0.25">
      <c r="A33" s="2" t="s">
        <v>15</v>
      </c>
      <c r="B33" s="6">
        <v>43669</v>
      </c>
      <c r="C33" s="2" t="s">
        <v>16</v>
      </c>
      <c r="D33" s="8">
        <v>-50</v>
      </c>
      <c r="E33" s="8">
        <f>E32+(0-50)</f>
        <v>13046043.039999999</v>
      </c>
    </row>
    <row r="34" spans="1:5" x14ac:dyDescent="0.25">
      <c r="A34" s="2" t="s">
        <v>15</v>
      </c>
      <c r="B34" s="6">
        <v>43670</v>
      </c>
      <c r="C34" s="2" t="s">
        <v>16</v>
      </c>
      <c r="D34" s="8">
        <v>-28</v>
      </c>
      <c r="E34" s="8">
        <f>E33+(0-28)</f>
        <v>13046015.039999999</v>
      </c>
    </row>
    <row r="35" spans="1:5" x14ac:dyDescent="0.25">
      <c r="A35" s="2" t="s">
        <v>15</v>
      </c>
      <c r="B35" s="6">
        <v>43670</v>
      </c>
      <c r="C35" s="2" t="s">
        <v>16</v>
      </c>
      <c r="D35" s="8">
        <v>-50</v>
      </c>
      <c r="E35" s="8">
        <f>E34+(0-50)</f>
        <v>13045965.039999999</v>
      </c>
    </row>
    <row r="36" spans="1:5" x14ac:dyDescent="0.25">
      <c r="A36" s="2" t="s">
        <v>15</v>
      </c>
      <c r="B36" s="6">
        <v>43670</v>
      </c>
      <c r="C36" s="2" t="s">
        <v>16</v>
      </c>
      <c r="D36" s="8">
        <v>-50</v>
      </c>
      <c r="E36" s="8">
        <f>E35+(0-50)</f>
        <v>13045915.039999999</v>
      </c>
    </row>
    <row r="37" spans="1:5" x14ac:dyDescent="0.25">
      <c r="A37" s="2" t="s">
        <v>15</v>
      </c>
      <c r="B37" s="6">
        <v>43670</v>
      </c>
      <c r="C37" s="2" t="s">
        <v>16</v>
      </c>
      <c r="D37" s="8">
        <v>-150</v>
      </c>
      <c r="E37" s="8">
        <f>E36+(0-150)</f>
        <v>13045765.039999999</v>
      </c>
    </row>
    <row r="38" spans="1:5" x14ac:dyDescent="0.25">
      <c r="A38" s="2" t="s">
        <v>15</v>
      </c>
      <c r="B38" s="6">
        <v>43671</v>
      </c>
      <c r="C38" s="2" t="s">
        <v>17</v>
      </c>
      <c r="D38" s="8">
        <v>-40</v>
      </c>
      <c r="E38" s="8">
        <f>E37+(0-40)</f>
        <v>13045725.039999999</v>
      </c>
    </row>
    <row r="39" spans="1:5" x14ac:dyDescent="0.25">
      <c r="A39" s="2" t="s">
        <v>21</v>
      </c>
      <c r="B39" s="6">
        <v>44214</v>
      </c>
      <c r="C39" s="2" t="s">
        <v>17</v>
      </c>
      <c r="D39" s="8">
        <v>-16</v>
      </c>
      <c r="E39" s="8">
        <f>E38+(0-16)</f>
        <v>13045709.039999999</v>
      </c>
    </row>
    <row r="40" spans="1:5" x14ac:dyDescent="0.25">
      <c r="A40" s="2" t="s">
        <v>21</v>
      </c>
      <c r="B40" s="6">
        <v>44215</v>
      </c>
      <c r="C40" s="2" t="s">
        <v>22</v>
      </c>
      <c r="D40" s="8">
        <v>-26.88</v>
      </c>
      <c r="E40" s="8">
        <f>E39+(0-26.88)</f>
        <v>13045682.159999998</v>
      </c>
    </row>
    <row r="41" spans="1:5" x14ac:dyDescent="0.25">
      <c r="A41" s="2" t="s">
        <v>21</v>
      </c>
      <c r="B41" s="6">
        <v>44215</v>
      </c>
      <c r="C41" s="2" t="s">
        <v>23</v>
      </c>
      <c r="D41" s="8">
        <v>-53.75</v>
      </c>
      <c r="E41" s="8">
        <f>E40+(0-53.75)</f>
        <v>13045628.409999998</v>
      </c>
    </row>
    <row r="42" spans="1:5" x14ac:dyDescent="0.25">
      <c r="A42" s="2" t="s">
        <v>21</v>
      </c>
      <c r="B42" s="6">
        <v>44215</v>
      </c>
      <c r="C42" s="2" t="s">
        <v>24</v>
      </c>
      <c r="D42" s="8">
        <v>-350</v>
      </c>
      <c r="E42" s="8">
        <f>E41+(0-350)</f>
        <v>13045278.409999998</v>
      </c>
    </row>
    <row r="43" spans="1:5" x14ac:dyDescent="0.25">
      <c r="A43" s="2" t="s">
        <v>21</v>
      </c>
      <c r="B43" s="6">
        <v>44216</v>
      </c>
      <c r="C43" s="2" t="s">
        <v>17</v>
      </c>
      <c r="D43" s="8">
        <v>-44</v>
      </c>
      <c r="E43" s="8">
        <f>E42+(0-44)</f>
        <v>13045234.409999998</v>
      </c>
    </row>
    <row r="44" spans="1:5" x14ac:dyDescent="0.25">
      <c r="A44" s="2" t="s">
        <v>21</v>
      </c>
      <c r="B44" s="6">
        <v>44216</v>
      </c>
      <c r="C44" s="2" t="s">
        <v>25</v>
      </c>
      <c r="D44" s="8">
        <v>-26.88</v>
      </c>
      <c r="E44" s="8">
        <f>E43+(0-26.88)</f>
        <v>13045207.529999997</v>
      </c>
    </row>
    <row r="45" spans="1:5" x14ac:dyDescent="0.25">
      <c r="A45" s="2" t="s">
        <v>21</v>
      </c>
      <c r="B45" s="6">
        <v>44216</v>
      </c>
      <c r="C45" s="2" t="s">
        <v>26</v>
      </c>
      <c r="D45" s="8">
        <v>-53.75</v>
      </c>
      <c r="E45" s="8">
        <f>E44+(0-53.75)</f>
        <v>13045153.779999997</v>
      </c>
    </row>
    <row r="46" spans="1:5" x14ac:dyDescent="0.25">
      <c r="A46" s="2" t="s">
        <v>21</v>
      </c>
      <c r="B46" s="6">
        <v>44216</v>
      </c>
      <c r="C46" s="2" t="s">
        <v>24</v>
      </c>
      <c r="D46" s="8">
        <v>-50</v>
      </c>
      <c r="E46" s="8">
        <f>E45+(0-50)</f>
        <v>13045103.779999997</v>
      </c>
    </row>
    <row r="47" spans="1:5" x14ac:dyDescent="0.25">
      <c r="A47" s="2" t="s">
        <v>21</v>
      </c>
      <c r="B47" s="6">
        <v>44216</v>
      </c>
      <c r="C47" s="2" t="s">
        <v>27</v>
      </c>
      <c r="D47" s="8">
        <v>-43</v>
      </c>
      <c r="E47" s="8">
        <f>E46+(0-43)</f>
        <v>13045060.779999997</v>
      </c>
    </row>
    <row r="48" spans="1:5" x14ac:dyDescent="0.25">
      <c r="A48" s="2" t="s">
        <v>21</v>
      </c>
      <c r="B48" s="6">
        <v>44216</v>
      </c>
      <c r="C48" s="2" t="s">
        <v>24</v>
      </c>
      <c r="D48" s="8">
        <v>-400</v>
      </c>
      <c r="E48" s="8">
        <f>E47+(0-400)</f>
        <v>13044660.779999997</v>
      </c>
    </row>
    <row r="49" spans="1:5" x14ac:dyDescent="0.25">
      <c r="A49" s="2" t="s">
        <v>21</v>
      </c>
      <c r="B49" s="6">
        <v>44217</v>
      </c>
      <c r="C49" s="2" t="s">
        <v>17</v>
      </c>
      <c r="D49" s="8">
        <v>-80</v>
      </c>
      <c r="E49" s="8">
        <f>E48+(0-80)</f>
        <v>13044580.779999997</v>
      </c>
    </row>
    <row r="50" spans="1:5" x14ac:dyDescent="0.25">
      <c r="A50" s="2" t="s">
        <v>21</v>
      </c>
      <c r="B50" s="6">
        <v>44217</v>
      </c>
      <c r="C50" s="2" t="s">
        <v>17</v>
      </c>
      <c r="D50" s="8">
        <v>-84</v>
      </c>
      <c r="E50" s="8">
        <f>E49+(0-84)</f>
        <v>13044496.779999997</v>
      </c>
    </row>
    <row r="51" spans="1:5" x14ac:dyDescent="0.25">
      <c r="A51" s="2" t="s">
        <v>21</v>
      </c>
      <c r="B51" s="6">
        <v>44217</v>
      </c>
      <c r="C51" s="2" t="s">
        <v>24</v>
      </c>
      <c r="D51" s="8">
        <v>-450</v>
      </c>
      <c r="E51" s="8">
        <f>E50+(0-450)</f>
        <v>13044046.779999997</v>
      </c>
    </row>
    <row r="52" spans="1:5" x14ac:dyDescent="0.25">
      <c r="A52" s="2" t="s">
        <v>21</v>
      </c>
      <c r="B52" s="6">
        <v>44217</v>
      </c>
      <c r="C52" s="2" t="s">
        <v>24</v>
      </c>
      <c r="D52" s="8">
        <v>-50</v>
      </c>
      <c r="E52" s="8">
        <f>E51+(0-50)</f>
        <v>13043996.779999997</v>
      </c>
    </row>
    <row r="53" spans="1:5" x14ac:dyDescent="0.25">
      <c r="A53" s="2" t="s">
        <v>21</v>
      </c>
      <c r="B53" s="6">
        <v>44218</v>
      </c>
      <c r="C53" s="2" t="s">
        <v>24</v>
      </c>
      <c r="D53" s="8">
        <v>-100</v>
      </c>
      <c r="E53" s="8">
        <f>E52+(0-100)</f>
        <v>13043896.779999997</v>
      </c>
    </row>
    <row r="54" spans="1:5" x14ac:dyDescent="0.25">
      <c r="A54" s="2" t="s">
        <v>21</v>
      </c>
      <c r="B54" s="6">
        <v>44218</v>
      </c>
      <c r="C54" s="2" t="s">
        <v>24</v>
      </c>
      <c r="D54" s="8">
        <v>-50</v>
      </c>
      <c r="E54" s="8">
        <f>E53+(0-50)</f>
        <v>13043846.779999997</v>
      </c>
    </row>
    <row r="55" spans="1:5" x14ac:dyDescent="0.25">
      <c r="A55" s="2" t="s">
        <v>21</v>
      </c>
      <c r="B55" s="6">
        <v>44221</v>
      </c>
      <c r="C55" s="2" t="s">
        <v>17</v>
      </c>
      <c r="D55" s="8">
        <v>-36</v>
      </c>
      <c r="E55" s="8">
        <f>E54+(0-36)</f>
        <v>13043810.779999997</v>
      </c>
    </row>
    <row r="56" spans="1:5" x14ac:dyDescent="0.25">
      <c r="A56" s="2" t="s">
        <v>21</v>
      </c>
      <c r="B56" s="6">
        <v>44221</v>
      </c>
      <c r="C56" s="2" t="s">
        <v>17</v>
      </c>
      <c r="D56" s="8">
        <v>-8</v>
      </c>
      <c r="E56" s="8">
        <f>E55+(0-8)</f>
        <v>13043802.779999997</v>
      </c>
    </row>
    <row r="57" spans="1:5" x14ac:dyDescent="0.25">
      <c r="A57" s="2" t="s">
        <v>21</v>
      </c>
      <c r="B57" s="6">
        <v>44221</v>
      </c>
      <c r="C57" s="2" t="s">
        <v>28</v>
      </c>
      <c r="D57" s="8">
        <v>-53.75</v>
      </c>
      <c r="E57" s="8">
        <f>E56+(0-53.75)</f>
        <v>13043749.029999997</v>
      </c>
    </row>
    <row r="58" spans="1:5" x14ac:dyDescent="0.25">
      <c r="A58" s="2" t="s">
        <v>21</v>
      </c>
      <c r="B58" s="6">
        <v>44221</v>
      </c>
      <c r="C58" s="2" t="s">
        <v>29</v>
      </c>
      <c r="D58" s="8">
        <v>-26.88</v>
      </c>
      <c r="E58" s="8">
        <f>E57+(0-26.88)</f>
        <v>13043722.149999997</v>
      </c>
    </row>
    <row r="59" spans="1:5" x14ac:dyDescent="0.25">
      <c r="A59" s="2" t="s">
        <v>21</v>
      </c>
      <c r="B59" s="6">
        <v>44221</v>
      </c>
      <c r="C59" s="2" t="s">
        <v>30</v>
      </c>
      <c r="D59" s="8">
        <v>-250</v>
      </c>
      <c r="E59" s="8">
        <f>E58+(0-250)</f>
        <v>13043472.149999997</v>
      </c>
    </row>
    <row r="60" spans="1:5" x14ac:dyDescent="0.25">
      <c r="A60" s="2" t="s">
        <v>21</v>
      </c>
      <c r="B60" s="6">
        <v>44222</v>
      </c>
      <c r="C60" s="2" t="s">
        <v>24</v>
      </c>
      <c r="D60" s="8">
        <v>-300</v>
      </c>
      <c r="E60" s="8">
        <f>E59+(0-300)</f>
        <v>13043172.149999997</v>
      </c>
    </row>
    <row r="61" spans="1:5" x14ac:dyDescent="0.25">
      <c r="A61" s="2" t="s">
        <v>21</v>
      </c>
      <c r="B61" s="6">
        <v>44223</v>
      </c>
      <c r="C61" s="2" t="s">
        <v>24</v>
      </c>
      <c r="D61" s="8">
        <v>-50</v>
      </c>
      <c r="E61" s="8">
        <f>E60+(0-50)</f>
        <v>13043122.149999997</v>
      </c>
    </row>
    <row r="62" spans="1:5" x14ac:dyDescent="0.25">
      <c r="A62" s="2" t="s">
        <v>21</v>
      </c>
      <c r="B62" s="6">
        <v>44223</v>
      </c>
      <c r="C62" s="2" t="s">
        <v>24</v>
      </c>
      <c r="D62" s="8">
        <v>-50</v>
      </c>
      <c r="E62" s="8">
        <f>E61+(0-50)</f>
        <v>13043072.149999997</v>
      </c>
    </row>
    <row r="63" spans="1:5" x14ac:dyDescent="0.25">
      <c r="A63" s="2" t="s">
        <v>21</v>
      </c>
      <c r="B63" s="6">
        <v>44223</v>
      </c>
      <c r="C63" s="2" t="s">
        <v>24</v>
      </c>
      <c r="D63" s="8">
        <v>-50</v>
      </c>
      <c r="E63" s="8">
        <f>E62+(0-50)</f>
        <v>13043022.149999997</v>
      </c>
    </row>
    <row r="64" spans="1:5" x14ac:dyDescent="0.25">
      <c r="A64" s="2" t="s">
        <v>21</v>
      </c>
      <c r="B64" s="6">
        <v>44224</v>
      </c>
      <c r="C64" s="2" t="s">
        <v>31</v>
      </c>
      <c r="D64" s="8">
        <v>-53.75</v>
      </c>
      <c r="E64" s="8">
        <f>E63+(0-53.75)</f>
        <v>13042968.399999997</v>
      </c>
    </row>
    <row r="65" spans="1:5" x14ac:dyDescent="0.25">
      <c r="A65" s="2" t="s">
        <v>21</v>
      </c>
      <c r="B65" s="6">
        <v>44224</v>
      </c>
      <c r="C65" s="2" t="s">
        <v>17</v>
      </c>
      <c r="D65" s="8">
        <v>-48</v>
      </c>
      <c r="E65" s="8">
        <f>E64+(0-48)</f>
        <v>13042920.399999997</v>
      </c>
    </row>
    <row r="66" spans="1:5" x14ac:dyDescent="0.25">
      <c r="A66" s="2" t="s">
        <v>21</v>
      </c>
      <c r="B66" s="6">
        <v>44224</v>
      </c>
      <c r="C66" s="2" t="s">
        <v>17</v>
      </c>
      <c r="D66" s="8">
        <v>-36</v>
      </c>
      <c r="E66" s="8">
        <f>E65+(0-36)</f>
        <v>13042884.399999997</v>
      </c>
    </row>
    <row r="67" spans="1:5" x14ac:dyDescent="0.25">
      <c r="A67" s="2" t="s">
        <v>21</v>
      </c>
      <c r="B67" s="6">
        <v>44224</v>
      </c>
      <c r="C67" s="2" t="s">
        <v>24</v>
      </c>
      <c r="D67" s="8">
        <v>-150</v>
      </c>
      <c r="E67" s="8">
        <f>E66+(0-150)</f>
        <v>13042734.399999997</v>
      </c>
    </row>
    <row r="68" spans="1:5" x14ac:dyDescent="0.25">
      <c r="A68" s="2" t="s">
        <v>21</v>
      </c>
      <c r="B68" s="6">
        <v>44225</v>
      </c>
      <c r="C68" s="2" t="s">
        <v>17</v>
      </c>
      <c r="D68" s="8">
        <v>-32</v>
      </c>
      <c r="E68" s="8">
        <f>E67+(0-32)</f>
        <v>13042702.399999997</v>
      </c>
    </row>
    <row r="69" spans="1:5" x14ac:dyDescent="0.25">
      <c r="A69" s="2" t="s">
        <v>21</v>
      </c>
      <c r="B69" s="6">
        <v>44225</v>
      </c>
      <c r="C69" s="2" t="s">
        <v>32</v>
      </c>
      <c r="D69" s="8">
        <v>-53.75</v>
      </c>
      <c r="E69" s="8">
        <f>E68+(0-53.75)</f>
        <v>13042648.649999997</v>
      </c>
    </row>
    <row r="70" spans="1:5" x14ac:dyDescent="0.25">
      <c r="A70" s="2" t="s">
        <v>21</v>
      </c>
      <c r="B70" s="6">
        <v>44225</v>
      </c>
      <c r="C70" s="2" t="s">
        <v>24</v>
      </c>
      <c r="D70" s="8">
        <v>-50</v>
      </c>
      <c r="E70" s="8">
        <f>E69+(0-50)</f>
        <v>13042598.649999997</v>
      </c>
    </row>
    <row r="71" spans="1:5" x14ac:dyDescent="0.25">
      <c r="A71" s="2" t="s">
        <v>21</v>
      </c>
      <c r="B71" s="6">
        <v>44225</v>
      </c>
      <c r="C71" s="2" t="s">
        <v>24</v>
      </c>
      <c r="D71" s="8">
        <v>-50</v>
      </c>
      <c r="E71" s="8">
        <f>E70+(0-50)</f>
        <v>13042548.649999997</v>
      </c>
    </row>
    <row r="72" spans="1:5" x14ac:dyDescent="0.25">
      <c r="A72" s="2" t="s">
        <v>21</v>
      </c>
      <c r="B72" s="6">
        <v>44225</v>
      </c>
      <c r="C72" s="2" t="s">
        <v>24</v>
      </c>
      <c r="D72" s="8">
        <v>-50</v>
      </c>
      <c r="E72" s="8">
        <f>E71+(0-50)</f>
        <v>13042498.649999997</v>
      </c>
    </row>
    <row r="73" spans="1:5" x14ac:dyDescent="0.25">
      <c r="A73" s="2" t="s">
        <v>21</v>
      </c>
      <c r="B73" s="6">
        <v>44225</v>
      </c>
      <c r="C73" s="2" t="s">
        <v>24</v>
      </c>
      <c r="D73" s="8">
        <v>-50</v>
      </c>
      <c r="E73" s="8">
        <f>E72+(0-50)</f>
        <v>13042448.649999997</v>
      </c>
    </row>
    <row r="74" spans="1:5" x14ac:dyDescent="0.25">
      <c r="A74" s="2" t="s">
        <v>21</v>
      </c>
      <c r="B74" s="6">
        <v>44225</v>
      </c>
      <c r="C74" s="2" t="s">
        <v>24</v>
      </c>
      <c r="D74" s="8">
        <v>-50</v>
      </c>
      <c r="E74" s="8">
        <f>E73+(0-50)</f>
        <v>13042398.649999997</v>
      </c>
    </row>
    <row r="75" spans="1:5" x14ac:dyDescent="0.25">
      <c r="A75" s="2" t="s">
        <v>21</v>
      </c>
      <c r="B75" s="6">
        <v>44225</v>
      </c>
      <c r="C75" s="2" t="s">
        <v>33</v>
      </c>
      <c r="D75" s="8">
        <v>-53.75</v>
      </c>
      <c r="E75" s="8">
        <f>E74+(0-53.75)</f>
        <v>13042344.899999997</v>
      </c>
    </row>
    <row r="76" spans="1:5" x14ac:dyDescent="0.25">
      <c r="A76" s="2" t="s">
        <v>21</v>
      </c>
      <c r="B76" s="6">
        <v>44225</v>
      </c>
      <c r="C76" s="2" t="s">
        <v>34</v>
      </c>
      <c r="D76" s="8">
        <v>-26.88</v>
      </c>
      <c r="E76" s="8">
        <f>E75+(0-26.88)</f>
        <v>13042318.019999996</v>
      </c>
    </row>
    <row r="77" spans="1:5" x14ac:dyDescent="0.25">
      <c r="A77" s="2" t="s">
        <v>21</v>
      </c>
      <c r="B77" s="6">
        <v>44225</v>
      </c>
      <c r="C77" s="2" t="s">
        <v>24</v>
      </c>
      <c r="D77" s="8">
        <v>-50</v>
      </c>
      <c r="E77" s="8">
        <f>E76+(0-50)</f>
        <v>13042268.019999996</v>
      </c>
    </row>
    <row r="78" spans="1:5" x14ac:dyDescent="0.25">
      <c r="A78" s="2" t="s">
        <v>21</v>
      </c>
      <c r="B78" s="6">
        <v>44225</v>
      </c>
      <c r="C78" s="2" t="s">
        <v>24</v>
      </c>
      <c r="D78" s="8">
        <v>-500</v>
      </c>
      <c r="E78" s="8">
        <f>E77+(0-500)</f>
        <v>13041768.019999996</v>
      </c>
    </row>
    <row r="79" spans="1:5" x14ac:dyDescent="0.25">
      <c r="A79" s="2" t="s">
        <v>35</v>
      </c>
      <c r="B79" s="6">
        <v>44225</v>
      </c>
      <c r="C79" s="2" t="s">
        <v>24</v>
      </c>
      <c r="D79" s="8">
        <v>-100</v>
      </c>
      <c r="E79" s="8">
        <f>E78+(0-100)</f>
        <v>13041668.019999996</v>
      </c>
    </row>
    <row r="80" spans="1:5" x14ac:dyDescent="0.25">
      <c r="A80" s="2" t="s">
        <v>36</v>
      </c>
      <c r="B80" s="6">
        <v>43915</v>
      </c>
      <c r="C80" s="2" t="s">
        <v>37</v>
      </c>
      <c r="D80" s="8">
        <v>-105000</v>
      </c>
      <c r="E80" s="8">
        <f>E79+(0-105000)</f>
        <v>12936668.019999996</v>
      </c>
    </row>
    <row r="81" spans="1:5" x14ac:dyDescent="0.25">
      <c r="A81" s="2" t="s">
        <v>38</v>
      </c>
      <c r="B81" s="6">
        <v>43470</v>
      </c>
      <c r="C81" s="2" t="s">
        <v>39</v>
      </c>
      <c r="D81" s="8">
        <v>-52.5</v>
      </c>
      <c r="E81" s="8">
        <f>E80+(0-52.5)</f>
        <v>12936615.519999996</v>
      </c>
    </row>
    <row r="82" spans="1:5" x14ac:dyDescent="0.25">
      <c r="A82" s="2" t="s">
        <v>38</v>
      </c>
      <c r="B82" s="6">
        <v>43471</v>
      </c>
      <c r="C82" s="2" t="s">
        <v>40</v>
      </c>
      <c r="D82" s="8">
        <v>-52.5</v>
      </c>
      <c r="E82" s="8">
        <f>E81+(0-52.5)</f>
        <v>12936563.019999996</v>
      </c>
    </row>
    <row r="83" spans="1:5" x14ac:dyDescent="0.25">
      <c r="A83" s="2" t="s">
        <v>38</v>
      </c>
      <c r="B83" s="6">
        <v>43474</v>
      </c>
      <c r="C83" s="2" t="s">
        <v>41</v>
      </c>
      <c r="D83" s="8">
        <v>-52.5</v>
      </c>
      <c r="E83" s="8">
        <f>E82+(0-52.5)</f>
        <v>12936510.519999996</v>
      </c>
    </row>
    <row r="84" spans="1:5" x14ac:dyDescent="0.25">
      <c r="A84" s="2" t="s">
        <v>38</v>
      </c>
      <c r="B84" s="6">
        <v>43477</v>
      </c>
      <c r="C84" s="2" t="s">
        <v>42</v>
      </c>
      <c r="D84" s="8">
        <v>-52.5</v>
      </c>
      <c r="E84" s="8">
        <f>E83+(0-52.5)</f>
        <v>12936458.019999996</v>
      </c>
    </row>
    <row r="85" spans="1:5" x14ac:dyDescent="0.25">
      <c r="A85" s="2" t="s">
        <v>38</v>
      </c>
      <c r="B85" s="6">
        <v>43486</v>
      </c>
      <c r="C85" s="2" t="s">
        <v>43</v>
      </c>
      <c r="D85" s="8">
        <v>-50</v>
      </c>
      <c r="E85" s="8">
        <f>E84+(0-50)</f>
        <v>12936408.019999996</v>
      </c>
    </row>
    <row r="86" spans="1:5" x14ac:dyDescent="0.25">
      <c r="A86" s="2" t="s">
        <v>38</v>
      </c>
      <c r="B86" s="6">
        <v>43486</v>
      </c>
      <c r="C86" s="2" t="s">
        <v>43</v>
      </c>
      <c r="D86" s="8">
        <v>-100</v>
      </c>
      <c r="E86" s="8">
        <f>E85+(0-100)</f>
        <v>12936308.019999996</v>
      </c>
    </row>
    <row r="87" spans="1:5" x14ac:dyDescent="0.25">
      <c r="A87" s="2" t="s">
        <v>38</v>
      </c>
      <c r="B87" s="6">
        <v>43486</v>
      </c>
      <c r="C87" s="2" t="s">
        <v>44</v>
      </c>
      <c r="D87" s="8">
        <v>-52.5</v>
      </c>
      <c r="E87" s="8">
        <f>E86+(0-52.5)</f>
        <v>12936255.519999996</v>
      </c>
    </row>
    <row r="88" spans="1:5" x14ac:dyDescent="0.25">
      <c r="A88" s="2" t="s">
        <v>38</v>
      </c>
      <c r="B88" s="6">
        <v>43487</v>
      </c>
      <c r="C88" s="2" t="s">
        <v>17</v>
      </c>
      <c r="D88" s="8">
        <v>-180</v>
      </c>
      <c r="E88" s="8">
        <f>E87+(0-180)</f>
        <v>12936075.519999996</v>
      </c>
    </row>
    <row r="89" spans="1:5" x14ac:dyDescent="0.25">
      <c r="A89" s="2" t="s">
        <v>38</v>
      </c>
      <c r="B89" s="6">
        <v>43487</v>
      </c>
      <c r="C89" s="2" t="s">
        <v>43</v>
      </c>
      <c r="D89" s="8">
        <v>-50</v>
      </c>
      <c r="E89" s="8">
        <f>E88+(0-50)</f>
        <v>12936025.519999996</v>
      </c>
    </row>
    <row r="90" spans="1:5" x14ac:dyDescent="0.25">
      <c r="A90" s="2" t="s">
        <v>38</v>
      </c>
      <c r="B90" s="6">
        <v>43488</v>
      </c>
      <c r="C90" s="2" t="s">
        <v>43</v>
      </c>
      <c r="D90" s="8">
        <v>-50</v>
      </c>
      <c r="E90" s="8">
        <f>E89+(0-50)</f>
        <v>12935975.519999996</v>
      </c>
    </row>
    <row r="91" spans="1:5" x14ac:dyDescent="0.25">
      <c r="A91" s="2" t="s">
        <v>38</v>
      </c>
      <c r="B91" s="6">
        <v>43489</v>
      </c>
      <c r="C91" s="2" t="s">
        <v>43</v>
      </c>
      <c r="D91" s="8">
        <v>-50</v>
      </c>
      <c r="E91" s="8">
        <f>E90+(0-50)</f>
        <v>12935925.519999996</v>
      </c>
    </row>
    <row r="92" spans="1:5" x14ac:dyDescent="0.25">
      <c r="A92" s="2" t="s">
        <v>38</v>
      </c>
      <c r="B92" s="6">
        <v>43489</v>
      </c>
      <c r="C92" s="2" t="s">
        <v>43</v>
      </c>
      <c r="D92" s="8">
        <v>-100</v>
      </c>
      <c r="E92" s="8">
        <f>E91+(0-100)</f>
        <v>12935825.519999996</v>
      </c>
    </row>
    <row r="93" spans="1:5" x14ac:dyDescent="0.25">
      <c r="A93" s="2" t="s">
        <v>38</v>
      </c>
      <c r="B93" s="6">
        <v>43489</v>
      </c>
      <c r="C93" s="2" t="s">
        <v>45</v>
      </c>
      <c r="D93" s="8">
        <v>-52.5</v>
      </c>
      <c r="E93" s="8">
        <f>E92+(0-52.5)</f>
        <v>12935773.019999996</v>
      </c>
    </row>
    <row r="94" spans="1:5" x14ac:dyDescent="0.25">
      <c r="A94" s="2" t="s">
        <v>38</v>
      </c>
      <c r="B94" s="6">
        <v>43489</v>
      </c>
      <c r="C94" s="2" t="s">
        <v>45</v>
      </c>
      <c r="D94" s="8">
        <v>-52.5</v>
      </c>
      <c r="E94" s="8">
        <f>E93+(0-52.5)</f>
        <v>12935720.519999996</v>
      </c>
    </row>
    <row r="95" spans="1:5" x14ac:dyDescent="0.25">
      <c r="A95" s="2" t="s">
        <v>38</v>
      </c>
      <c r="B95" s="6">
        <v>43490</v>
      </c>
      <c r="C95" s="2" t="s">
        <v>43</v>
      </c>
      <c r="D95" s="8">
        <v>-100</v>
      </c>
      <c r="E95" s="8">
        <f>E94+(0-100)</f>
        <v>12935620.519999996</v>
      </c>
    </row>
    <row r="96" spans="1:5" x14ac:dyDescent="0.25">
      <c r="A96" s="2" t="s">
        <v>38</v>
      </c>
      <c r="B96" s="6">
        <v>43494</v>
      </c>
      <c r="C96" s="2" t="s">
        <v>43</v>
      </c>
      <c r="D96" s="8">
        <v>-50</v>
      </c>
      <c r="E96" s="8">
        <f>E95+(0-50)</f>
        <v>12935570.519999996</v>
      </c>
    </row>
    <row r="97" spans="1:5" x14ac:dyDescent="0.25">
      <c r="A97" s="2" t="s">
        <v>38</v>
      </c>
      <c r="B97" s="6">
        <v>43494</v>
      </c>
      <c r="C97" s="2" t="s">
        <v>43</v>
      </c>
      <c r="D97" s="8">
        <v>-100</v>
      </c>
      <c r="E97" s="8">
        <f>E96+(0-100)</f>
        <v>12935470.519999996</v>
      </c>
    </row>
    <row r="98" spans="1:5" x14ac:dyDescent="0.25">
      <c r="A98" s="2" t="s">
        <v>38</v>
      </c>
      <c r="B98" s="6">
        <v>43494</v>
      </c>
      <c r="C98" s="2" t="s">
        <v>46</v>
      </c>
      <c r="D98" s="8">
        <v>-52.5</v>
      </c>
      <c r="E98" s="8">
        <f>E97+(0-52.5)</f>
        <v>12935418.019999996</v>
      </c>
    </row>
    <row r="99" spans="1:5" x14ac:dyDescent="0.25">
      <c r="A99" s="2" t="s">
        <v>38</v>
      </c>
      <c r="B99" s="6">
        <v>43495</v>
      </c>
      <c r="C99" s="2" t="s">
        <v>43</v>
      </c>
      <c r="D99" s="8">
        <v>-50</v>
      </c>
      <c r="E99" s="8">
        <f>E98+(0-50)</f>
        <v>12935368.019999996</v>
      </c>
    </row>
    <row r="100" spans="1:5" x14ac:dyDescent="0.25">
      <c r="A100" s="2" t="s">
        <v>38</v>
      </c>
      <c r="B100" s="6">
        <v>43496</v>
      </c>
      <c r="C100" s="2" t="s">
        <v>43</v>
      </c>
      <c r="D100" s="8">
        <v>-50</v>
      </c>
      <c r="E100" s="8">
        <f>E99+(0-50)</f>
        <v>12935318.019999996</v>
      </c>
    </row>
    <row r="101" spans="1:5" x14ac:dyDescent="0.25">
      <c r="A101" s="2" t="s">
        <v>38</v>
      </c>
      <c r="B101" s="6">
        <v>43496</v>
      </c>
      <c r="C101" s="2" t="s">
        <v>43</v>
      </c>
      <c r="D101" s="8">
        <v>-50</v>
      </c>
      <c r="E101" s="8">
        <f>E100+(0-50)</f>
        <v>12935268.019999996</v>
      </c>
    </row>
    <row r="102" spans="1:5" x14ac:dyDescent="0.25">
      <c r="A102" s="2" t="s">
        <v>38</v>
      </c>
      <c r="B102" s="6">
        <v>43496</v>
      </c>
      <c r="C102" s="2" t="s">
        <v>43</v>
      </c>
      <c r="D102" s="8">
        <v>-50</v>
      </c>
      <c r="E102" s="8">
        <f>E101+(0-50)</f>
        <v>12935218.019999996</v>
      </c>
    </row>
    <row r="103" spans="1:5" x14ac:dyDescent="0.25">
      <c r="A103" s="2" t="s">
        <v>38</v>
      </c>
      <c r="B103" s="6">
        <v>43496</v>
      </c>
      <c r="C103" s="2" t="s">
        <v>45</v>
      </c>
      <c r="D103" s="8">
        <v>-52.5</v>
      </c>
      <c r="E103" s="8">
        <f>E102+(0-52.5)</f>
        <v>12935165.519999996</v>
      </c>
    </row>
    <row r="104" spans="1:5" x14ac:dyDescent="0.25">
      <c r="A104" s="2" t="s">
        <v>38</v>
      </c>
      <c r="B104" s="6">
        <v>43496</v>
      </c>
      <c r="C104" s="2" t="s">
        <v>47</v>
      </c>
      <c r="D104" s="8">
        <v>-52.5</v>
      </c>
      <c r="E104" s="8">
        <f>E103+(0-52.5)</f>
        <v>12935113.019999996</v>
      </c>
    </row>
    <row r="105" spans="1:5" x14ac:dyDescent="0.25">
      <c r="A105" s="2" t="s">
        <v>38</v>
      </c>
      <c r="B105" s="6">
        <v>43496</v>
      </c>
      <c r="C105" s="2" t="s">
        <v>17</v>
      </c>
      <c r="D105" s="8">
        <v>-256</v>
      </c>
      <c r="E105" s="8">
        <f>E104+(0-256)</f>
        <v>12934857.019999996</v>
      </c>
    </row>
    <row r="106" spans="1:5" x14ac:dyDescent="0.25">
      <c r="A106" s="2" t="s">
        <v>38</v>
      </c>
      <c r="B106" s="6">
        <v>43497</v>
      </c>
      <c r="C106" s="2" t="s">
        <v>43</v>
      </c>
      <c r="D106" s="8">
        <v>-50</v>
      </c>
      <c r="E106" s="8">
        <f>E105+(0-50)</f>
        <v>12934807.019999996</v>
      </c>
    </row>
    <row r="107" spans="1:5" x14ac:dyDescent="0.25">
      <c r="A107" s="2" t="s">
        <v>38</v>
      </c>
      <c r="B107" s="6">
        <v>43514</v>
      </c>
      <c r="C107" s="2" t="s">
        <v>48</v>
      </c>
      <c r="D107" s="8">
        <v>-52.5</v>
      </c>
      <c r="E107" s="8">
        <f>E106+(0-52.5)</f>
        <v>12934754.519999996</v>
      </c>
    </row>
    <row r="108" spans="1:5" x14ac:dyDescent="0.25">
      <c r="A108" s="2" t="s">
        <v>38</v>
      </c>
      <c r="B108" s="6">
        <v>43514</v>
      </c>
      <c r="C108" s="2" t="s">
        <v>43</v>
      </c>
      <c r="D108" s="8">
        <v>-50</v>
      </c>
      <c r="E108" s="8">
        <f>E107+(0-50)</f>
        <v>12934704.519999996</v>
      </c>
    </row>
    <row r="109" spans="1:5" x14ac:dyDescent="0.25">
      <c r="A109" s="2" t="s">
        <v>38</v>
      </c>
      <c r="B109" s="6">
        <v>43514</v>
      </c>
      <c r="C109" s="2" t="s">
        <v>43</v>
      </c>
      <c r="D109" s="8">
        <v>-200</v>
      </c>
      <c r="E109" s="8">
        <f>E108+(0-200)</f>
        <v>12934504.519999996</v>
      </c>
    </row>
    <row r="110" spans="1:5" x14ac:dyDescent="0.25">
      <c r="A110" s="2" t="s">
        <v>38</v>
      </c>
      <c r="B110" s="6">
        <v>43515</v>
      </c>
      <c r="C110" s="2" t="s">
        <v>43</v>
      </c>
      <c r="D110" s="8">
        <v>-50</v>
      </c>
      <c r="E110" s="8">
        <f>E109+(0-50)</f>
        <v>12934454.519999996</v>
      </c>
    </row>
    <row r="111" spans="1:5" x14ac:dyDescent="0.25">
      <c r="A111" s="2" t="s">
        <v>38</v>
      </c>
      <c r="B111" s="6">
        <v>43515</v>
      </c>
      <c r="C111" s="2" t="s">
        <v>43</v>
      </c>
      <c r="D111" s="8">
        <v>-50</v>
      </c>
      <c r="E111" s="8">
        <f>E110+(0-50)</f>
        <v>12934404.519999996</v>
      </c>
    </row>
    <row r="112" spans="1:5" x14ac:dyDescent="0.25">
      <c r="A112" s="2" t="s">
        <v>38</v>
      </c>
      <c r="B112" s="6">
        <v>43515</v>
      </c>
      <c r="C112" s="2" t="s">
        <v>43</v>
      </c>
      <c r="D112" s="8">
        <v>-100</v>
      </c>
      <c r="E112" s="8">
        <f>E111+(0-100)</f>
        <v>12934304.519999996</v>
      </c>
    </row>
    <row r="113" spans="1:5" x14ac:dyDescent="0.25">
      <c r="A113" s="2" t="s">
        <v>38</v>
      </c>
      <c r="B113" s="6">
        <v>43516</v>
      </c>
      <c r="C113" s="2" t="s">
        <v>43</v>
      </c>
      <c r="D113" s="8">
        <v>-50</v>
      </c>
      <c r="E113" s="8">
        <f>E112+(0-50)</f>
        <v>12934254.519999996</v>
      </c>
    </row>
    <row r="114" spans="1:5" x14ac:dyDescent="0.25">
      <c r="A114" s="2" t="s">
        <v>38</v>
      </c>
      <c r="B114" s="6">
        <v>43517</v>
      </c>
      <c r="C114" s="2" t="s">
        <v>43</v>
      </c>
      <c r="D114" s="8">
        <v>-200</v>
      </c>
      <c r="E114" s="8">
        <f>E113+(0-200)</f>
        <v>12934054.519999996</v>
      </c>
    </row>
    <row r="115" spans="1:5" x14ac:dyDescent="0.25">
      <c r="A115" s="2" t="s">
        <v>38</v>
      </c>
      <c r="B115" s="6">
        <v>43518</v>
      </c>
      <c r="C115" s="2" t="s">
        <v>43</v>
      </c>
      <c r="D115" s="8">
        <v>-50</v>
      </c>
      <c r="E115" s="8">
        <f>E114+(0-50)</f>
        <v>12934004.519999996</v>
      </c>
    </row>
    <row r="116" spans="1:5" x14ac:dyDescent="0.25">
      <c r="A116" s="2" t="s">
        <v>38</v>
      </c>
      <c r="B116" s="6">
        <v>43521</v>
      </c>
      <c r="C116" s="2" t="s">
        <v>19</v>
      </c>
      <c r="D116" s="8">
        <v>-344</v>
      </c>
      <c r="E116" s="8">
        <f>E115+(0-344)</f>
        <v>12933660.519999996</v>
      </c>
    </row>
    <row r="117" spans="1:5" x14ac:dyDescent="0.25">
      <c r="A117" s="2" t="s">
        <v>38</v>
      </c>
      <c r="B117" s="6">
        <v>43521</v>
      </c>
      <c r="C117" s="2" t="s">
        <v>43</v>
      </c>
      <c r="D117" s="8">
        <v>-200</v>
      </c>
      <c r="E117" s="8">
        <f>E116+(0-200)</f>
        <v>12933460.519999996</v>
      </c>
    </row>
    <row r="118" spans="1:5" x14ac:dyDescent="0.25">
      <c r="A118" s="2" t="s">
        <v>38</v>
      </c>
      <c r="B118" s="6">
        <v>43522</v>
      </c>
      <c r="C118" s="2" t="s">
        <v>43</v>
      </c>
      <c r="D118" s="8">
        <v>-50</v>
      </c>
      <c r="E118" s="8">
        <f>E117+(0-50)</f>
        <v>12933410.519999996</v>
      </c>
    </row>
    <row r="119" spans="1:5" x14ac:dyDescent="0.25">
      <c r="A119" s="2" t="s">
        <v>38</v>
      </c>
      <c r="B119" s="6">
        <v>43522</v>
      </c>
      <c r="C119" s="2" t="s">
        <v>43</v>
      </c>
      <c r="D119" s="8">
        <v>-50</v>
      </c>
      <c r="E119" s="8">
        <f>E118+(0-50)</f>
        <v>12933360.519999996</v>
      </c>
    </row>
    <row r="120" spans="1:5" x14ac:dyDescent="0.25">
      <c r="A120" s="2" t="s">
        <v>38</v>
      </c>
      <c r="B120" s="6">
        <v>43522</v>
      </c>
      <c r="C120" s="2" t="s">
        <v>49</v>
      </c>
      <c r="D120" s="8">
        <v>-52.5</v>
      </c>
      <c r="E120" s="8">
        <f>E119+(0-52.5)</f>
        <v>12933308.019999996</v>
      </c>
    </row>
    <row r="121" spans="1:5" x14ac:dyDescent="0.25">
      <c r="A121" s="2" t="s">
        <v>38</v>
      </c>
      <c r="B121" s="6">
        <v>43522</v>
      </c>
      <c r="C121" s="2" t="s">
        <v>43</v>
      </c>
      <c r="D121" s="8">
        <v>-200</v>
      </c>
      <c r="E121" s="8">
        <f>E120+(0-200)</f>
        <v>12933108.019999996</v>
      </c>
    </row>
    <row r="122" spans="1:5" x14ac:dyDescent="0.25">
      <c r="A122" s="2" t="s">
        <v>38</v>
      </c>
      <c r="B122" s="6">
        <v>43523</v>
      </c>
      <c r="C122" s="2" t="s">
        <v>43</v>
      </c>
      <c r="D122" s="8">
        <v>-150</v>
      </c>
      <c r="E122" s="8">
        <f>E121+(0-150)</f>
        <v>12932958.019999996</v>
      </c>
    </row>
    <row r="123" spans="1:5" x14ac:dyDescent="0.25">
      <c r="A123" s="2" t="s">
        <v>38</v>
      </c>
      <c r="B123" s="6">
        <v>43524</v>
      </c>
      <c r="C123" s="2" t="s">
        <v>43</v>
      </c>
      <c r="D123" s="8">
        <v>-50</v>
      </c>
      <c r="E123" s="8">
        <f>E122+(0-50)</f>
        <v>12932908.019999996</v>
      </c>
    </row>
    <row r="124" spans="1:5" x14ac:dyDescent="0.25">
      <c r="A124" s="2" t="s">
        <v>38</v>
      </c>
      <c r="B124" s="6">
        <v>43524</v>
      </c>
      <c r="C124" s="2" t="s">
        <v>50</v>
      </c>
      <c r="D124" s="8">
        <v>-945</v>
      </c>
      <c r="E124" s="8">
        <f>E123+(0-945)</f>
        <v>12931963.019999996</v>
      </c>
    </row>
    <row r="125" spans="1:5" x14ac:dyDescent="0.25">
      <c r="A125" s="2" t="s">
        <v>38</v>
      </c>
      <c r="B125" s="6">
        <v>43524</v>
      </c>
      <c r="C125" s="2" t="s">
        <v>51</v>
      </c>
      <c r="D125" s="8">
        <v>-210</v>
      </c>
      <c r="E125" s="8">
        <f>E124+(0-210)</f>
        <v>12931753.019999996</v>
      </c>
    </row>
    <row r="126" spans="1:5" x14ac:dyDescent="0.25">
      <c r="A126" s="2" t="s">
        <v>38</v>
      </c>
      <c r="B126" s="6">
        <v>43524</v>
      </c>
      <c r="C126" s="2" t="s">
        <v>43</v>
      </c>
      <c r="D126" s="8">
        <v>-100</v>
      </c>
      <c r="E126" s="8">
        <f>E125+(0-100)</f>
        <v>12931653.019999996</v>
      </c>
    </row>
    <row r="127" spans="1:5" x14ac:dyDescent="0.25">
      <c r="A127" s="2" t="s">
        <v>38</v>
      </c>
      <c r="B127" s="6">
        <v>43579</v>
      </c>
      <c r="C127" s="2" t="s">
        <v>24</v>
      </c>
      <c r="D127" s="8">
        <v>-50</v>
      </c>
      <c r="E127" s="8">
        <f>E126+(0-50)</f>
        <v>12931603.019999996</v>
      </c>
    </row>
    <row r="128" spans="1:5" x14ac:dyDescent="0.25">
      <c r="A128" s="2" t="s">
        <v>38</v>
      </c>
      <c r="B128" s="6">
        <v>43594</v>
      </c>
      <c r="C128" s="2" t="s">
        <v>52</v>
      </c>
      <c r="D128" s="8">
        <v>-100</v>
      </c>
      <c r="E128" s="8">
        <f>E127+(0-100)</f>
        <v>12931503.019999996</v>
      </c>
    </row>
    <row r="129" spans="1:5" x14ac:dyDescent="0.25">
      <c r="A129" s="2" t="s">
        <v>38</v>
      </c>
      <c r="B129" s="6">
        <v>43598</v>
      </c>
      <c r="C129" s="2" t="s">
        <v>53</v>
      </c>
      <c r="D129" s="8">
        <v>-52.5</v>
      </c>
      <c r="E129" s="8">
        <f>E128+(0-52.5)</f>
        <v>12931450.519999996</v>
      </c>
    </row>
    <row r="130" spans="1:5" x14ac:dyDescent="0.25">
      <c r="A130" s="2" t="s">
        <v>38</v>
      </c>
      <c r="B130" s="6">
        <v>43598</v>
      </c>
      <c r="C130" s="2" t="s">
        <v>53</v>
      </c>
      <c r="D130" s="8">
        <v>-52.5</v>
      </c>
      <c r="E130" s="8">
        <f>E129+(0-52.5)</f>
        <v>12931398.019999996</v>
      </c>
    </row>
    <row r="131" spans="1:5" x14ac:dyDescent="0.25">
      <c r="A131" s="2" t="s">
        <v>38</v>
      </c>
      <c r="B131" s="6">
        <v>43600</v>
      </c>
      <c r="C131" s="2" t="s">
        <v>54</v>
      </c>
      <c r="D131" s="8">
        <v>-52.5</v>
      </c>
      <c r="E131" s="8">
        <f>E130+(0-52.5)</f>
        <v>12931345.519999996</v>
      </c>
    </row>
    <row r="132" spans="1:5" x14ac:dyDescent="0.25">
      <c r="A132" s="2" t="s">
        <v>38</v>
      </c>
      <c r="B132" s="6">
        <v>43601</v>
      </c>
      <c r="C132" s="2" t="s">
        <v>55</v>
      </c>
      <c r="D132" s="8">
        <v>-52.5</v>
      </c>
      <c r="E132" s="8">
        <f>E131+(0-52.5)</f>
        <v>12931293.019999996</v>
      </c>
    </row>
    <row r="133" spans="1:5" x14ac:dyDescent="0.25">
      <c r="A133" s="2" t="s">
        <v>38</v>
      </c>
      <c r="B133" s="6">
        <v>43609</v>
      </c>
      <c r="C133" s="2" t="s">
        <v>16</v>
      </c>
      <c r="D133" s="8">
        <v>-50</v>
      </c>
      <c r="E133" s="8">
        <f>E132+(0-50)</f>
        <v>12931243.019999996</v>
      </c>
    </row>
    <row r="134" spans="1:5" x14ac:dyDescent="0.25">
      <c r="A134" s="2" t="s">
        <v>38</v>
      </c>
      <c r="B134" s="6">
        <v>43609</v>
      </c>
      <c r="C134" s="2" t="s">
        <v>16</v>
      </c>
      <c r="D134" s="8">
        <v>-50</v>
      </c>
      <c r="E134" s="8">
        <f>E133+(0-50)</f>
        <v>12931193.019999996</v>
      </c>
    </row>
    <row r="135" spans="1:5" x14ac:dyDescent="0.25">
      <c r="A135" s="2" t="s">
        <v>38</v>
      </c>
      <c r="B135" s="6">
        <v>43609</v>
      </c>
      <c r="C135" s="2" t="s">
        <v>16</v>
      </c>
      <c r="D135" s="8">
        <v>-50</v>
      </c>
      <c r="E135" s="8">
        <f>E134+(0-50)</f>
        <v>12931143.019999996</v>
      </c>
    </row>
    <row r="136" spans="1:5" x14ac:dyDescent="0.25">
      <c r="A136" s="2" t="s">
        <v>38</v>
      </c>
      <c r="B136" s="6">
        <v>43612</v>
      </c>
      <c r="C136" s="2" t="s">
        <v>16</v>
      </c>
      <c r="D136" s="8">
        <v>-200</v>
      </c>
      <c r="E136" s="8">
        <f>E135+(0-200)</f>
        <v>12930943.019999996</v>
      </c>
    </row>
    <row r="137" spans="1:5" x14ac:dyDescent="0.25">
      <c r="A137" s="2" t="s">
        <v>38</v>
      </c>
      <c r="B137" s="6">
        <v>43613</v>
      </c>
      <c r="C137" s="2" t="s">
        <v>16</v>
      </c>
      <c r="D137" s="8">
        <v>-150</v>
      </c>
      <c r="E137" s="8">
        <f>E136+(0-150)</f>
        <v>12930793.019999996</v>
      </c>
    </row>
    <row r="138" spans="1:5" x14ac:dyDescent="0.25">
      <c r="A138" s="2" t="s">
        <v>38</v>
      </c>
      <c r="B138" s="6">
        <v>43613</v>
      </c>
      <c r="C138" s="2" t="s">
        <v>16</v>
      </c>
      <c r="D138" s="8">
        <v>-50</v>
      </c>
      <c r="E138" s="8">
        <f>E137+(0-50)</f>
        <v>12930743.019999996</v>
      </c>
    </row>
    <row r="139" spans="1:5" x14ac:dyDescent="0.25">
      <c r="A139" s="2" t="s">
        <v>38</v>
      </c>
      <c r="B139" s="6">
        <v>43615</v>
      </c>
      <c r="C139" s="2" t="s">
        <v>16</v>
      </c>
      <c r="D139" s="8">
        <v>-50</v>
      </c>
      <c r="E139" s="8">
        <f>E138+(0-50)</f>
        <v>12930693.019999996</v>
      </c>
    </row>
    <row r="140" spans="1:5" x14ac:dyDescent="0.25">
      <c r="A140" s="2" t="s">
        <v>38</v>
      </c>
      <c r="B140" s="6">
        <v>43615</v>
      </c>
      <c r="C140" s="2" t="s">
        <v>16</v>
      </c>
      <c r="D140" s="8">
        <v>-200</v>
      </c>
      <c r="E140" s="8">
        <f>E139+(0-200)</f>
        <v>12930493.019999996</v>
      </c>
    </row>
    <row r="141" spans="1:5" x14ac:dyDescent="0.25">
      <c r="A141" s="2" t="s">
        <v>38</v>
      </c>
      <c r="B141" s="6">
        <v>43615</v>
      </c>
      <c r="C141" s="2" t="s">
        <v>17</v>
      </c>
      <c r="D141" s="8">
        <v>-324</v>
      </c>
      <c r="E141" s="8">
        <f>E140+(0-324)</f>
        <v>12930169.019999996</v>
      </c>
    </row>
    <row r="142" spans="1:5" x14ac:dyDescent="0.25">
      <c r="A142" s="2" t="s">
        <v>38</v>
      </c>
      <c r="B142" s="6">
        <v>43616</v>
      </c>
      <c r="C142" s="2" t="s">
        <v>16</v>
      </c>
      <c r="D142" s="8">
        <v>-50</v>
      </c>
      <c r="E142" s="8">
        <f>E141+(0-50)</f>
        <v>12930119.019999996</v>
      </c>
    </row>
    <row r="143" spans="1:5" x14ac:dyDescent="0.25">
      <c r="A143" s="2" t="s">
        <v>38</v>
      </c>
      <c r="B143" s="6">
        <v>43616</v>
      </c>
      <c r="C143" s="2" t="s">
        <v>16</v>
      </c>
      <c r="D143" s="8">
        <v>-100</v>
      </c>
      <c r="E143" s="8">
        <f>E142+(0-100)</f>
        <v>12930019.019999996</v>
      </c>
    </row>
    <row r="144" spans="1:5" x14ac:dyDescent="0.25">
      <c r="A144" s="2" t="s">
        <v>38</v>
      </c>
      <c r="B144" s="6">
        <v>43616</v>
      </c>
      <c r="C144" s="2" t="s">
        <v>16</v>
      </c>
      <c r="D144" s="8">
        <v>-50</v>
      </c>
      <c r="E144" s="8">
        <f>E143+(0-50)</f>
        <v>12929969.019999996</v>
      </c>
    </row>
    <row r="145" spans="1:5" x14ac:dyDescent="0.25">
      <c r="A145" s="2" t="s">
        <v>38</v>
      </c>
      <c r="B145" s="6">
        <v>43616</v>
      </c>
      <c r="C145" s="2" t="s">
        <v>56</v>
      </c>
      <c r="D145" s="8">
        <v>-52.5</v>
      </c>
      <c r="E145" s="8">
        <f>E144+(0-52.5)</f>
        <v>12929916.519999996</v>
      </c>
    </row>
    <row r="146" spans="1:5" x14ac:dyDescent="0.25">
      <c r="A146" s="2" t="s">
        <v>38</v>
      </c>
      <c r="B146" s="6">
        <v>43616</v>
      </c>
      <c r="C146" s="2" t="s">
        <v>57</v>
      </c>
      <c r="D146" s="8">
        <v>-52.5</v>
      </c>
      <c r="E146" s="8">
        <f>E145+(0-52.5)</f>
        <v>12929864.019999996</v>
      </c>
    </row>
    <row r="147" spans="1:5" x14ac:dyDescent="0.25">
      <c r="A147" s="2" t="s">
        <v>38</v>
      </c>
      <c r="B147" s="6">
        <v>43616</v>
      </c>
      <c r="C147" s="2" t="s">
        <v>52</v>
      </c>
      <c r="D147" s="8">
        <v>-50</v>
      </c>
      <c r="E147" s="8">
        <f>E146+(0-50)</f>
        <v>12929814.019999996</v>
      </c>
    </row>
    <row r="148" spans="1:5" x14ac:dyDescent="0.25">
      <c r="A148" s="2" t="s">
        <v>38</v>
      </c>
      <c r="B148" s="6">
        <v>43619</v>
      </c>
      <c r="C148" s="2" t="s">
        <v>17</v>
      </c>
      <c r="D148" s="8">
        <v>-236</v>
      </c>
      <c r="E148" s="8">
        <f>E147+(0-236)</f>
        <v>12929578.019999996</v>
      </c>
    </row>
    <row r="149" spans="1:5" x14ac:dyDescent="0.25">
      <c r="A149" s="2" t="s">
        <v>38</v>
      </c>
      <c r="B149" s="6">
        <v>43622</v>
      </c>
      <c r="C149" s="2" t="s">
        <v>16</v>
      </c>
      <c r="D149" s="8">
        <v>-200</v>
      </c>
      <c r="E149" s="8">
        <f>E148+(0-200)</f>
        <v>12929378.019999996</v>
      </c>
    </row>
    <row r="150" spans="1:5" x14ac:dyDescent="0.25">
      <c r="A150" s="2" t="s">
        <v>38</v>
      </c>
      <c r="B150" s="6">
        <v>43623</v>
      </c>
      <c r="C150" s="2" t="s">
        <v>58</v>
      </c>
      <c r="D150" s="8">
        <v>-52.5</v>
      </c>
      <c r="E150" s="8">
        <f>E149+(0-52.5)</f>
        <v>12929325.519999996</v>
      </c>
    </row>
    <row r="151" spans="1:5" x14ac:dyDescent="0.25">
      <c r="A151" s="2" t="s">
        <v>38</v>
      </c>
      <c r="B151" s="6">
        <v>43623</v>
      </c>
      <c r="C151" s="2" t="s">
        <v>16</v>
      </c>
      <c r="D151" s="8">
        <v>-150</v>
      </c>
      <c r="E151" s="8">
        <f>E150+(0-150)</f>
        <v>12929175.519999996</v>
      </c>
    </row>
    <row r="152" spans="1:5" x14ac:dyDescent="0.25">
      <c r="A152" s="2" t="s">
        <v>38</v>
      </c>
      <c r="B152" s="6">
        <v>43624</v>
      </c>
      <c r="C152" s="2" t="s">
        <v>17</v>
      </c>
      <c r="D152" s="8">
        <v>-164</v>
      </c>
      <c r="E152" s="8">
        <f>E151+(0-164)</f>
        <v>12929011.519999996</v>
      </c>
    </row>
    <row r="153" spans="1:5" x14ac:dyDescent="0.25">
      <c r="A153" s="2" t="s">
        <v>38</v>
      </c>
      <c r="B153" s="6">
        <v>43626</v>
      </c>
      <c r="C153" s="2" t="s">
        <v>16</v>
      </c>
      <c r="D153" s="8">
        <v>-250</v>
      </c>
      <c r="E153" s="8">
        <f>E152+(0-250)</f>
        <v>12928761.519999996</v>
      </c>
    </row>
    <row r="154" spans="1:5" x14ac:dyDescent="0.25">
      <c r="A154" s="2" t="s">
        <v>38</v>
      </c>
      <c r="B154" s="6">
        <v>43648</v>
      </c>
      <c r="C154" s="2" t="s">
        <v>16</v>
      </c>
      <c r="D154" s="8">
        <v>-150</v>
      </c>
      <c r="E154" s="8">
        <f>E153+(0-150)</f>
        <v>12928611.519999996</v>
      </c>
    </row>
    <row r="155" spans="1:5" x14ac:dyDescent="0.25">
      <c r="A155" s="2" t="s">
        <v>38</v>
      </c>
      <c r="B155" s="6">
        <v>43649</v>
      </c>
      <c r="C155" s="2" t="s">
        <v>16</v>
      </c>
      <c r="D155" s="8">
        <v>-150</v>
      </c>
      <c r="E155" s="8">
        <f>E154+(0-150)</f>
        <v>12928461.519999996</v>
      </c>
    </row>
    <row r="156" spans="1:5" x14ac:dyDescent="0.25">
      <c r="A156" s="2" t="s">
        <v>38</v>
      </c>
      <c r="B156" s="6">
        <v>43650</v>
      </c>
      <c r="C156" s="2" t="s">
        <v>17</v>
      </c>
      <c r="D156" s="8">
        <v>-40</v>
      </c>
      <c r="E156" s="8">
        <f>E155+(0-40)</f>
        <v>12928421.519999996</v>
      </c>
    </row>
    <row r="157" spans="1:5" x14ac:dyDescent="0.25">
      <c r="A157" s="2" t="s">
        <v>38</v>
      </c>
      <c r="B157" s="6">
        <v>43650</v>
      </c>
      <c r="C157" s="2" t="s">
        <v>16</v>
      </c>
      <c r="D157" s="8">
        <v>-50</v>
      </c>
      <c r="E157" s="8">
        <f>E156+(0-50)</f>
        <v>12928371.519999996</v>
      </c>
    </row>
    <row r="158" spans="1:5" x14ac:dyDescent="0.25">
      <c r="A158" s="2" t="s">
        <v>38</v>
      </c>
      <c r="B158" s="6">
        <v>43650</v>
      </c>
      <c r="C158" s="2" t="s">
        <v>16</v>
      </c>
      <c r="D158" s="8">
        <v>-250</v>
      </c>
      <c r="E158" s="8">
        <f>E157+(0-250)</f>
        <v>12928121.519999996</v>
      </c>
    </row>
    <row r="159" spans="1:5" x14ac:dyDescent="0.25">
      <c r="A159" s="2" t="s">
        <v>38</v>
      </c>
      <c r="B159" s="6">
        <v>43651</v>
      </c>
      <c r="C159" s="2" t="s">
        <v>17</v>
      </c>
      <c r="D159" s="8">
        <v>-40</v>
      </c>
      <c r="E159" s="8">
        <f>E158+(0-40)</f>
        <v>12928081.519999996</v>
      </c>
    </row>
    <row r="160" spans="1:5" x14ac:dyDescent="0.25">
      <c r="A160" s="2" t="s">
        <v>38</v>
      </c>
      <c r="B160" s="6">
        <v>43651</v>
      </c>
      <c r="C160" s="2" t="s">
        <v>16</v>
      </c>
      <c r="D160" s="8">
        <v>-150</v>
      </c>
      <c r="E160" s="8">
        <f>E159+(0-150)</f>
        <v>12927931.519999996</v>
      </c>
    </row>
    <row r="161" spans="1:5" x14ac:dyDescent="0.25">
      <c r="A161" s="2" t="s">
        <v>38</v>
      </c>
      <c r="B161" s="6">
        <v>43652</v>
      </c>
      <c r="C161" s="2" t="s">
        <v>17</v>
      </c>
      <c r="D161" s="8">
        <v>-64</v>
      </c>
      <c r="E161" s="8">
        <f>E160+(0-64)</f>
        <v>12927867.519999996</v>
      </c>
    </row>
    <row r="162" spans="1:5" x14ac:dyDescent="0.25">
      <c r="A162" s="2" t="s">
        <v>38</v>
      </c>
      <c r="B162" s="6">
        <v>43655</v>
      </c>
      <c r="C162" s="2" t="s">
        <v>52</v>
      </c>
      <c r="D162" s="8">
        <v>-50</v>
      </c>
      <c r="E162" s="8">
        <f>E161+(0-50)</f>
        <v>12927817.519999996</v>
      </c>
    </row>
    <row r="163" spans="1:5" x14ac:dyDescent="0.25">
      <c r="A163" s="2" t="s">
        <v>38</v>
      </c>
      <c r="B163" s="6">
        <v>43656</v>
      </c>
      <c r="C163" s="2" t="s">
        <v>52</v>
      </c>
      <c r="D163" s="8">
        <v>-100</v>
      </c>
      <c r="E163" s="8">
        <f>E162+(0-100)</f>
        <v>12927717.519999996</v>
      </c>
    </row>
    <row r="164" spans="1:5" x14ac:dyDescent="0.25">
      <c r="A164" s="2" t="s">
        <v>38</v>
      </c>
      <c r="B164" s="6">
        <v>43657</v>
      </c>
      <c r="C164" s="2" t="s">
        <v>17</v>
      </c>
      <c r="D164" s="8">
        <v>-44</v>
      </c>
      <c r="E164" s="8">
        <f>E163+(0-44)</f>
        <v>12927673.519999996</v>
      </c>
    </row>
    <row r="165" spans="1:5" x14ac:dyDescent="0.25">
      <c r="A165" s="2" t="s">
        <v>38</v>
      </c>
      <c r="B165" s="6">
        <v>43657</v>
      </c>
      <c r="C165" s="2" t="s">
        <v>17</v>
      </c>
      <c r="D165" s="8">
        <v>-80</v>
      </c>
      <c r="E165" s="8">
        <f>E164+(0-80)</f>
        <v>12927593.519999996</v>
      </c>
    </row>
    <row r="166" spans="1:5" x14ac:dyDescent="0.25">
      <c r="A166" s="2" t="s">
        <v>38</v>
      </c>
      <c r="B166" s="6">
        <v>43671</v>
      </c>
      <c r="C166" s="2" t="s">
        <v>52</v>
      </c>
      <c r="D166" s="8">
        <v>-100</v>
      </c>
      <c r="E166" s="8">
        <f>E165+(0-100)</f>
        <v>12927493.519999996</v>
      </c>
    </row>
    <row r="167" spans="1:5" x14ac:dyDescent="0.25">
      <c r="A167" s="2" t="s">
        <v>38</v>
      </c>
      <c r="B167" s="6">
        <v>43678</v>
      </c>
      <c r="C167" s="2" t="s">
        <v>16</v>
      </c>
      <c r="D167" s="8">
        <v>-50</v>
      </c>
      <c r="E167" s="8">
        <f>E166+(0-50)</f>
        <v>12927443.519999996</v>
      </c>
    </row>
    <row r="168" spans="1:5" x14ac:dyDescent="0.25">
      <c r="A168" s="2" t="s">
        <v>38</v>
      </c>
      <c r="B168" s="6">
        <v>43678</v>
      </c>
      <c r="C168" s="2" t="s">
        <v>17</v>
      </c>
      <c r="D168" s="8">
        <v>-4</v>
      </c>
      <c r="E168" s="8">
        <f>E167+(0-4)</f>
        <v>12927439.519999996</v>
      </c>
    </row>
    <row r="169" spans="1:5" x14ac:dyDescent="0.25">
      <c r="A169" s="2" t="s">
        <v>38</v>
      </c>
      <c r="B169" s="6">
        <v>43678</v>
      </c>
      <c r="C169" s="2" t="s">
        <v>16</v>
      </c>
      <c r="D169" s="8">
        <v>-50</v>
      </c>
      <c r="E169" s="8">
        <f>E168+(0-50)</f>
        <v>12927389.519999996</v>
      </c>
    </row>
    <row r="170" spans="1:5" x14ac:dyDescent="0.25">
      <c r="A170" s="2" t="s">
        <v>38</v>
      </c>
      <c r="B170" s="6">
        <v>43678</v>
      </c>
      <c r="C170" s="2" t="s">
        <v>16</v>
      </c>
      <c r="D170" s="8">
        <v>-50</v>
      </c>
      <c r="E170" s="8">
        <f>E169+(0-50)</f>
        <v>12927339.519999996</v>
      </c>
    </row>
    <row r="171" spans="1:5" x14ac:dyDescent="0.25">
      <c r="A171" s="2" t="s">
        <v>38</v>
      </c>
      <c r="B171" s="6">
        <v>43679</v>
      </c>
      <c r="C171" s="2" t="s">
        <v>16</v>
      </c>
      <c r="D171" s="8">
        <v>-150</v>
      </c>
      <c r="E171" s="8">
        <f>E170+(0-150)</f>
        <v>12927189.519999996</v>
      </c>
    </row>
    <row r="172" spans="1:5" x14ac:dyDescent="0.25">
      <c r="A172" s="2" t="s">
        <v>38</v>
      </c>
      <c r="B172" s="6">
        <v>43681</v>
      </c>
      <c r="C172" s="2" t="s">
        <v>17</v>
      </c>
      <c r="D172" s="8">
        <v>-44</v>
      </c>
      <c r="E172" s="8">
        <f>E171+(0-44)</f>
        <v>12927145.519999996</v>
      </c>
    </row>
    <row r="173" spans="1:5" x14ac:dyDescent="0.25">
      <c r="A173" s="2" t="s">
        <v>38</v>
      </c>
      <c r="B173" s="6">
        <v>43682</v>
      </c>
      <c r="C173" s="2" t="s">
        <v>59</v>
      </c>
      <c r="D173" s="8">
        <v>-52.5</v>
      </c>
      <c r="E173" s="8">
        <f>E172+(0-52.5)</f>
        <v>12927093.019999996</v>
      </c>
    </row>
    <row r="174" spans="1:5" x14ac:dyDescent="0.25">
      <c r="A174" s="2" t="s">
        <v>38</v>
      </c>
      <c r="B174" s="6">
        <v>43682</v>
      </c>
      <c r="C174" s="2" t="s">
        <v>16</v>
      </c>
      <c r="D174" s="8">
        <v>-300</v>
      </c>
      <c r="E174" s="8">
        <f>E173+(0-300)</f>
        <v>12926793.019999996</v>
      </c>
    </row>
    <row r="175" spans="1:5" x14ac:dyDescent="0.25">
      <c r="A175" s="2" t="s">
        <v>38</v>
      </c>
      <c r="B175" s="6">
        <v>43683</v>
      </c>
      <c r="C175" s="2" t="s">
        <v>17</v>
      </c>
      <c r="D175" s="8">
        <v>-24</v>
      </c>
      <c r="E175" s="8">
        <f>E174+(0-24)</f>
        <v>12926769.019999996</v>
      </c>
    </row>
    <row r="176" spans="1:5" x14ac:dyDescent="0.25">
      <c r="A176" s="2" t="s">
        <v>38</v>
      </c>
      <c r="B176" s="6">
        <v>43683</v>
      </c>
      <c r="C176" s="2" t="s">
        <v>19</v>
      </c>
      <c r="D176" s="8">
        <v>-12</v>
      </c>
      <c r="E176" s="8">
        <f>E175+(0-12)</f>
        <v>12926757.019999996</v>
      </c>
    </row>
    <row r="177" spans="1:5" x14ac:dyDescent="0.25">
      <c r="A177" s="2" t="s">
        <v>38</v>
      </c>
      <c r="B177" s="6">
        <v>43683</v>
      </c>
      <c r="C177" s="2" t="s">
        <v>17</v>
      </c>
      <c r="D177" s="8">
        <v>-52</v>
      </c>
      <c r="E177" s="8">
        <f>E176+(0-52)</f>
        <v>12926705.019999996</v>
      </c>
    </row>
    <row r="178" spans="1:5" x14ac:dyDescent="0.25">
      <c r="A178" s="2" t="s">
        <v>38</v>
      </c>
      <c r="B178" s="6">
        <v>43683</v>
      </c>
      <c r="C178" s="2" t="s">
        <v>16</v>
      </c>
      <c r="D178" s="8">
        <v>-50</v>
      </c>
      <c r="E178" s="8">
        <f>E177+(0-50)</f>
        <v>12926655.019999996</v>
      </c>
    </row>
    <row r="179" spans="1:5" x14ac:dyDescent="0.25">
      <c r="A179" s="2" t="s">
        <v>38</v>
      </c>
      <c r="B179" s="6">
        <v>43683</v>
      </c>
      <c r="C179" s="2" t="s">
        <v>16</v>
      </c>
      <c r="D179" s="8">
        <v>-100</v>
      </c>
      <c r="E179" s="8">
        <f>E178+(0-100)</f>
        <v>12926555.019999996</v>
      </c>
    </row>
    <row r="180" spans="1:5" x14ac:dyDescent="0.25">
      <c r="A180" s="2" t="s">
        <v>38</v>
      </c>
      <c r="B180" s="6">
        <v>43684</v>
      </c>
      <c r="C180" s="2" t="s">
        <v>19</v>
      </c>
      <c r="D180" s="8">
        <v>-20</v>
      </c>
      <c r="E180" s="8">
        <f>E179+(0-20)</f>
        <v>12926535.019999996</v>
      </c>
    </row>
    <row r="181" spans="1:5" x14ac:dyDescent="0.25">
      <c r="A181" s="2" t="s">
        <v>38</v>
      </c>
      <c r="B181" s="6">
        <v>43684</v>
      </c>
      <c r="C181" s="2" t="s">
        <v>16</v>
      </c>
      <c r="D181" s="8">
        <v>-50</v>
      </c>
      <c r="E181" s="8">
        <f>E180+(0-50)</f>
        <v>12926485.019999996</v>
      </c>
    </row>
    <row r="182" spans="1:5" x14ac:dyDescent="0.25">
      <c r="A182" s="2" t="s">
        <v>38</v>
      </c>
      <c r="B182" s="6">
        <v>43684</v>
      </c>
      <c r="C182" s="2" t="s">
        <v>16</v>
      </c>
      <c r="D182" s="8">
        <v>-50</v>
      </c>
      <c r="E182" s="8">
        <f>E181+(0-50)</f>
        <v>12926435.019999996</v>
      </c>
    </row>
    <row r="183" spans="1:5" x14ac:dyDescent="0.25">
      <c r="A183" s="2" t="s">
        <v>38</v>
      </c>
      <c r="B183" s="6">
        <v>43684</v>
      </c>
      <c r="C183" s="2" t="s">
        <v>60</v>
      </c>
      <c r="D183" s="8">
        <v>-52.5</v>
      </c>
      <c r="E183" s="8">
        <f>E182+(0-52.5)</f>
        <v>12926382.519999996</v>
      </c>
    </row>
    <row r="184" spans="1:5" x14ac:dyDescent="0.25">
      <c r="A184" s="2" t="s">
        <v>38</v>
      </c>
      <c r="B184" s="6">
        <v>43685</v>
      </c>
      <c r="C184" s="2" t="s">
        <v>61</v>
      </c>
      <c r="D184" s="8">
        <v>-52.5</v>
      </c>
      <c r="E184" s="8">
        <f>E183+(0-52.5)</f>
        <v>12926330.019999996</v>
      </c>
    </row>
    <row r="185" spans="1:5" x14ac:dyDescent="0.25">
      <c r="A185" s="2" t="s">
        <v>38</v>
      </c>
      <c r="B185" s="6">
        <v>43685</v>
      </c>
      <c r="C185" s="2" t="s">
        <v>16</v>
      </c>
      <c r="D185" s="8">
        <v>-50</v>
      </c>
      <c r="E185" s="8">
        <f>E184+(0-50)</f>
        <v>12926280.019999996</v>
      </c>
    </row>
    <row r="186" spans="1:5" x14ac:dyDescent="0.25">
      <c r="A186" s="2" t="s">
        <v>38</v>
      </c>
      <c r="B186" s="6">
        <v>43685</v>
      </c>
      <c r="C186" s="2" t="s">
        <v>17</v>
      </c>
      <c r="D186" s="8">
        <v>-28</v>
      </c>
      <c r="E186" s="8">
        <f>E185+(0-28)</f>
        <v>12926252.019999996</v>
      </c>
    </row>
    <row r="187" spans="1:5" x14ac:dyDescent="0.25">
      <c r="A187" s="2" t="s">
        <v>38</v>
      </c>
      <c r="B187" s="6">
        <v>43685</v>
      </c>
      <c r="C187" s="2" t="s">
        <v>16</v>
      </c>
      <c r="D187" s="8">
        <v>-150</v>
      </c>
      <c r="E187" s="8">
        <f>E186+(0-150)</f>
        <v>12926102.019999996</v>
      </c>
    </row>
    <row r="188" spans="1:5" x14ac:dyDescent="0.25">
      <c r="A188" s="2" t="s">
        <v>38</v>
      </c>
      <c r="B188" s="6">
        <v>43686</v>
      </c>
      <c r="C188" s="2" t="s">
        <v>62</v>
      </c>
      <c r="D188" s="8">
        <v>-52.5</v>
      </c>
      <c r="E188" s="8">
        <f>E187+(0-52.5)</f>
        <v>12926049.519999996</v>
      </c>
    </row>
    <row r="189" spans="1:5" x14ac:dyDescent="0.25">
      <c r="A189" s="2" t="s">
        <v>38</v>
      </c>
      <c r="B189" s="6">
        <v>43686</v>
      </c>
      <c r="C189" s="2" t="s">
        <v>63</v>
      </c>
      <c r="D189" s="8">
        <v>-52.5</v>
      </c>
      <c r="E189" s="8">
        <f>E188+(0-52.5)</f>
        <v>12925997.019999996</v>
      </c>
    </row>
    <row r="190" spans="1:5" x14ac:dyDescent="0.25">
      <c r="A190" s="2" t="s">
        <v>38</v>
      </c>
      <c r="B190" s="6">
        <v>43686</v>
      </c>
      <c r="C190" s="2" t="s">
        <v>16</v>
      </c>
      <c r="D190" s="8">
        <v>-200</v>
      </c>
      <c r="E190" s="8">
        <f>E189+(0-200)</f>
        <v>12925797.019999996</v>
      </c>
    </row>
    <row r="191" spans="1:5" x14ac:dyDescent="0.25">
      <c r="A191" s="2" t="s">
        <v>38</v>
      </c>
      <c r="B191" s="6">
        <v>43687</v>
      </c>
      <c r="C191" s="2" t="s">
        <v>17</v>
      </c>
      <c r="D191" s="8">
        <v>-88</v>
      </c>
      <c r="E191" s="8">
        <f>E190+(0-88)</f>
        <v>12925709.019999996</v>
      </c>
    </row>
    <row r="192" spans="1:5" x14ac:dyDescent="0.25">
      <c r="A192" s="2" t="s">
        <v>38</v>
      </c>
      <c r="B192" s="6">
        <v>43688</v>
      </c>
      <c r="C192" s="2" t="s">
        <v>17</v>
      </c>
      <c r="D192" s="8">
        <v>-48</v>
      </c>
      <c r="E192" s="8">
        <f>E191+(0-48)</f>
        <v>12925661.019999996</v>
      </c>
    </row>
    <row r="193" spans="1:5" x14ac:dyDescent="0.25">
      <c r="A193" s="2" t="s">
        <v>38</v>
      </c>
      <c r="B193" s="6">
        <v>43689</v>
      </c>
      <c r="C193" s="2" t="s">
        <v>17</v>
      </c>
      <c r="D193" s="8">
        <v>-8</v>
      </c>
      <c r="E193" s="8">
        <f>E192+(0-8)</f>
        <v>12925653.019999996</v>
      </c>
    </row>
    <row r="194" spans="1:5" x14ac:dyDescent="0.25">
      <c r="A194" s="2" t="s">
        <v>38</v>
      </c>
      <c r="B194" s="6">
        <v>43690</v>
      </c>
      <c r="C194" s="2" t="s">
        <v>17</v>
      </c>
      <c r="D194" s="8">
        <v>-4</v>
      </c>
      <c r="E194" s="8">
        <f>E193+(0-4)</f>
        <v>12925649.019999996</v>
      </c>
    </row>
    <row r="195" spans="1:5" x14ac:dyDescent="0.25">
      <c r="A195" s="2" t="s">
        <v>38</v>
      </c>
      <c r="B195" s="6">
        <v>43691</v>
      </c>
      <c r="C195" s="2" t="s">
        <v>55</v>
      </c>
      <c r="D195" s="8">
        <v>-52.5</v>
      </c>
      <c r="E195" s="8">
        <f>E194+(0-52.5)</f>
        <v>12925596.519999996</v>
      </c>
    </row>
    <row r="196" spans="1:5" x14ac:dyDescent="0.25">
      <c r="A196" s="2" t="s">
        <v>38</v>
      </c>
      <c r="B196" s="6">
        <v>43691</v>
      </c>
      <c r="C196" s="2" t="s">
        <v>16</v>
      </c>
      <c r="D196" s="8">
        <v>-150</v>
      </c>
      <c r="E196" s="8">
        <f>E195+(0-150)</f>
        <v>12925446.519999996</v>
      </c>
    </row>
    <row r="197" spans="1:5" x14ac:dyDescent="0.25">
      <c r="A197" s="2" t="s">
        <v>38</v>
      </c>
      <c r="B197" s="6">
        <v>43692</v>
      </c>
      <c r="C197" s="2" t="s">
        <v>64</v>
      </c>
      <c r="D197" s="8">
        <v>-52.5</v>
      </c>
      <c r="E197" s="8">
        <f>E196+(0-52.5)</f>
        <v>12925394.019999996</v>
      </c>
    </row>
    <row r="198" spans="1:5" x14ac:dyDescent="0.25">
      <c r="A198" s="2" t="s">
        <v>38</v>
      </c>
      <c r="B198" s="6">
        <v>43692</v>
      </c>
      <c r="C198" s="2" t="s">
        <v>65</v>
      </c>
      <c r="D198" s="8">
        <v>-52.5</v>
      </c>
      <c r="E198" s="8">
        <f>E197+(0-52.5)</f>
        <v>12925341.519999996</v>
      </c>
    </row>
    <row r="199" spans="1:5" x14ac:dyDescent="0.25">
      <c r="A199" s="2" t="s">
        <v>38</v>
      </c>
      <c r="B199" s="6">
        <v>43692</v>
      </c>
      <c r="C199" s="2" t="s">
        <v>16</v>
      </c>
      <c r="D199" s="8">
        <v>-50</v>
      </c>
      <c r="E199" s="8">
        <f>E198+(0-50)</f>
        <v>12925291.519999996</v>
      </c>
    </row>
    <row r="200" spans="1:5" x14ac:dyDescent="0.25">
      <c r="A200" s="2" t="s">
        <v>38</v>
      </c>
      <c r="B200" s="6">
        <v>43692</v>
      </c>
      <c r="C200" s="2" t="s">
        <v>16</v>
      </c>
      <c r="D200" s="8">
        <v>-50</v>
      </c>
      <c r="E200" s="8">
        <f>E199+(0-50)</f>
        <v>12925241.519999996</v>
      </c>
    </row>
    <row r="201" spans="1:5" x14ac:dyDescent="0.25">
      <c r="A201" s="2" t="s">
        <v>38</v>
      </c>
      <c r="B201" s="6">
        <v>43693</v>
      </c>
      <c r="C201" s="2" t="s">
        <v>17</v>
      </c>
      <c r="D201" s="8">
        <v>-28</v>
      </c>
      <c r="E201" s="8">
        <f>E200+(0-28)</f>
        <v>12925213.519999996</v>
      </c>
    </row>
    <row r="202" spans="1:5" x14ac:dyDescent="0.25">
      <c r="A202" s="2" t="s">
        <v>38</v>
      </c>
      <c r="B202" s="6">
        <v>43693</v>
      </c>
      <c r="C202" s="2" t="s">
        <v>17</v>
      </c>
      <c r="D202" s="8">
        <v>-48</v>
      </c>
      <c r="E202" s="8">
        <f>E201+(0-48)</f>
        <v>12925165.519999996</v>
      </c>
    </row>
    <row r="203" spans="1:5" x14ac:dyDescent="0.25">
      <c r="A203" s="2" t="s">
        <v>38</v>
      </c>
      <c r="B203" s="6">
        <v>43693</v>
      </c>
      <c r="C203" s="2" t="s">
        <v>16</v>
      </c>
      <c r="D203" s="8">
        <v>-200</v>
      </c>
      <c r="E203" s="8">
        <f>E202+(0-200)</f>
        <v>12924965.519999996</v>
      </c>
    </row>
    <row r="204" spans="1:5" x14ac:dyDescent="0.25">
      <c r="A204" s="2" t="s">
        <v>38</v>
      </c>
      <c r="B204" s="6">
        <v>43696</v>
      </c>
      <c r="C204" s="2" t="s">
        <v>17</v>
      </c>
      <c r="D204" s="8">
        <v>-28</v>
      </c>
      <c r="E204" s="8">
        <f>E203+(0-28)</f>
        <v>12924937.519999996</v>
      </c>
    </row>
    <row r="205" spans="1:5" x14ac:dyDescent="0.25">
      <c r="A205" s="2" t="s">
        <v>38</v>
      </c>
      <c r="B205" s="6">
        <v>43696</v>
      </c>
      <c r="C205" s="2" t="s">
        <v>16</v>
      </c>
      <c r="D205" s="8">
        <v>-50</v>
      </c>
      <c r="E205" s="8">
        <f>E204+(0-50)</f>
        <v>12924887.519999996</v>
      </c>
    </row>
    <row r="206" spans="1:5" x14ac:dyDescent="0.25">
      <c r="A206" s="2" t="s">
        <v>38</v>
      </c>
      <c r="B206" s="6">
        <v>43696</v>
      </c>
      <c r="C206" s="2" t="s">
        <v>16</v>
      </c>
      <c r="D206" s="8">
        <v>-300</v>
      </c>
      <c r="E206" s="8">
        <f>E205+(0-300)</f>
        <v>12924587.519999996</v>
      </c>
    </row>
    <row r="207" spans="1:5" x14ac:dyDescent="0.25">
      <c r="A207" s="2" t="s">
        <v>38</v>
      </c>
      <c r="B207" s="6">
        <v>43697</v>
      </c>
      <c r="C207" s="2" t="s">
        <v>16</v>
      </c>
      <c r="D207" s="8">
        <v>-150</v>
      </c>
      <c r="E207" s="8">
        <f>E206+(0-150)</f>
        <v>12924437.519999996</v>
      </c>
    </row>
    <row r="208" spans="1:5" x14ac:dyDescent="0.25">
      <c r="A208" s="2" t="s">
        <v>38</v>
      </c>
      <c r="B208" s="6">
        <v>43698</v>
      </c>
      <c r="C208" s="2" t="s">
        <v>66</v>
      </c>
      <c r="D208" s="8">
        <v>-52.5</v>
      </c>
      <c r="E208" s="8">
        <f>E207+(0-52.5)</f>
        <v>12924385.019999996</v>
      </c>
    </row>
    <row r="209" spans="1:5" x14ac:dyDescent="0.25">
      <c r="A209" s="2" t="s">
        <v>38</v>
      </c>
      <c r="B209" s="6">
        <v>43698</v>
      </c>
      <c r="C209" s="2" t="s">
        <v>17</v>
      </c>
      <c r="D209" s="8">
        <v>-72</v>
      </c>
      <c r="E209" s="8">
        <f>E208+(0-72)</f>
        <v>12924313.019999996</v>
      </c>
    </row>
    <row r="210" spans="1:5" x14ac:dyDescent="0.25">
      <c r="A210" s="2" t="s">
        <v>38</v>
      </c>
      <c r="B210" s="6">
        <v>43698</v>
      </c>
      <c r="C210" s="2" t="s">
        <v>16</v>
      </c>
      <c r="D210" s="8">
        <v>-50</v>
      </c>
      <c r="E210" s="8">
        <f>E209+(0-50)</f>
        <v>12924263.019999996</v>
      </c>
    </row>
    <row r="211" spans="1:5" x14ac:dyDescent="0.25">
      <c r="A211" s="2" t="s">
        <v>38</v>
      </c>
      <c r="B211" s="6">
        <v>43698</v>
      </c>
      <c r="C211" s="2" t="s">
        <v>16</v>
      </c>
      <c r="D211" s="8">
        <v>-50</v>
      </c>
      <c r="E211" s="8">
        <f>E210+(0-50)</f>
        <v>12924213.019999996</v>
      </c>
    </row>
    <row r="212" spans="1:5" x14ac:dyDescent="0.25">
      <c r="A212" s="2" t="s">
        <v>38</v>
      </c>
      <c r="B212" s="6">
        <v>43698</v>
      </c>
      <c r="C212" s="2" t="s">
        <v>16</v>
      </c>
      <c r="D212" s="8">
        <v>-100</v>
      </c>
      <c r="E212" s="8">
        <f>E211+(0-100)</f>
        <v>12924113.019999996</v>
      </c>
    </row>
    <row r="213" spans="1:5" x14ac:dyDescent="0.25">
      <c r="A213" s="2" t="s">
        <v>38</v>
      </c>
      <c r="B213" s="6">
        <v>43699</v>
      </c>
      <c r="C213" s="2" t="s">
        <v>17</v>
      </c>
      <c r="D213" s="8">
        <v>-16</v>
      </c>
      <c r="E213" s="8">
        <f>E212+(0-16)</f>
        <v>12924097.019999996</v>
      </c>
    </row>
    <row r="214" spans="1:5" x14ac:dyDescent="0.25">
      <c r="A214" s="2" t="s">
        <v>38</v>
      </c>
      <c r="B214" s="6">
        <v>43699</v>
      </c>
      <c r="C214" s="2" t="s">
        <v>17</v>
      </c>
      <c r="D214" s="8">
        <v>-68</v>
      </c>
      <c r="E214" s="8">
        <f>E213+(0-68)</f>
        <v>12924029.019999996</v>
      </c>
    </row>
    <row r="215" spans="1:5" x14ac:dyDescent="0.25">
      <c r="A215" s="2" t="s">
        <v>38</v>
      </c>
      <c r="B215" s="6">
        <v>43699</v>
      </c>
      <c r="C215" s="2" t="s">
        <v>16</v>
      </c>
      <c r="D215" s="8">
        <v>-250</v>
      </c>
      <c r="E215" s="8">
        <f>E214+(0-250)</f>
        <v>12923779.019999996</v>
      </c>
    </row>
    <row r="216" spans="1:5" x14ac:dyDescent="0.25">
      <c r="A216" s="2" t="s">
        <v>38</v>
      </c>
      <c r="B216" s="6">
        <v>43700</v>
      </c>
      <c r="C216" s="2" t="s">
        <v>16</v>
      </c>
      <c r="D216" s="8">
        <v>-50</v>
      </c>
      <c r="E216" s="8">
        <f>E215+(0-50)</f>
        <v>12923729.019999996</v>
      </c>
    </row>
    <row r="217" spans="1:5" x14ac:dyDescent="0.25">
      <c r="A217" s="2" t="s">
        <v>38</v>
      </c>
      <c r="B217" s="6">
        <v>43700</v>
      </c>
      <c r="C217" s="2" t="s">
        <v>16</v>
      </c>
      <c r="D217" s="8">
        <v>-150</v>
      </c>
      <c r="E217" s="8">
        <f>E216+(0-150)</f>
        <v>12923579.019999996</v>
      </c>
    </row>
    <row r="218" spans="1:5" x14ac:dyDescent="0.25">
      <c r="A218" s="2" t="s">
        <v>38</v>
      </c>
      <c r="B218" s="6">
        <v>43701</v>
      </c>
      <c r="C218" s="2" t="s">
        <v>17</v>
      </c>
      <c r="D218" s="8">
        <v>-48</v>
      </c>
      <c r="E218" s="8">
        <f>E217+(0-48)</f>
        <v>12923531.019999996</v>
      </c>
    </row>
    <row r="219" spans="1:5" x14ac:dyDescent="0.25">
      <c r="A219" s="2" t="s">
        <v>38</v>
      </c>
      <c r="B219" s="6">
        <v>43702</v>
      </c>
      <c r="C219" s="2" t="s">
        <v>16</v>
      </c>
      <c r="D219" s="8">
        <v>-32</v>
      </c>
      <c r="E219" s="8">
        <f>E218+(0-32)</f>
        <v>12923499.019999996</v>
      </c>
    </row>
    <row r="220" spans="1:5" x14ac:dyDescent="0.25">
      <c r="A220" s="2" t="s">
        <v>38</v>
      </c>
      <c r="B220" s="6">
        <v>43710</v>
      </c>
      <c r="C220" s="2" t="s">
        <v>16</v>
      </c>
      <c r="D220" s="8">
        <v>-50</v>
      </c>
      <c r="E220" s="8">
        <f>E219+(0-50)</f>
        <v>12923449.019999996</v>
      </c>
    </row>
    <row r="221" spans="1:5" x14ac:dyDescent="0.25">
      <c r="A221" s="2" t="s">
        <v>38</v>
      </c>
      <c r="B221" s="6">
        <v>43715</v>
      </c>
      <c r="C221" s="2" t="s">
        <v>67</v>
      </c>
      <c r="D221" s="8">
        <v>-52.5</v>
      </c>
      <c r="E221" s="8">
        <f>E220+(0-52.5)</f>
        <v>12923396.519999996</v>
      </c>
    </row>
    <row r="222" spans="1:5" x14ac:dyDescent="0.25">
      <c r="A222" s="2" t="s">
        <v>38</v>
      </c>
      <c r="B222" s="6">
        <v>43765</v>
      </c>
      <c r="C222" s="2" t="s">
        <v>68</v>
      </c>
      <c r="D222" s="8">
        <v>-52.5</v>
      </c>
      <c r="E222" s="8">
        <f>E221+(0-52.5)</f>
        <v>12923344.019999996</v>
      </c>
    </row>
    <row r="223" spans="1:5" x14ac:dyDescent="0.25">
      <c r="A223" s="2" t="s">
        <v>38</v>
      </c>
      <c r="B223" s="6">
        <v>43797</v>
      </c>
      <c r="C223" s="2" t="s">
        <v>69</v>
      </c>
      <c r="D223" s="8">
        <v>-525</v>
      </c>
      <c r="E223" s="8">
        <f>E222+(0-525)</f>
        <v>12922819.019999996</v>
      </c>
    </row>
    <row r="224" spans="1:5" x14ac:dyDescent="0.25">
      <c r="A224" s="2" t="s">
        <v>38</v>
      </c>
      <c r="B224" s="6">
        <v>43797</v>
      </c>
      <c r="C224" s="2" t="s">
        <v>52</v>
      </c>
      <c r="D224" s="8">
        <v>-100</v>
      </c>
      <c r="E224" s="8">
        <f>E223+(0-100)</f>
        <v>12922719.019999996</v>
      </c>
    </row>
    <row r="225" spans="1:5" x14ac:dyDescent="0.25">
      <c r="A225" s="2" t="s">
        <v>38</v>
      </c>
      <c r="B225" s="6">
        <v>43798</v>
      </c>
      <c r="C225" s="2" t="s">
        <v>67</v>
      </c>
      <c r="D225" s="8">
        <v>-52.5</v>
      </c>
      <c r="E225" s="8">
        <f>E224+(0-52.5)</f>
        <v>12922666.519999996</v>
      </c>
    </row>
    <row r="226" spans="1:5" x14ac:dyDescent="0.25">
      <c r="A226" s="2" t="s">
        <v>38</v>
      </c>
      <c r="B226" s="6">
        <v>43798</v>
      </c>
      <c r="C226" s="2" t="s">
        <v>19</v>
      </c>
      <c r="D226" s="8">
        <v>-100</v>
      </c>
      <c r="E226" s="8">
        <f>E225+(0-100)</f>
        <v>12922566.519999996</v>
      </c>
    </row>
    <row r="227" spans="1:5" x14ac:dyDescent="0.25">
      <c r="A227" s="2" t="s">
        <v>38</v>
      </c>
      <c r="B227" s="6">
        <v>43798</v>
      </c>
      <c r="C227" s="2" t="s">
        <v>67</v>
      </c>
      <c r="D227" s="8">
        <v>-52.5</v>
      </c>
      <c r="E227" s="8">
        <f>E226+(0-52.5)</f>
        <v>12922514.019999996</v>
      </c>
    </row>
    <row r="228" spans="1:5" x14ac:dyDescent="0.25">
      <c r="A228" s="2" t="s">
        <v>38</v>
      </c>
      <c r="B228" s="6">
        <v>43798</v>
      </c>
      <c r="C228" s="2" t="s">
        <v>52</v>
      </c>
      <c r="D228" s="8">
        <v>-50</v>
      </c>
      <c r="E228" s="8">
        <f>E227+(0-50)</f>
        <v>12922464.019999996</v>
      </c>
    </row>
    <row r="229" spans="1:5" x14ac:dyDescent="0.25">
      <c r="A229" s="2" t="s">
        <v>38</v>
      </c>
      <c r="B229" s="6">
        <v>43830</v>
      </c>
      <c r="C229" s="2" t="s">
        <v>17</v>
      </c>
      <c r="D229" s="8">
        <v>-68</v>
      </c>
      <c r="E229" s="8">
        <f>E228+(0-68)</f>
        <v>12922396.019999996</v>
      </c>
    </row>
    <row r="230" spans="1:5" x14ac:dyDescent="0.25">
      <c r="A230" s="2" t="s">
        <v>38</v>
      </c>
      <c r="B230" s="6">
        <v>43830</v>
      </c>
      <c r="C230" s="2" t="s">
        <v>16</v>
      </c>
      <c r="D230" s="8">
        <v>-100</v>
      </c>
      <c r="E230" s="8">
        <f>E229+(0-100)</f>
        <v>12922296.019999996</v>
      </c>
    </row>
    <row r="231" spans="1:5" x14ac:dyDescent="0.25">
      <c r="A231" s="2" t="s">
        <v>38</v>
      </c>
      <c r="B231" s="6">
        <v>43837</v>
      </c>
      <c r="C231" s="2" t="s">
        <v>16</v>
      </c>
      <c r="D231" s="8">
        <v>-300</v>
      </c>
      <c r="E231" s="8">
        <f>E230+(0-300)</f>
        <v>12921996.019999996</v>
      </c>
    </row>
    <row r="232" spans="1:5" x14ac:dyDescent="0.25">
      <c r="A232" s="2" t="s">
        <v>38</v>
      </c>
      <c r="B232" s="6">
        <v>43837</v>
      </c>
      <c r="C232" s="2" t="s">
        <v>16</v>
      </c>
      <c r="D232" s="8">
        <v>-50</v>
      </c>
      <c r="E232" s="8">
        <f>E231+(0-50)</f>
        <v>12921946.019999996</v>
      </c>
    </row>
    <row r="233" spans="1:5" x14ac:dyDescent="0.25">
      <c r="A233" s="2" t="s">
        <v>38</v>
      </c>
      <c r="B233" s="6">
        <v>43838</v>
      </c>
      <c r="C233" s="2" t="s">
        <v>24</v>
      </c>
      <c r="D233" s="8">
        <v>-20</v>
      </c>
      <c r="E233" s="8">
        <f>E232+(0-20)</f>
        <v>12921926.019999996</v>
      </c>
    </row>
    <row r="234" spans="1:5" x14ac:dyDescent="0.25">
      <c r="A234" s="2" t="s">
        <v>38</v>
      </c>
      <c r="B234" s="6">
        <v>43838</v>
      </c>
      <c r="C234" s="2" t="s">
        <v>16</v>
      </c>
      <c r="D234" s="8">
        <v>-150</v>
      </c>
      <c r="E234" s="8">
        <f>E233+(0-150)</f>
        <v>12921776.019999996</v>
      </c>
    </row>
    <row r="235" spans="1:5" x14ac:dyDescent="0.25">
      <c r="A235" s="2" t="s">
        <v>38</v>
      </c>
      <c r="B235" s="6">
        <v>43839</v>
      </c>
      <c r="C235" s="2" t="s">
        <v>19</v>
      </c>
      <c r="D235" s="8">
        <v>-44</v>
      </c>
      <c r="E235" s="8">
        <f>E234+(0-44)</f>
        <v>12921732.019999996</v>
      </c>
    </row>
    <row r="236" spans="1:5" x14ac:dyDescent="0.25">
      <c r="A236" s="2" t="s">
        <v>38</v>
      </c>
      <c r="B236" s="6">
        <v>43839</v>
      </c>
      <c r="C236" s="2" t="s">
        <v>16</v>
      </c>
      <c r="D236" s="8">
        <v>-100</v>
      </c>
      <c r="E236" s="8">
        <f>E235+(0-100)</f>
        <v>12921632.019999996</v>
      </c>
    </row>
    <row r="237" spans="1:5" x14ac:dyDescent="0.25">
      <c r="A237" s="2" t="s">
        <v>38</v>
      </c>
      <c r="B237" s="6">
        <v>43840</v>
      </c>
      <c r="C237" s="2" t="s">
        <v>16</v>
      </c>
      <c r="D237" s="8">
        <v>-50</v>
      </c>
      <c r="E237" s="8">
        <f>E236+(0-50)</f>
        <v>12921582.019999996</v>
      </c>
    </row>
    <row r="238" spans="1:5" x14ac:dyDescent="0.25">
      <c r="A238" s="2" t="s">
        <v>38</v>
      </c>
      <c r="B238" s="6">
        <v>43840</v>
      </c>
      <c r="C238" s="2" t="s">
        <v>16</v>
      </c>
      <c r="D238" s="8">
        <v>-50</v>
      </c>
      <c r="E238" s="8">
        <f>E237+(0-50)</f>
        <v>12921532.019999996</v>
      </c>
    </row>
    <row r="239" spans="1:5" x14ac:dyDescent="0.25">
      <c r="A239" s="2" t="s">
        <v>38</v>
      </c>
      <c r="B239" s="6">
        <v>43840</v>
      </c>
      <c r="C239" s="2" t="s">
        <v>17</v>
      </c>
      <c r="D239" s="8">
        <v>-52</v>
      </c>
      <c r="E239" s="8">
        <f>E238+(0-52)</f>
        <v>12921480.019999996</v>
      </c>
    </row>
    <row r="240" spans="1:5" x14ac:dyDescent="0.25">
      <c r="A240" s="2" t="s">
        <v>38</v>
      </c>
      <c r="B240" s="6">
        <v>43842</v>
      </c>
      <c r="C240" s="2" t="s">
        <v>17</v>
      </c>
      <c r="D240" s="8">
        <v>-36</v>
      </c>
      <c r="E240" s="8">
        <f>E239+(0-36)</f>
        <v>12921444.019999996</v>
      </c>
    </row>
    <row r="241" spans="1:5" x14ac:dyDescent="0.25">
      <c r="A241" s="2" t="s">
        <v>38</v>
      </c>
      <c r="B241" s="6">
        <v>43843</v>
      </c>
      <c r="C241" s="2" t="s">
        <v>16</v>
      </c>
      <c r="D241" s="8">
        <v>-50</v>
      </c>
      <c r="E241" s="8">
        <f>E240+(0-50)</f>
        <v>12921394.019999996</v>
      </c>
    </row>
    <row r="242" spans="1:5" x14ac:dyDescent="0.25">
      <c r="A242" s="2" t="s">
        <v>38</v>
      </c>
      <c r="B242" s="6">
        <v>43845</v>
      </c>
      <c r="C242" s="2" t="s">
        <v>19</v>
      </c>
      <c r="D242" s="8">
        <v>-24</v>
      </c>
      <c r="E242" s="8">
        <f>E241+(0-24)</f>
        <v>12921370.019999996</v>
      </c>
    </row>
    <row r="243" spans="1:5" x14ac:dyDescent="0.25">
      <c r="A243" s="2" t="s">
        <v>38</v>
      </c>
      <c r="B243" s="6">
        <v>43845</v>
      </c>
      <c r="C243" s="2" t="s">
        <v>16</v>
      </c>
      <c r="D243" s="8">
        <v>-100</v>
      </c>
      <c r="E243" s="8">
        <f>E242+(0-100)</f>
        <v>12921270.019999996</v>
      </c>
    </row>
    <row r="244" spans="1:5" x14ac:dyDescent="0.25">
      <c r="A244" s="2" t="s">
        <v>38</v>
      </c>
      <c r="B244" s="6">
        <v>43845</v>
      </c>
      <c r="C244" s="2" t="s">
        <v>16</v>
      </c>
      <c r="D244" s="8">
        <v>-50</v>
      </c>
      <c r="E244" s="8">
        <f>E243+(0-50)</f>
        <v>12921220.019999996</v>
      </c>
    </row>
    <row r="245" spans="1:5" x14ac:dyDescent="0.25">
      <c r="A245" s="2" t="s">
        <v>38</v>
      </c>
      <c r="B245" s="6">
        <v>43845</v>
      </c>
      <c r="C245" s="2" t="s">
        <v>17</v>
      </c>
      <c r="D245" s="8">
        <v>-12</v>
      </c>
      <c r="E245" s="8">
        <f>E244+(0-12)</f>
        <v>12921208.019999996</v>
      </c>
    </row>
    <row r="246" spans="1:5" x14ac:dyDescent="0.25">
      <c r="A246" s="2" t="s">
        <v>38</v>
      </c>
      <c r="B246" s="6">
        <v>43845</v>
      </c>
      <c r="C246" s="2" t="s">
        <v>17</v>
      </c>
      <c r="D246" s="8">
        <v>-24</v>
      </c>
      <c r="E246" s="8">
        <f>E245+(0-24)</f>
        <v>12921184.019999996</v>
      </c>
    </row>
    <row r="247" spans="1:5" x14ac:dyDescent="0.25">
      <c r="A247" s="2" t="s">
        <v>38</v>
      </c>
      <c r="B247" s="6">
        <v>43846</v>
      </c>
      <c r="C247" s="2" t="s">
        <v>16</v>
      </c>
      <c r="D247" s="8">
        <v>-50</v>
      </c>
      <c r="E247" s="8">
        <f>E246+(0-50)</f>
        <v>12921134.019999996</v>
      </c>
    </row>
    <row r="248" spans="1:5" x14ac:dyDescent="0.25">
      <c r="A248" s="2" t="s">
        <v>38</v>
      </c>
      <c r="B248" s="6">
        <v>43846</v>
      </c>
      <c r="C248" s="2" t="s">
        <v>16</v>
      </c>
      <c r="D248" s="8">
        <v>-300</v>
      </c>
      <c r="E248" s="8">
        <f>E247+(0-300)</f>
        <v>12920834.019999996</v>
      </c>
    </row>
    <row r="249" spans="1:5" x14ac:dyDescent="0.25">
      <c r="A249" s="2" t="s">
        <v>38</v>
      </c>
      <c r="B249" s="6">
        <v>43846</v>
      </c>
      <c r="C249" s="2" t="s">
        <v>17</v>
      </c>
      <c r="D249" s="8">
        <v>-28</v>
      </c>
      <c r="E249" s="8">
        <f>E248+(0-28)</f>
        <v>12920806.019999996</v>
      </c>
    </row>
    <row r="250" spans="1:5" x14ac:dyDescent="0.25">
      <c r="A250" s="2" t="s">
        <v>38</v>
      </c>
      <c r="B250" s="6">
        <v>43847</v>
      </c>
      <c r="C250" s="2" t="s">
        <v>16</v>
      </c>
      <c r="D250" s="8">
        <v>-100</v>
      </c>
      <c r="E250" s="8">
        <f>E249+(0-100)</f>
        <v>12920706.019999996</v>
      </c>
    </row>
    <row r="251" spans="1:5" x14ac:dyDescent="0.25">
      <c r="A251" s="2" t="s">
        <v>38</v>
      </c>
      <c r="B251" s="6">
        <v>43847</v>
      </c>
      <c r="C251" s="2" t="s">
        <v>19</v>
      </c>
      <c r="D251" s="8">
        <v>-56</v>
      </c>
      <c r="E251" s="8">
        <f>E250+(0-56)</f>
        <v>12920650.019999996</v>
      </c>
    </row>
    <row r="252" spans="1:5" x14ac:dyDescent="0.25">
      <c r="A252" s="2" t="s">
        <v>38</v>
      </c>
      <c r="B252" s="6">
        <v>43848</v>
      </c>
      <c r="C252" s="2" t="s">
        <v>17</v>
      </c>
      <c r="D252" s="8">
        <v>-32</v>
      </c>
      <c r="E252" s="8">
        <f>E251+(0-32)</f>
        <v>12920618.019999996</v>
      </c>
    </row>
    <row r="253" spans="1:5" x14ac:dyDescent="0.25">
      <c r="A253" s="2" t="s">
        <v>38</v>
      </c>
      <c r="B253" s="6">
        <v>43849</v>
      </c>
      <c r="C253" s="2" t="s">
        <v>17</v>
      </c>
      <c r="D253" s="8">
        <v>-4</v>
      </c>
      <c r="E253" s="8">
        <f>E252+(0-4)</f>
        <v>12920614.019999996</v>
      </c>
    </row>
    <row r="254" spans="1:5" x14ac:dyDescent="0.25">
      <c r="A254" s="2" t="s">
        <v>38</v>
      </c>
      <c r="B254" s="6">
        <v>43849</v>
      </c>
      <c r="C254" s="2" t="s">
        <v>17</v>
      </c>
      <c r="D254" s="8">
        <v>-4</v>
      </c>
      <c r="E254" s="8">
        <f>E253+(0-4)</f>
        <v>12920610.019999996</v>
      </c>
    </row>
    <row r="255" spans="1:5" x14ac:dyDescent="0.25">
      <c r="A255" s="2" t="s">
        <v>38</v>
      </c>
      <c r="B255" s="6">
        <v>43850</v>
      </c>
      <c r="C255" s="2" t="s">
        <v>16</v>
      </c>
      <c r="D255" s="8">
        <v>-150</v>
      </c>
      <c r="E255" s="8">
        <f>E254+(0-150)</f>
        <v>12920460.019999996</v>
      </c>
    </row>
    <row r="256" spans="1:5" x14ac:dyDescent="0.25">
      <c r="A256" s="2" t="s">
        <v>38</v>
      </c>
      <c r="B256" s="6">
        <v>43851</v>
      </c>
      <c r="C256" s="2" t="s">
        <v>16</v>
      </c>
      <c r="D256" s="8">
        <v>-100</v>
      </c>
      <c r="E256" s="8">
        <f>E255+(0-100)</f>
        <v>12920360.019999996</v>
      </c>
    </row>
    <row r="257" spans="1:5" x14ac:dyDescent="0.25">
      <c r="A257" s="2" t="s">
        <v>38</v>
      </c>
      <c r="B257" s="6">
        <v>43851</v>
      </c>
      <c r="C257" s="2" t="s">
        <v>17</v>
      </c>
      <c r="D257" s="8">
        <v>-8</v>
      </c>
      <c r="E257" s="8">
        <f>E256+(0-8)</f>
        <v>12920352.019999996</v>
      </c>
    </row>
    <row r="258" spans="1:5" x14ac:dyDescent="0.25">
      <c r="A258" s="2" t="s">
        <v>38</v>
      </c>
      <c r="B258" s="6">
        <v>43852</v>
      </c>
      <c r="C258" s="2" t="s">
        <v>16</v>
      </c>
      <c r="D258" s="8">
        <v>-100</v>
      </c>
      <c r="E258" s="8">
        <f>E257+(0-100)</f>
        <v>12920252.019999996</v>
      </c>
    </row>
    <row r="259" spans="1:5" x14ac:dyDescent="0.25">
      <c r="A259" s="2" t="s">
        <v>38</v>
      </c>
      <c r="B259" s="6">
        <v>43852</v>
      </c>
      <c r="C259" s="2" t="s">
        <v>17</v>
      </c>
      <c r="D259" s="8">
        <v>-20</v>
      </c>
      <c r="E259" s="8">
        <f>E258+(0-20)</f>
        <v>12920232.019999996</v>
      </c>
    </row>
    <row r="260" spans="1:5" x14ac:dyDescent="0.25">
      <c r="A260" s="2" t="s">
        <v>38</v>
      </c>
      <c r="B260" s="6">
        <v>43853</v>
      </c>
      <c r="C260" s="2" t="s">
        <v>16</v>
      </c>
      <c r="D260" s="8">
        <v>-50</v>
      </c>
      <c r="E260" s="8">
        <f>E259+(0-50)</f>
        <v>12920182.019999996</v>
      </c>
    </row>
    <row r="261" spans="1:5" x14ac:dyDescent="0.25">
      <c r="A261" s="2" t="s">
        <v>38</v>
      </c>
      <c r="B261" s="6">
        <v>43853</v>
      </c>
      <c r="C261" s="2" t="s">
        <v>16</v>
      </c>
      <c r="D261" s="8">
        <v>-200</v>
      </c>
      <c r="E261" s="8">
        <f>E260+(0-200)</f>
        <v>12919982.019999996</v>
      </c>
    </row>
    <row r="262" spans="1:5" x14ac:dyDescent="0.25">
      <c r="A262" s="2" t="s">
        <v>38</v>
      </c>
      <c r="B262" s="6">
        <v>43854</v>
      </c>
      <c r="C262" s="2" t="s">
        <v>17</v>
      </c>
      <c r="D262" s="8">
        <v>-16</v>
      </c>
      <c r="E262" s="8">
        <f>E261+(0-16)</f>
        <v>12919966.019999996</v>
      </c>
    </row>
    <row r="263" spans="1:5" x14ac:dyDescent="0.25">
      <c r="A263" s="2" t="s">
        <v>38</v>
      </c>
      <c r="B263" s="6">
        <v>43854</v>
      </c>
      <c r="C263" s="2" t="s">
        <v>16</v>
      </c>
      <c r="D263" s="8">
        <v>-50</v>
      </c>
      <c r="E263" s="8">
        <f>E262+(0-50)</f>
        <v>12919916.019999996</v>
      </c>
    </row>
    <row r="264" spans="1:5" x14ac:dyDescent="0.25">
      <c r="A264" s="2" t="s">
        <v>38</v>
      </c>
      <c r="B264" s="6">
        <v>43854</v>
      </c>
      <c r="C264" s="2" t="s">
        <v>16</v>
      </c>
      <c r="D264" s="8">
        <v>-100</v>
      </c>
      <c r="E264" s="8">
        <f>E263+(0-100)</f>
        <v>12919816.019999996</v>
      </c>
    </row>
    <row r="265" spans="1:5" x14ac:dyDescent="0.25">
      <c r="A265" s="2" t="s">
        <v>38</v>
      </c>
      <c r="B265" s="6">
        <v>43855</v>
      </c>
      <c r="C265" s="2" t="s">
        <v>17</v>
      </c>
      <c r="D265" s="8">
        <v>-40</v>
      </c>
      <c r="E265" s="8">
        <f>E264+(0-40)</f>
        <v>12919776.019999996</v>
      </c>
    </row>
    <row r="266" spans="1:5" x14ac:dyDescent="0.25">
      <c r="A266" s="2" t="s">
        <v>38</v>
      </c>
      <c r="B266" s="6">
        <v>43857</v>
      </c>
      <c r="C266" s="2" t="s">
        <v>16</v>
      </c>
      <c r="D266" s="8">
        <v>-50</v>
      </c>
      <c r="E266" s="8">
        <f>E265+(0-50)</f>
        <v>12919726.019999996</v>
      </c>
    </row>
    <row r="267" spans="1:5" x14ac:dyDescent="0.25">
      <c r="A267" s="2" t="s">
        <v>38</v>
      </c>
      <c r="B267" s="6">
        <v>43857</v>
      </c>
      <c r="C267" s="2" t="s">
        <v>16</v>
      </c>
      <c r="D267" s="8">
        <v>-100</v>
      </c>
      <c r="E267" s="8">
        <f>E266+(0-100)</f>
        <v>12919626.019999996</v>
      </c>
    </row>
    <row r="268" spans="1:5" x14ac:dyDescent="0.25">
      <c r="A268" s="2" t="s">
        <v>38</v>
      </c>
      <c r="B268" s="6">
        <v>43858</v>
      </c>
      <c r="C268" s="2" t="s">
        <v>16</v>
      </c>
      <c r="D268" s="8">
        <v>-50</v>
      </c>
      <c r="E268" s="8">
        <f>E267+(0-50)</f>
        <v>12919576.019999996</v>
      </c>
    </row>
    <row r="269" spans="1:5" x14ac:dyDescent="0.25">
      <c r="A269" s="2" t="s">
        <v>38</v>
      </c>
      <c r="B269" s="6">
        <v>43858</v>
      </c>
      <c r="C269" s="2" t="s">
        <v>16</v>
      </c>
      <c r="D269" s="8">
        <v>-150</v>
      </c>
      <c r="E269" s="8">
        <f>E268+(0-150)</f>
        <v>12919426.019999996</v>
      </c>
    </row>
    <row r="270" spans="1:5" x14ac:dyDescent="0.25">
      <c r="A270" s="2" t="s">
        <v>38</v>
      </c>
      <c r="B270" s="6">
        <v>43859</v>
      </c>
      <c r="C270" s="2" t="s">
        <v>70</v>
      </c>
      <c r="D270" s="8">
        <v>-52.5</v>
      </c>
      <c r="E270" s="8">
        <f>E269+(0-52.5)</f>
        <v>12919373.519999996</v>
      </c>
    </row>
    <row r="271" spans="1:5" x14ac:dyDescent="0.25">
      <c r="A271" s="2" t="s">
        <v>38</v>
      </c>
      <c r="B271" s="6">
        <v>43859</v>
      </c>
      <c r="C271" s="2" t="s">
        <v>17</v>
      </c>
      <c r="D271" s="8">
        <v>-20</v>
      </c>
      <c r="E271" s="8">
        <f>E270+(0-20)</f>
        <v>12919353.519999996</v>
      </c>
    </row>
    <row r="272" spans="1:5" x14ac:dyDescent="0.25">
      <c r="A272" s="2" t="s">
        <v>38</v>
      </c>
      <c r="B272" s="6">
        <v>43859</v>
      </c>
      <c r="C272" s="2" t="s">
        <v>16</v>
      </c>
      <c r="D272" s="8">
        <v>-100</v>
      </c>
      <c r="E272" s="8">
        <f>E271+(0-100)</f>
        <v>12919253.519999996</v>
      </c>
    </row>
    <row r="273" spans="1:5" x14ac:dyDescent="0.25">
      <c r="A273" s="2" t="s">
        <v>38</v>
      </c>
      <c r="B273" s="6">
        <v>43860</v>
      </c>
      <c r="C273" s="2" t="s">
        <v>71</v>
      </c>
      <c r="D273" s="8">
        <v>-52.5</v>
      </c>
      <c r="E273" s="8">
        <f>E272+(0-52.5)</f>
        <v>12919201.019999996</v>
      </c>
    </row>
    <row r="274" spans="1:5" x14ac:dyDescent="0.25">
      <c r="A274" s="2" t="s">
        <v>38</v>
      </c>
      <c r="B274" s="6">
        <v>43860</v>
      </c>
      <c r="C274" s="2" t="s">
        <v>72</v>
      </c>
      <c r="D274" s="8">
        <v>-52.5</v>
      </c>
      <c r="E274" s="8">
        <f>E273+(0-52.5)</f>
        <v>12919148.519999996</v>
      </c>
    </row>
    <row r="275" spans="1:5" x14ac:dyDescent="0.25">
      <c r="A275" s="2" t="s">
        <v>38</v>
      </c>
      <c r="B275" s="6">
        <v>43860</v>
      </c>
      <c r="C275" s="2" t="s">
        <v>19</v>
      </c>
      <c r="D275" s="8">
        <v>-28</v>
      </c>
      <c r="E275" s="8">
        <f>E274+(0-28)</f>
        <v>12919120.519999996</v>
      </c>
    </row>
    <row r="276" spans="1:5" x14ac:dyDescent="0.25">
      <c r="A276" s="2" t="s">
        <v>38</v>
      </c>
      <c r="B276" s="6">
        <v>43860</v>
      </c>
      <c r="C276" s="2" t="s">
        <v>16</v>
      </c>
      <c r="D276" s="8">
        <v>-50</v>
      </c>
      <c r="E276" s="8">
        <f>E275+(0-50)</f>
        <v>12919070.519999996</v>
      </c>
    </row>
    <row r="277" spans="1:5" x14ac:dyDescent="0.25">
      <c r="A277" s="2" t="s">
        <v>38</v>
      </c>
      <c r="B277" s="6">
        <v>43860</v>
      </c>
      <c r="C277" s="2" t="s">
        <v>16</v>
      </c>
      <c r="D277" s="8">
        <v>-250</v>
      </c>
      <c r="E277" s="8">
        <f>E276+(0-250)</f>
        <v>12918820.519999996</v>
      </c>
    </row>
    <row r="278" spans="1:5" x14ac:dyDescent="0.25">
      <c r="A278" s="2" t="s">
        <v>38</v>
      </c>
      <c r="B278" s="6">
        <v>43861</v>
      </c>
      <c r="C278" s="2" t="s">
        <v>16</v>
      </c>
      <c r="D278" s="8">
        <v>-50</v>
      </c>
      <c r="E278" s="8">
        <f>E277+(0-50)</f>
        <v>12918770.519999996</v>
      </c>
    </row>
    <row r="279" spans="1:5" x14ac:dyDescent="0.25">
      <c r="A279" s="2" t="s">
        <v>38</v>
      </c>
      <c r="B279" s="6">
        <v>43861</v>
      </c>
      <c r="C279" s="2" t="s">
        <v>73</v>
      </c>
      <c r="D279" s="8">
        <v>-150</v>
      </c>
      <c r="E279" s="8">
        <f>E278+(0-150)</f>
        <v>12918620.519999996</v>
      </c>
    </row>
    <row r="280" spans="1:5" x14ac:dyDescent="0.25">
      <c r="A280" s="2" t="s">
        <v>38</v>
      </c>
      <c r="B280" s="6">
        <v>43864</v>
      </c>
      <c r="C280" s="2" t="s">
        <v>17</v>
      </c>
      <c r="D280" s="8">
        <v>-48</v>
      </c>
      <c r="E280" s="8">
        <f>E279+(0-48)</f>
        <v>12918572.519999996</v>
      </c>
    </row>
    <row r="281" spans="1:5" x14ac:dyDescent="0.25">
      <c r="A281" s="2" t="s">
        <v>38</v>
      </c>
      <c r="B281" s="6">
        <v>43864</v>
      </c>
      <c r="C281" s="2" t="s">
        <v>17</v>
      </c>
      <c r="D281" s="8">
        <v>-24</v>
      </c>
      <c r="E281" s="8">
        <f>E280+(0-24)</f>
        <v>12918548.519999996</v>
      </c>
    </row>
    <row r="282" spans="1:5" x14ac:dyDescent="0.25">
      <c r="A282" s="2" t="s">
        <v>38</v>
      </c>
      <c r="B282" s="6">
        <v>43864</v>
      </c>
      <c r="C282" s="2" t="s">
        <v>16</v>
      </c>
      <c r="D282" s="8">
        <v>-50</v>
      </c>
      <c r="E282" s="8">
        <f>E281+(0-50)</f>
        <v>12918498.519999996</v>
      </c>
    </row>
    <row r="283" spans="1:5" x14ac:dyDescent="0.25">
      <c r="A283" s="2" t="s">
        <v>38</v>
      </c>
      <c r="B283" s="6">
        <v>43864</v>
      </c>
      <c r="C283" s="2" t="s">
        <v>16</v>
      </c>
      <c r="D283" s="8">
        <v>-100</v>
      </c>
      <c r="E283" s="8">
        <f>E282+(0-100)</f>
        <v>12918398.519999996</v>
      </c>
    </row>
    <row r="284" spans="1:5" x14ac:dyDescent="0.25">
      <c r="A284" s="2" t="s">
        <v>38</v>
      </c>
      <c r="B284" s="6">
        <v>43865</v>
      </c>
      <c r="C284" s="2" t="s">
        <v>17</v>
      </c>
      <c r="D284" s="8">
        <v>-56</v>
      </c>
      <c r="E284" s="8">
        <f>E283+(0-56)</f>
        <v>12918342.519999996</v>
      </c>
    </row>
    <row r="285" spans="1:5" x14ac:dyDescent="0.25">
      <c r="A285" s="2" t="s">
        <v>38</v>
      </c>
      <c r="B285" s="6">
        <v>43893</v>
      </c>
      <c r="C285" s="2" t="s">
        <v>52</v>
      </c>
      <c r="D285" s="8">
        <v>-50</v>
      </c>
      <c r="E285" s="8">
        <f>E284+(0-50)</f>
        <v>12918292.519999996</v>
      </c>
    </row>
    <row r="286" spans="1:5" x14ac:dyDescent="0.25">
      <c r="A286" s="2" t="s">
        <v>38</v>
      </c>
      <c r="B286" s="6">
        <v>43983</v>
      </c>
      <c r="C286" s="2" t="s">
        <v>74</v>
      </c>
      <c r="D286" s="8">
        <v>-26.88</v>
      </c>
      <c r="E286" s="8">
        <f>E285+(0-26.88)</f>
        <v>12918265.639999995</v>
      </c>
    </row>
    <row r="287" spans="1:5" x14ac:dyDescent="0.25">
      <c r="A287" s="2" t="s">
        <v>38</v>
      </c>
      <c r="B287" s="6">
        <v>43983</v>
      </c>
      <c r="C287" s="2" t="s">
        <v>75</v>
      </c>
      <c r="D287" s="8">
        <v>-26.88</v>
      </c>
      <c r="E287" s="8">
        <f>E286+(0-26.88)</f>
        <v>12918238.759999994</v>
      </c>
    </row>
    <row r="288" spans="1:5" x14ac:dyDescent="0.25">
      <c r="A288" s="2" t="s">
        <v>38</v>
      </c>
      <c r="B288" s="6">
        <v>43983</v>
      </c>
      <c r="C288" s="2" t="s">
        <v>76</v>
      </c>
      <c r="D288" s="8">
        <v>-26.88</v>
      </c>
      <c r="E288" s="8">
        <f>E287+(0-26.88)</f>
        <v>12918211.879999993</v>
      </c>
    </row>
    <row r="289" spans="1:5" x14ac:dyDescent="0.25">
      <c r="A289" s="2" t="s">
        <v>38</v>
      </c>
      <c r="B289" s="6">
        <v>43983</v>
      </c>
      <c r="C289" s="2" t="s">
        <v>77</v>
      </c>
      <c r="D289" s="8">
        <v>-53.75</v>
      </c>
      <c r="E289" s="8">
        <f>E288+(0-53.75)</f>
        <v>12918158.129999993</v>
      </c>
    </row>
    <row r="290" spans="1:5" x14ac:dyDescent="0.25">
      <c r="A290" s="2" t="s">
        <v>38</v>
      </c>
      <c r="B290" s="6">
        <v>43993</v>
      </c>
      <c r="C290" s="2" t="s">
        <v>16</v>
      </c>
      <c r="D290" s="8">
        <v>-200</v>
      </c>
      <c r="E290" s="8">
        <f>E289+(0-200)</f>
        <v>12917958.129999993</v>
      </c>
    </row>
    <row r="291" spans="1:5" x14ac:dyDescent="0.25">
      <c r="A291" s="2" t="s">
        <v>38</v>
      </c>
      <c r="B291" s="6">
        <v>43993</v>
      </c>
      <c r="C291" s="2" t="s">
        <v>24</v>
      </c>
      <c r="D291" s="8">
        <v>-50</v>
      </c>
      <c r="E291" s="8">
        <f>E290+(0-50)</f>
        <v>12917908.129999993</v>
      </c>
    </row>
    <row r="292" spans="1:5" x14ac:dyDescent="0.25">
      <c r="A292" s="2" t="s">
        <v>38</v>
      </c>
      <c r="B292" s="6">
        <v>43993</v>
      </c>
      <c r="C292" s="2" t="s">
        <v>78</v>
      </c>
      <c r="D292" s="8">
        <v>-53.75</v>
      </c>
      <c r="E292" s="8">
        <f>E291+(0-53.75)</f>
        <v>12917854.379999993</v>
      </c>
    </row>
    <row r="293" spans="1:5" x14ac:dyDescent="0.25">
      <c r="A293" s="2" t="s">
        <v>38</v>
      </c>
      <c r="B293" s="6">
        <v>43993</v>
      </c>
      <c r="C293" s="2" t="s">
        <v>79</v>
      </c>
      <c r="D293" s="8">
        <v>-53.75</v>
      </c>
      <c r="E293" s="8">
        <f>E292+(0-53.75)</f>
        <v>12917800.629999993</v>
      </c>
    </row>
    <row r="294" spans="1:5" x14ac:dyDescent="0.25">
      <c r="A294" s="2" t="s">
        <v>38</v>
      </c>
      <c r="B294" s="6">
        <v>43994</v>
      </c>
      <c r="C294" s="2" t="s">
        <v>80</v>
      </c>
      <c r="D294" s="8">
        <v>-26.88</v>
      </c>
      <c r="E294" s="8">
        <f>E293+(0-26.88)</f>
        <v>12917773.749999993</v>
      </c>
    </row>
    <row r="295" spans="1:5" x14ac:dyDescent="0.25">
      <c r="A295" s="2" t="s">
        <v>38</v>
      </c>
      <c r="B295" s="6">
        <v>43995</v>
      </c>
      <c r="C295" s="2" t="s">
        <v>17</v>
      </c>
      <c r="D295" s="8">
        <v>-16</v>
      </c>
      <c r="E295" s="8">
        <f>E294+(0-16)</f>
        <v>12917757.749999993</v>
      </c>
    </row>
    <row r="296" spans="1:5" x14ac:dyDescent="0.25">
      <c r="A296" s="2" t="s">
        <v>38</v>
      </c>
      <c r="B296" s="6">
        <v>43995</v>
      </c>
      <c r="C296" s="2" t="s">
        <v>17</v>
      </c>
      <c r="D296" s="8">
        <v>-60</v>
      </c>
      <c r="E296" s="8">
        <f>E295+(0-60)</f>
        <v>12917697.749999993</v>
      </c>
    </row>
    <row r="297" spans="1:5" x14ac:dyDescent="0.25">
      <c r="A297" s="2" t="s">
        <v>38</v>
      </c>
      <c r="B297" s="6">
        <v>43997</v>
      </c>
      <c r="C297" s="2" t="s">
        <v>19</v>
      </c>
      <c r="D297" s="8">
        <v>-4</v>
      </c>
      <c r="E297" s="8">
        <f>E296+(0-4)</f>
        <v>12917693.749999993</v>
      </c>
    </row>
    <row r="298" spans="1:5" x14ac:dyDescent="0.25">
      <c r="A298" s="2" t="s">
        <v>38</v>
      </c>
      <c r="B298" s="6">
        <v>43997</v>
      </c>
      <c r="C298" s="2" t="s">
        <v>16</v>
      </c>
      <c r="D298" s="8">
        <v>-50</v>
      </c>
      <c r="E298" s="8">
        <f>E297+(0-50)</f>
        <v>12917643.749999993</v>
      </c>
    </row>
    <row r="299" spans="1:5" x14ac:dyDescent="0.25">
      <c r="A299" s="2" t="s">
        <v>38</v>
      </c>
      <c r="B299" s="6">
        <v>43997</v>
      </c>
      <c r="C299" s="2" t="s">
        <v>81</v>
      </c>
      <c r="D299" s="8">
        <v>-26.88</v>
      </c>
      <c r="E299" s="8">
        <f>E298+(0-26.88)</f>
        <v>12917616.869999992</v>
      </c>
    </row>
    <row r="300" spans="1:5" x14ac:dyDescent="0.25">
      <c r="A300" s="2" t="s">
        <v>38</v>
      </c>
      <c r="B300" s="6">
        <v>44013</v>
      </c>
      <c r="C300" s="2" t="s">
        <v>17</v>
      </c>
      <c r="D300" s="8">
        <v>-72</v>
      </c>
      <c r="E300" s="8">
        <f>E299+(0-72)</f>
        <v>12917544.869999992</v>
      </c>
    </row>
    <row r="301" spans="1:5" x14ac:dyDescent="0.25">
      <c r="A301" s="2" t="s">
        <v>38</v>
      </c>
      <c r="B301" s="6">
        <v>44013</v>
      </c>
      <c r="C301" s="2" t="s">
        <v>24</v>
      </c>
      <c r="D301" s="8">
        <v>-250</v>
      </c>
      <c r="E301" s="8">
        <f>E300+(0-250)</f>
        <v>12917294.869999992</v>
      </c>
    </row>
    <row r="302" spans="1:5" x14ac:dyDescent="0.25">
      <c r="A302" s="2" t="s">
        <v>38</v>
      </c>
      <c r="B302" s="6">
        <v>44014</v>
      </c>
      <c r="C302" s="2" t="s">
        <v>17</v>
      </c>
      <c r="D302" s="8">
        <v>-24</v>
      </c>
      <c r="E302" s="8">
        <f>E301+(0-24)</f>
        <v>12917270.869999992</v>
      </c>
    </row>
    <row r="303" spans="1:5" x14ac:dyDescent="0.25">
      <c r="A303" s="2" t="s">
        <v>38</v>
      </c>
      <c r="B303" s="6">
        <v>44029</v>
      </c>
      <c r="C303" s="2" t="s">
        <v>16</v>
      </c>
      <c r="D303" s="8">
        <v>-50</v>
      </c>
      <c r="E303" s="8">
        <f>E302+(0-50)</f>
        <v>12917220.869999992</v>
      </c>
    </row>
    <row r="304" spans="1:5" x14ac:dyDescent="0.25">
      <c r="A304" s="2" t="s">
        <v>38</v>
      </c>
      <c r="B304" s="6">
        <v>44029</v>
      </c>
      <c r="C304" s="2" t="s">
        <v>16</v>
      </c>
      <c r="D304" s="8">
        <v>-100</v>
      </c>
      <c r="E304" s="8">
        <f>E303+(0-100)</f>
        <v>12917120.869999992</v>
      </c>
    </row>
    <row r="305" spans="1:5" x14ac:dyDescent="0.25">
      <c r="A305" s="2" t="s">
        <v>38</v>
      </c>
      <c r="B305" s="6">
        <v>44046</v>
      </c>
      <c r="C305" s="2" t="s">
        <v>16</v>
      </c>
      <c r="D305" s="8">
        <v>-200</v>
      </c>
      <c r="E305" s="8">
        <f>E304+(0-200)</f>
        <v>12916920.869999992</v>
      </c>
    </row>
    <row r="306" spans="1:5" x14ac:dyDescent="0.25">
      <c r="A306" s="2" t="s">
        <v>38</v>
      </c>
      <c r="B306" s="6">
        <v>44046</v>
      </c>
      <c r="C306" s="2" t="s">
        <v>16</v>
      </c>
      <c r="D306" s="8">
        <v>-50</v>
      </c>
      <c r="E306" s="8">
        <f>E305+(0-50)</f>
        <v>12916870.869999992</v>
      </c>
    </row>
    <row r="307" spans="1:5" x14ac:dyDescent="0.25">
      <c r="A307" s="2" t="s">
        <v>38</v>
      </c>
      <c r="B307" s="6">
        <v>44047</v>
      </c>
      <c r="C307" s="2" t="s">
        <v>16</v>
      </c>
      <c r="D307" s="8">
        <v>-300</v>
      </c>
      <c r="E307" s="8">
        <f>E306+(0-300)</f>
        <v>12916570.869999992</v>
      </c>
    </row>
    <row r="308" spans="1:5" x14ac:dyDescent="0.25">
      <c r="A308" s="2" t="s">
        <v>38</v>
      </c>
      <c r="B308" s="6">
        <v>44047</v>
      </c>
      <c r="C308" s="2" t="s">
        <v>17</v>
      </c>
      <c r="D308" s="8">
        <v>-48</v>
      </c>
      <c r="E308" s="8">
        <f>E307+(0-48)</f>
        <v>12916522.869999992</v>
      </c>
    </row>
    <row r="309" spans="1:5" x14ac:dyDescent="0.25">
      <c r="A309" s="2" t="s">
        <v>38</v>
      </c>
      <c r="B309" s="6">
        <v>44047</v>
      </c>
      <c r="C309" s="2" t="s">
        <v>17</v>
      </c>
      <c r="D309" s="8">
        <v>-56</v>
      </c>
      <c r="E309" s="8">
        <f>E308+(0-56)</f>
        <v>12916466.869999992</v>
      </c>
    </row>
    <row r="310" spans="1:5" x14ac:dyDescent="0.25">
      <c r="A310" s="2" t="s">
        <v>38</v>
      </c>
      <c r="B310" s="6">
        <v>44047</v>
      </c>
      <c r="C310" s="2" t="s">
        <v>16</v>
      </c>
      <c r="D310" s="8">
        <v>-50</v>
      </c>
      <c r="E310" s="8">
        <f>E309+(0-50)</f>
        <v>12916416.869999992</v>
      </c>
    </row>
    <row r="311" spans="1:5" x14ac:dyDescent="0.25">
      <c r="A311" s="2" t="s">
        <v>38</v>
      </c>
      <c r="B311" s="6">
        <v>44048</v>
      </c>
      <c r="C311" s="2" t="s">
        <v>16</v>
      </c>
      <c r="D311" s="8">
        <v>-200</v>
      </c>
      <c r="E311" s="8">
        <f>E310+(0-200)</f>
        <v>12916216.869999992</v>
      </c>
    </row>
    <row r="312" spans="1:5" x14ac:dyDescent="0.25">
      <c r="A312" s="2" t="s">
        <v>38</v>
      </c>
      <c r="B312" s="6">
        <v>44049</v>
      </c>
      <c r="C312" s="2" t="s">
        <v>82</v>
      </c>
      <c r="D312" s="8">
        <v>-26.88</v>
      </c>
      <c r="E312" s="8">
        <f>E311+(0-26.88)</f>
        <v>12916189.989999991</v>
      </c>
    </row>
    <row r="313" spans="1:5" x14ac:dyDescent="0.25">
      <c r="A313" s="2" t="s">
        <v>38</v>
      </c>
      <c r="B313" s="6">
        <v>44049</v>
      </c>
      <c r="C313" s="2" t="s">
        <v>17</v>
      </c>
      <c r="D313" s="8">
        <v>-24</v>
      </c>
      <c r="E313" s="8">
        <f>E312+(0-24)</f>
        <v>12916165.989999991</v>
      </c>
    </row>
    <row r="314" spans="1:5" x14ac:dyDescent="0.25">
      <c r="A314" s="2" t="s">
        <v>38</v>
      </c>
      <c r="B314" s="6">
        <v>44049</v>
      </c>
      <c r="C314" s="2" t="s">
        <v>78</v>
      </c>
      <c r="D314" s="8">
        <v>-53.75</v>
      </c>
      <c r="E314" s="8">
        <f>E313+(0-53.75)</f>
        <v>12916112.239999991</v>
      </c>
    </row>
    <row r="315" spans="1:5" x14ac:dyDescent="0.25">
      <c r="A315" s="2" t="s">
        <v>38</v>
      </c>
      <c r="B315" s="6">
        <v>44049</v>
      </c>
      <c r="C315" s="2" t="s">
        <v>83</v>
      </c>
      <c r="D315" s="8">
        <v>-26.88</v>
      </c>
      <c r="E315" s="8">
        <f>E314+(0-26.88)</f>
        <v>12916085.35999999</v>
      </c>
    </row>
    <row r="316" spans="1:5" x14ac:dyDescent="0.25">
      <c r="A316" s="2" t="s">
        <v>38</v>
      </c>
      <c r="B316" s="6">
        <v>44049</v>
      </c>
      <c r="C316" s="2" t="s">
        <v>16</v>
      </c>
      <c r="D316" s="8">
        <v>-250</v>
      </c>
      <c r="E316" s="8">
        <f>E315+(0-250)</f>
        <v>12915835.35999999</v>
      </c>
    </row>
    <row r="317" spans="1:5" x14ac:dyDescent="0.25">
      <c r="A317" s="2" t="s">
        <v>38</v>
      </c>
      <c r="B317" s="6">
        <v>44050</v>
      </c>
      <c r="C317" s="2" t="s">
        <v>17</v>
      </c>
      <c r="D317" s="8">
        <v>-100</v>
      </c>
      <c r="E317" s="8">
        <f>E316+(0-100)</f>
        <v>12915735.35999999</v>
      </c>
    </row>
    <row r="318" spans="1:5" x14ac:dyDescent="0.25">
      <c r="A318" s="2" t="s">
        <v>38</v>
      </c>
      <c r="B318" s="6">
        <v>44050</v>
      </c>
      <c r="C318" s="2" t="s">
        <v>78</v>
      </c>
      <c r="D318" s="8">
        <v>-53.75</v>
      </c>
      <c r="E318" s="8">
        <f>E317+(0-53.75)</f>
        <v>12915681.60999999</v>
      </c>
    </row>
    <row r="319" spans="1:5" x14ac:dyDescent="0.25">
      <c r="A319" s="2" t="s">
        <v>38</v>
      </c>
      <c r="B319" s="6">
        <v>44050</v>
      </c>
      <c r="C319" s="2" t="s">
        <v>16</v>
      </c>
      <c r="D319" s="8">
        <v>-150</v>
      </c>
      <c r="E319" s="8">
        <f>E318+(0-150)</f>
        <v>12915531.60999999</v>
      </c>
    </row>
    <row r="320" spans="1:5" x14ac:dyDescent="0.25">
      <c r="A320" s="2" t="s">
        <v>38</v>
      </c>
      <c r="B320" s="6">
        <v>44052</v>
      </c>
      <c r="C320" s="2" t="s">
        <v>17</v>
      </c>
      <c r="D320" s="8">
        <v>-40</v>
      </c>
      <c r="E320" s="8">
        <f>E319+(0-40)</f>
        <v>12915491.60999999</v>
      </c>
    </row>
    <row r="321" spans="1:5" x14ac:dyDescent="0.25">
      <c r="A321" s="2" t="s">
        <v>38</v>
      </c>
      <c r="B321" s="6">
        <v>44053</v>
      </c>
      <c r="C321" s="2" t="s">
        <v>17</v>
      </c>
      <c r="D321" s="8">
        <v>-4</v>
      </c>
      <c r="E321" s="8">
        <f>E320+(0-4)</f>
        <v>12915487.60999999</v>
      </c>
    </row>
    <row r="322" spans="1:5" x14ac:dyDescent="0.25">
      <c r="A322" s="2" t="s">
        <v>38</v>
      </c>
      <c r="B322" s="6">
        <v>44053</v>
      </c>
      <c r="C322" s="2" t="s">
        <v>84</v>
      </c>
      <c r="D322" s="8">
        <v>-26.88</v>
      </c>
      <c r="E322" s="8">
        <f>E321+(0-26.88)</f>
        <v>12915460.729999989</v>
      </c>
    </row>
    <row r="323" spans="1:5" x14ac:dyDescent="0.25">
      <c r="A323" s="2" t="s">
        <v>38</v>
      </c>
      <c r="B323" s="6">
        <v>44053</v>
      </c>
      <c r="C323" s="2" t="s">
        <v>16</v>
      </c>
      <c r="D323" s="8">
        <v>-300</v>
      </c>
      <c r="E323" s="8">
        <f>E322+(0-300)</f>
        <v>12915160.729999989</v>
      </c>
    </row>
    <row r="324" spans="1:5" x14ac:dyDescent="0.25">
      <c r="A324" s="2" t="s">
        <v>38</v>
      </c>
      <c r="B324" s="6">
        <v>44054</v>
      </c>
      <c r="C324" s="2" t="s">
        <v>17</v>
      </c>
      <c r="D324" s="8">
        <v>-36</v>
      </c>
      <c r="E324" s="8">
        <f>E323+(0-36)</f>
        <v>12915124.729999989</v>
      </c>
    </row>
    <row r="325" spans="1:5" x14ac:dyDescent="0.25">
      <c r="A325" s="2" t="s">
        <v>38</v>
      </c>
      <c r="B325" s="6">
        <v>44054</v>
      </c>
      <c r="C325" s="2" t="s">
        <v>16</v>
      </c>
      <c r="D325" s="8">
        <v>-50</v>
      </c>
      <c r="E325" s="8">
        <f>E324+(0-50)</f>
        <v>12915074.729999989</v>
      </c>
    </row>
    <row r="326" spans="1:5" x14ac:dyDescent="0.25">
      <c r="A326" s="2" t="s">
        <v>38</v>
      </c>
      <c r="B326" s="6">
        <v>44054</v>
      </c>
      <c r="C326" s="2" t="s">
        <v>16</v>
      </c>
      <c r="D326" s="8">
        <v>-300</v>
      </c>
      <c r="E326" s="8">
        <f>E325+(0-300)</f>
        <v>12914774.729999989</v>
      </c>
    </row>
    <row r="327" spans="1:5" x14ac:dyDescent="0.25">
      <c r="A327" s="2" t="s">
        <v>38</v>
      </c>
      <c r="B327" s="6">
        <v>44055</v>
      </c>
      <c r="C327" s="2" t="s">
        <v>16</v>
      </c>
      <c r="D327" s="8">
        <v>-50</v>
      </c>
      <c r="E327" s="8">
        <f>E326+(0-50)</f>
        <v>12914724.729999989</v>
      </c>
    </row>
    <row r="328" spans="1:5" x14ac:dyDescent="0.25">
      <c r="A328" s="2" t="s">
        <v>38</v>
      </c>
      <c r="B328" s="6">
        <v>44055</v>
      </c>
      <c r="C328" s="2" t="s">
        <v>16</v>
      </c>
      <c r="D328" s="8">
        <v>-50</v>
      </c>
      <c r="E328" s="8">
        <f>E327+(0-50)</f>
        <v>12914674.729999989</v>
      </c>
    </row>
    <row r="329" spans="1:5" x14ac:dyDescent="0.25">
      <c r="A329" s="2" t="s">
        <v>38</v>
      </c>
      <c r="B329" s="6">
        <v>44055</v>
      </c>
      <c r="C329" s="2" t="s">
        <v>24</v>
      </c>
      <c r="D329" s="8">
        <v>-50</v>
      </c>
      <c r="E329" s="8">
        <f>E328+(0-50)</f>
        <v>12914624.729999989</v>
      </c>
    </row>
    <row r="330" spans="1:5" x14ac:dyDescent="0.25">
      <c r="A330" s="2" t="s">
        <v>38</v>
      </c>
      <c r="B330" s="6">
        <v>44055</v>
      </c>
      <c r="C330" s="2" t="s">
        <v>16</v>
      </c>
      <c r="D330" s="8">
        <v>-50</v>
      </c>
      <c r="E330" s="8">
        <f>E329+(0-50)</f>
        <v>12914574.729999989</v>
      </c>
    </row>
    <row r="331" spans="1:5" x14ac:dyDescent="0.25">
      <c r="A331" s="2" t="s">
        <v>38</v>
      </c>
      <c r="B331" s="6">
        <v>44055</v>
      </c>
      <c r="C331" s="2" t="s">
        <v>16</v>
      </c>
      <c r="D331" s="8">
        <v>-50</v>
      </c>
      <c r="E331" s="8">
        <f>E330+(0-50)</f>
        <v>12914524.729999989</v>
      </c>
    </row>
    <row r="332" spans="1:5" x14ac:dyDescent="0.25">
      <c r="A332" s="2" t="s">
        <v>38</v>
      </c>
      <c r="B332" s="6">
        <v>44055</v>
      </c>
      <c r="C332" s="2" t="s">
        <v>16</v>
      </c>
      <c r="D332" s="8">
        <v>-50</v>
      </c>
      <c r="E332" s="8">
        <f>E331+(0-50)</f>
        <v>12914474.729999989</v>
      </c>
    </row>
    <row r="333" spans="1:5" x14ac:dyDescent="0.25">
      <c r="A333" s="2" t="s">
        <v>38</v>
      </c>
      <c r="B333" s="6">
        <v>44055</v>
      </c>
      <c r="C333" s="2" t="s">
        <v>16</v>
      </c>
      <c r="D333" s="8">
        <v>-50</v>
      </c>
      <c r="E333" s="8">
        <f>E332+(0-50)</f>
        <v>12914424.729999989</v>
      </c>
    </row>
    <row r="334" spans="1:5" x14ac:dyDescent="0.25">
      <c r="A334" s="2" t="s">
        <v>38</v>
      </c>
      <c r="B334" s="6">
        <v>44055</v>
      </c>
      <c r="C334" s="2" t="s">
        <v>16</v>
      </c>
      <c r="D334" s="8">
        <v>-50</v>
      </c>
      <c r="E334" s="8">
        <f>E333+(0-50)</f>
        <v>12914374.729999989</v>
      </c>
    </row>
    <row r="335" spans="1:5" x14ac:dyDescent="0.25">
      <c r="A335" s="2" t="s">
        <v>38</v>
      </c>
      <c r="B335" s="6">
        <v>44055</v>
      </c>
      <c r="C335" s="2" t="s">
        <v>16</v>
      </c>
      <c r="D335" s="8">
        <v>-300</v>
      </c>
      <c r="E335" s="8">
        <f>E334+(0-300)</f>
        <v>12914074.729999989</v>
      </c>
    </row>
    <row r="336" spans="1:5" x14ac:dyDescent="0.25">
      <c r="A336" s="2" t="s">
        <v>38</v>
      </c>
      <c r="B336" s="6">
        <v>44055</v>
      </c>
      <c r="C336" s="2" t="s">
        <v>17</v>
      </c>
      <c r="D336" s="8">
        <v>-52</v>
      </c>
      <c r="E336" s="8">
        <f>E335+(0-52)</f>
        <v>12914022.729999989</v>
      </c>
    </row>
    <row r="337" spans="1:5" x14ac:dyDescent="0.25">
      <c r="A337" s="2" t="s">
        <v>38</v>
      </c>
      <c r="B337" s="6">
        <v>44056</v>
      </c>
      <c r="C337" s="2" t="s">
        <v>85</v>
      </c>
      <c r="D337" s="8">
        <v>-10.75</v>
      </c>
      <c r="E337" s="8">
        <f>E336+(0-10.75)</f>
        <v>12914011.979999989</v>
      </c>
    </row>
    <row r="338" spans="1:5" x14ac:dyDescent="0.25">
      <c r="A338" s="2" t="s">
        <v>38</v>
      </c>
      <c r="B338" s="6">
        <v>44056</v>
      </c>
      <c r="C338" s="2" t="s">
        <v>85</v>
      </c>
      <c r="D338" s="8">
        <v>-53.75</v>
      </c>
      <c r="E338" s="8">
        <f>E337+(0-53.75)</f>
        <v>12913958.229999989</v>
      </c>
    </row>
    <row r="339" spans="1:5" x14ac:dyDescent="0.25">
      <c r="A339" s="2" t="s">
        <v>38</v>
      </c>
      <c r="B339" s="6">
        <v>44084</v>
      </c>
      <c r="C339" s="2" t="s">
        <v>16</v>
      </c>
      <c r="D339" s="8">
        <v>-50</v>
      </c>
      <c r="E339" s="8">
        <f>E338+(0-50)</f>
        <v>12913908.229999989</v>
      </c>
    </row>
    <row r="340" spans="1:5" x14ac:dyDescent="0.25">
      <c r="A340" s="2" t="s">
        <v>38</v>
      </c>
      <c r="B340" s="6">
        <v>44084</v>
      </c>
      <c r="C340" s="2" t="s">
        <v>86</v>
      </c>
      <c r="D340" s="8">
        <v>-53.75</v>
      </c>
      <c r="E340" s="8">
        <f>E339+(0-53.75)</f>
        <v>12913854.479999989</v>
      </c>
    </row>
    <row r="341" spans="1:5" x14ac:dyDescent="0.25">
      <c r="A341" s="2" t="s">
        <v>38</v>
      </c>
      <c r="B341" s="6">
        <v>44084</v>
      </c>
      <c r="C341" s="2" t="s">
        <v>16</v>
      </c>
      <c r="D341" s="8">
        <v>-50</v>
      </c>
      <c r="E341" s="8">
        <f>E340+(0-50)</f>
        <v>12913804.479999989</v>
      </c>
    </row>
    <row r="342" spans="1:5" x14ac:dyDescent="0.25">
      <c r="A342" s="2" t="s">
        <v>38</v>
      </c>
      <c r="B342" s="6">
        <v>44084</v>
      </c>
      <c r="C342" s="2" t="s">
        <v>16</v>
      </c>
      <c r="D342" s="8">
        <v>-100</v>
      </c>
      <c r="E342" s="8">
        <f>E341+(0-100)</f>
        <v>12913704.479999989</v>
      </c>
    </row>
    <row r="343" spans="1:5" x14ac:dyDescent="0.25">
      <c r="A343" s="2" t="s">
        <v>38</v>
      </c>
      <c r="B343" s="6">
        <v>44085</v>
      </c>
      <c r="C343" s="2" t="s">
        <v>87</v>
      </c>
      <c r="D343" s="8">
        <v>-53.75</v>
      </c>
      <c r="E343" s="8">
        <f>E342+(0-53.75)</f>
        <v>12913650.729999989</v>
      </c>
    </row>
    <row r="344" spans="1:5" x14ac:dyDescent="0.25">
      <c r="A344" s="2" t="s">
        <v>38</v>
      </c>
      <c r="B344" s="6">
        <v>44085</v>
      </c>
      <c r="C344" s="2" t="s">
        <v>16</v>
      </c>
      <c r="D344" s="8">
        <v>-50</v>
      </c>
      <c r="E344" s="8">
        <f>E343+(0-50)</f>
        <v>12913600.729999989</v>
      </c>
    </row>
    <row r="345" spans="1:5" x14ac:dyDescent="0.25">
      <c r="A345" s="2" t="s">
        <v>38</v>
      </c>
      <c r="B345" s="6">
        <v>44085</v>
      </c>
      <c r="C345" s="2" t="s">
        <v>16</v>
      </c>
      <c r="D345" s="8">
        <v>-50</v>
      </c>
      <c r="E345" s="8">
        <f>E344+(0-50)</f>
        <v>12913550.729999989</v>
      </c>
    </row>
    <row r="346" spans="1:5" x14ac:dyDescent="0.25">
      <c r="A346" s="2" t="s">
        <v>38</v>
      </c>
      <c r="B346" s="6">
        <v>44085</v>
      </c>
      <c r="C346" s="2" t="s">
        <v>16</v>
      </c>
      <c r="D346" s="8">
        <v>-50</v>
      </c>
      <c r="E346" s="8">
        <f>E345+(0-50)</f>
        <v>12913500.729999989</v>
      </c>
    </row>
    <row r="347" spans="1:5" x14ac:dyDescent="0.25">
      <c r="A347" s="2" t="s">
        <v>38</v>
      </c>
      <c r="B347" s="6">
        <v>44085</v>
      </c>
      <c r="C347" s="2" t="s">
        <v>16</v>
      </c>
      <c r="D347" s="8">
        <v>-50</v>
      </c>
      <c r="E347" s="8">
        <f>E346+(0-50)</f>
        <v>12913450.729999989</v>
      </c>
    </row>
    <row r="348" spans="1:5" x14ac:dyDescent="0.25">
      <c r="A348" s="2" t="s">
        <v>38</v>
      </c>
      <c r="B348" s="6">
        <v>44085</v>
      </c>
      <c r="C348" s="2" t="s">
        <v>16</v>
      </c>
      <c r="D348" s="8">
        <v>-50</v>
      </c>
      <c r="E348" s="8">
        <f>E347+(0-50)</f>
        <v>12913400.729999989</v>
      </c>
    </row>
    <row r="349" spans="1:5" x14ac:dyDescent="0.25">
      <c r="A349" s="2" t="s">
        <v>38</v>
      </c>
      <c r="B349" s="6">
        <v>44085</v>
      </c>
      <c r="C349" s="2" t="s">
        <v>16</v>
      </c>
      <c r="D349" s="8">
        <v>-50</v>
      </c>
      <c r="E349" s="8">
        <f>E348+(0-50)</f>
        <v>12913350.729999989</v>
      </c>
    </row>
    <row r="350" spans="1:5" x14ac:dyDescent="0.25">
      <c r="A350" s="2" t="s">
        <v>38</v>
      </c>
      <c r="B350" s="6">
        <v>44085</v>
      </c>
      <c r="C350" s="2" t="s">
        <v>16</v>
      </c>
      <c r="D350" s="8">
        <v>-50</v>
      </c>
      <c r="E350" s="8">
        <f>E349+(0-50)</f>
        <v>12913300.729999989</v>
      </c>
    </row>
    <row r="351" spans="1:5" x14ac:dyDescent="0.25">
      <c r="A351" s="2" t="s">
        <v>38</v>
      </c>
      <c r="B351" s="6">
        <v>44088</v>
      </c>
      <c r="C351" s="2" t="s">
        <v>17</v>
      </c>
      <c r="D351" s="8">
        <v>-48</v>
      </c>
      <c r="E351" s="8">
        <f>E350+(0-48)</f>
        <v>12913252.729999989</v>
      </c>
    </row>
    <row r="352" spans="1:5" x14ac:dyDescent="0.25">
      <c r="A352" s="2" t="s">
        <v>38</v>
      </c>
      <c r="B352" s="6">
        <v>44088</v>
      </c>
      <c r="C352" s="2" t="s">
        <v>16</v>
      </c>
      <c r="D352" s="8">
        <v>-250</v>
      </c>
      <c r="E352" s="8">
        <f>E351+(0-250)</f>
        <v>12913002.729999989</v>
      </c>
    </row>
    <row r="353" spans="1:5" x14ac:dyDescent="0.25">
      <c r="A353" s="2" t="s">
        <v>38</v>
      </c>
      <c r="B353" s="6">
        <v>44088</v>
      </c>
      <c r="C353" s="2" t="s">
        <v>16</v>
      </c>
      <c r="D353" s="8">
        <v>-50</v>
      </c>
      <c r="E353" s="8">
        <f>E352+(0-50)</f>
        <v>12912952.729999989</v>
      </c>
    </row>
    <row r="354" spans="1:5" x14ac:dyDescent="0.25">
      <c r="A354" s="2" t="s">
        <v>38</v>
      </c>
      <c r="B354" s="6">
        <v>44088</v>
      </c>
      <c r="C354" s="2" t="s">
        <v>17</v>
      </c>
      <c r="D354" s="8">
        <v>-52</v>
      </c>
      <c r="E354" s="8">
        <f>E353+(0-52)</f>
        <v>12912900.729999989</v>
      </c>
    </row>
    <row r="355" spans="1:5" x14ac:dyDescent="0.25">
      <c r="A355" s="2" t="s">
        <v>38</v>
      </c>
      <c r="B355" s="6">
        <v>44088</v>
      </c>
      <c r="C355" s="2" t="s">
        <v>17</v>
      </c>
      <c r="D355" s="8">
        <v>-64</v>
      </c>
      <c r="E355" s="8">
        <f>E354+(0-64)</f>
        <v>12912836.729999989</v>
      </c>
    </row>
    <row r="356" spans="1:5" x14ac:dyDescent="0.25">
      <c r="A356" s="2" t="s">
        <v>38</v>
      </c>
      <c r="B356" s="6">
        <v>44089</v>
      </c>
      <c r="C356" s="2" t="s">
        <v>88</v>
      </c>
      <c r="D356" s="8">
        <v>-26.88</v>
      </c>
      <c r="E356" s="8">
        <f>E355+(0-26.88)</f>
        <v>12912809.849999988</v>
      </c>
    </row>
    <row r="357" spans="1:5" x14ac:dyDescent="0.25">
      <c r="A357" s="2" t="s">
        <v>38</v>
      </c>
      <c r="B357" s="6">
        <v>44089</v>
      </c>
      <c r="C357" s="2" t="s">
        <v>17</v>
      </c>
      <c r="D357" s="8">
        <v>-28</v>
      </c>
      <c r="E357" s="8">
        <f>E356+(0-28)</f>
        <v>12912781.849999988</v>
      </c>
    </row>
    <row r="358" spans="1:5" x14ac:dyDescent="0.25">
      <c r="A358" s="2" t="s">
        <v>38</v>
      </c>
      <c r="B358" s="6">
        <v>44089</v>
      </c>
      <c r="C358" s="2" t="s">
        <v>16</v>
      </c>
      <c r="D358" s="8">
        <v>-100</v>
      </c>
      <c r="E358" s="8">
        <f>E357+(0-100)</f>
        <v>12912681.849999988</v>
      </c>
    </row>
    <row r="359" spans="1:5" x14ac:dyDescent="0.25">
      <c r="A359" s="2" t="s">
        <v>38</v>
      </c>
      <c r="B359" s="6">
        <v>44090</v>
      </c>
      <c r="C359" s="2" t="s">
        <v>89</v>
      </c>
      <c r="D359" s="8">
        <v>-26.88</v>
      </c>
      <c r="E359" s="8">
        <f>E358+(0-26.88)</f>
        <v>12912654.969999988</v>
      </c>
    </row>
    <row r="360" spans="1:5" x14ac:dyDescent="0.25">
      <c r="A360" s="2" t="s">
        <v>38</v>
      </c>
      <c r="B360" s="6">
        <v>44090</v>
      </c>
      <c r="C360" s="2" t="s">
        <v>90</v>
      </c>
      <c r="D360" s="8">
        <v>-200</v>
      </c>
      <c r="E360" s="8">
        <f>E359+(0-200)</f>
        <v>12912454.969999988</v>
      </c>
    </row>
    <row r="361" spans="1:5" x14ac:dyDescent="0.25">
      <c r="A361" s="2" t="s">
        <v>38</v>
      </c>
      <c r="B361" s="6">
        <v>44091</v>
      </c>
      <c r="C361" s="2" t="s">
        <v>16</v>
      </c>
      <c r="D361" s="8">
        <v>-50</v>
      </c>
      <c r="E361" s="8">
        <f>E360+(0-50)</f>
        <v>12912404.969999988</v>
      </c>
    </row>
    <row r="362" spans="1:5" x14ac:dyDescent="0.25">
      <c r="A362" s="2" t="s">
        <v>38</v>
      </c>
      <c r="B362" s="6">
        <v>44091</v>
      </c>
      <c r="C362" s="2" t="s">
        <v>91</v>
      </c>
      <c r="D362" s="8">
        <v>-200</v>
      </c>
      <c r="E362" s="8">
        <f>E361+(0-200)</f>
        <v>12912204.969999988</v>
      </c>
    </row>
    <row r="363" spans="1:5" x14ac:dyDescent="0.25">
      <c r="A363" s="2" t="s">
        <v>38</v>
      </c>
      <c r="B363" s="6">
        <v>44092</v>
      </c>
      <c r="C363" s="2" t="s">
        <v>16</v>
      </c>
      <c r="D363" s="8">
        <v>-50</v>
      </c>
      <c r="E363" s="8">
        <f>E362+(0-50)</f>
        <v>12912154.969999988</v>
      </c>
    </row>
    <row r="364" spans="1:5" x14ac:dyDescent="0.25">
      <c r="A364" s="2" t="s">
        <v>38</v>
      </c>
      <c r="B364" s="6">
        <v>44092</v>
      </c>
      <c r="C364" s="2" t="s">
        <v>16</v>
      </c>
      <c r="D364" s="8">
        <v>-100</v>
      </c>
      <c r="E364" s="8">
        <f>E363+(0-100)</f>
        <v>12912054.969999988</v>
      </c>
    </row>
    <row r="365" spans="1:5" x14ac:dyDescent="0.25">
      <c r="A365" s="2" t="s">
        <v>38</v>
      </c>
      <c r="B365" s="6">
        <v>44092</v>
      </c>
      <c r="C365" s="2" t="s">
        <v>16</v>
      </c>
      <c r="D365" s="8">
        <v>-50</v>
      </c>
      <c r="E365" s="8">
        <f>E364+(0-50)</f>
        <v>12912004.969999988</v>
      </c>
    </row>
    <row r="366" spans="1:5" x14ac:dyDescent="0.25">
      <c r="A366" s="2" t="s">
        <v>38</v>
      </c>
      <c r="B366" s="6">
        <v>44092</v>
      </c>
      <c r="C366" s="2" t="s">
        <v>17</v>
      </c>
      <c r="D366" s="8">
        <v>-12</v>
      </c>
      <c r="E366" s="8">
        <f>E365+(0-12)</f>
        <v>12911992.969999988</v>
      </c>
    </row>
    <row r="367" spans="1:5" x14ac:dyDescent="0.25">
      <c r="A367" s="2" t="s">
        <v>38</v>
      </c>
      <c r="B367" s="6">
        <v>44094</v>
      </c>
      <c r="C367" s="2" t="s">
        <v>17</v>
      </c>
      <c r="D367" s="8">
        <v>-36</v>
      </c>
      <c r="E367" s="8">
        <f>E366+(0-36)</f>
        <v>12911956.969999988</v>
      </c>
    </row>
    <row r="368" spans="1:5" x14ac:dyDescent="0.25">
      <c r="A368" s="2" t="s">
        <v>38</v>
      </c>
      <c r="B368" s="6">
        <v>44094</v>
      </c>
      <c r="C368" s="2" t="s">
        <v>17</v>
      </c>
      <c r="D368" s="8">
        <v>-44</v>
      </c>
      <c r="E368" s="8">
        <f>E367+(0-44)</f>
        <v>12911912.969999988</v>
      </c>
    </row>
    <row r="369" spans="1:5" x14ac:dyDescent="0.25">
      <c r="A369" s="2" t="s">
        <v>38</v>
      </c>
      <c r="B369" s="6">
        <v>44094</v>
      </c>
      <c r="C369" s="2" t="s">
        <v>17</v>
      </c>
      <c r="D369" s="8">
        <v>-20</v>
      </c>
      <c r="E369" s="8">
        <f>E368+(0-20)</f>
        <v>12911892.969999988</v>
      </c>
    </row>
    <row r="370" spans="1:5" x14ac:dyDescent="0.25">
      <c r="A370" s="2" t="s">
        <v>38</v>
      </c>
      <c r="B370" s="6">
        <v>44094</v>
      </c>
      <c r="C370" s="2" t="s">
        <v>17</v>
      </c>
      <c r="D370" s="8">
        <v>-4</v>
      </c>
      <c r="E370" s="8">
        <f>E369+(0-4)</f>
        <v>12911888.969999988</v>
      </c>
    </row>
    <row r="371" spans="1:5" x14ac:dyDescent="0.25">
      <c r="A371" s="2" t="s">
        <v>38</v>
      </c>
      <c r="B371" s="6">
        <v>44095</v>
      </c>
      <c r="C371" s="2" t="s">
        <v>16</v>
      </c>
      <c r="D371" s="8">
        <v>-350</v>
      </c>
      <c r="E371" s="8">
        <f>E370+(0-350)</f>
        <v>12911538.969999988</v>
      </c>
    </row>
    <row r="372" spans="1:5" x14ac:dyDescent="0.25">
      <c r="A372" s="2" t="s">
        <v>38</v>
      </c>
      <c r="B372" s="6">
        <v>44096</v>
      </c>
      <c r="C372" s="2" t="s">
        <v>16</v>
      </c>
      <c r="D372" s="8">
        <v>-50</v>
      </c>
      <c r="E372" s="8">
        <f>E371+(0-50)</f>
        <v>12911488.969999988</v>
      </c>
    </row>
    <row r="373" spans="1:5" x14ac:dyDescent="0.25">
      <c r="A373" s="2" t="s">
        <v>38</v>
      </c>
      <c r="B373" s="6">
        <v>44096</v>
      </c>
      <c r="C373" s="2" t="s">
        <v>16</v>
      </c>
      <c r="D373" s="8">
        <v>-350</v>
      </c>
      <c r="E373" s="8">
        <f>E372+(0-350)</f>
        <v>12911138.969999988</v>
      </c>
    </row>
    <row r="374" spans="1:5" x14ac:dyDescent="0.25">
      <c r="A374" s="2" t="s">
        <v>38</v>
      </c>
      <c r="B374" s="6">
        <v>44097</v>
      </c>
      <c r="C374" s="2" t="s">
        <v>92</v>
      </c>
      <c r="D374" s="8">
        <v>-112.5</v>
      </c>
      <c r="E374" s="8">
        <f>E373+(0-112.5)</f>
        <v>12911026.469999988</v>
      </c>
    </row>
    <row r="375" spans="1:5" x14ac:dyDescent="0.25">
      <c r="A375" s="2" t="s">
        <v>38</v>
      </c>
      <c r="B375" s="6">
        <v>44097</v>
      </c>
      <c r="C375" s="2" t="s">
        <v>93</v>
      </c>
      <c r="D375" s="8">
        <v>-1500</v>
      </c>
      <c r="E375" s="8">
        <f>E374+(0-1500)</f>
        <v>12909526.469999988</v>
      </c>
    </row>
    <row r="376" spans="1:5" x14ac:dyDescent="0.25">
      <c r="A376" s="2" t="s">
        <v>38</v>
      </c>
      <c r="B376" s="6">
        <v>44097</v>
      </c>
      <c r="C376" s="2" t="s">
        <v>16</v>
      </c>
      <c r="D376" s="8">
        <v>-200</v>
      </c>
      <c r="E376" s="8">
        <f>E375+(0-200)</f>
        <v>12909326.469999988</v>
      </c>
    </row>
    <row r="377" spans="1:5" x14ac:dyDescent="0.25">
      <c r="A377" s="2" t="s">
        <v>38</v>
      </c>
      <c r="B377" s="6">
        <v>44109</v>
      </c>
      <c r="C377" s="2" t="s">
        <v>16</v>
      </c>
      <c r="D377" s="8">
        <v>-250</v>
      </c>
      <c r="E377" s="8">
        <f>E376+(0-250)</f>
        <v>12909076.469999988</v>
      </c>
    </row>
    <row r="378" spans="1:5" x14ac:dyDescent="0.25">
      <c r="A378" s="2" t="s">
        <v>38</v>
      </c>
      <c r="B378" s="6">
        <v>44134</v>
      </c>
      <c r="C378" s="2" t="s">
        <v>19</v>
      </c>
      <c r="D378" s="8">
        <v>-24</v>
      </c>
      <c r="E378" s="8">
        <f>E377+(0-24)</f>
        <v>12909052.469999988</v>
      </c>
    </row>
    <row r="379" spans="1:5" x14ac:dyDescent="0.25">
      <c r="A379" s="2" t="s">
        <v>38</v>
      </c>
      <c r="B379" s="6">
        <v>44134</v>
      </c>
      <c r="C379" s="2" t="s">
        <v>94</v>
      </c>
      <c r="D379" s="8">
        <v>-26.88</v>
      </c>
      <c r="E379" s="8">
        <f>E378+(0-26.88)</f>
        <v>12909025.589999987</v>
      </c>
    </row>
    <row r="380" spans="1:5" x14ac:dyDescent="0.25">
      <c r="A380" s="2" t="s">
        <v>38</v>
      </c>
      <c r="B380" s="6">
        <v>44134</v>
      </c>
      <c r="C380" s="2" t="s">
        <v>95</v>
      </c>
      <c r="D380" s="8">
        <v>-53.75</v>
      </c>
      <c r="E380" s="8">
        <f>E379+(0-53.75)</f>
        <v>12908971.839999987</v>
      </c>
    </row>
    <row r="381" spans="1:5" x14ac:dyDescent="0.25">
      <c r="A381" s="2" t="s">
        <v>38</v>
      </c>
      <c r="B381" s="6">
        <v>44134</v>
      </c>
      <c r="C381" s="2" t="s">
        <v>96</v>
      </c>
      <c r="D381" s="8">
        <v>-26.88</v>
      </c>
      <c r="E381" s="8">
        <f>E380+(0-26.88)</f>
        <v>12908944.959999986</v>
      </c>
    </row>
    <row r="382" spans="1:5" x14ac:dyDescent="0.25">
      <c r="A382" s="2" t="s">
        <v>38</v>
      </c>
      <c r="B382" s="6">
        <v>44134</v>
      </c>
      <c r="C382" s="2" t="s">
        <v>32</v>
      </c>
      <c r="D382" s="8">
        <v>-53.75</v>
      </c>
      <c r="E382" s="8">
        <f>E381+(0-53.75)</f>
        <v>12908891.209999986</v>
      </c>
    </row>
    <row r="383" spans="1:5" x14ac:dyDescent="0.25">
      <c r="A383" s="2" t="s">
        <v>38</v>
      </c>
      <c r="B383" s="6">
        <v>44134</v>
      </c>
      <c r="C383" s="2" t="s">
        <v>71</v>
      </c>
      <c r="D383" s="8">
        <v>-53.75</v>
      </c>
      <c r="E383" s="8">
        <f>E382+(0-53.75)</f>
        <v>12908837.459999986</v>
      </c>
    </row>
    <row r="384" spans="1:5" x14ac:dyDescent="0.25">
      <c r="A384" s="2" t="s">
        <v>38</v>
      </c>
      <c r="B384" s="6">
        <v>44134</v>
      </c>
      <c r="C384" s="2" t="s">
        <v>16</v>
      </c>
      <c r="D384" s="8">
        <v>-50</v>
      </c>
      <c r="E384" s="8">
        <f>E383+(0-50)</f>
        <v>12908787.459999986</v>
      </c>
    </row>
    <row r="385" spans="1:5" x14ac:dyDescent="0.25">
      <c r="A385" s="2" t="s">
        <v>38</v>
      </c>
      <c r="B385" s="6">
        <v>44134</v>
      </c>
      <c r="C385" s="2" t="s">
        <v>16</v>
      </c>
      <c r="D385" s="8">
        <v>-600</v>
      </c>
      <c r="E385" s="8">
        <f>E384+(0-600)</f>
        <v>12908187.459999986</v>
      </c>
    </row>
    <row r="386" spans="1:5" x14ac:dyDescent="0.25">
      <c r="A386" s="2" t="s">
        <v>38</v>
      </c>
      <c r="B386" s="6">
        <v>44146</v>
      </c>
      <c r="C386" s="2" t="s">
        <v>16</v>
      </c>
      <c r="D386" s="8">
        <v>-50</v>
      </c>
      <c r="E386" s="8">
        <f>E385+(0-50)</f>
        <v>12908137.459999986</v>
      </c>
    </row>
    <row r="387" spans="1:5" x14ac:dyDescent="0.25">
      <c r="A387" s="2" t="s">
        <v>38</v>
      </c>
      <c r="B387" s="6">
        <v>44146</v>
      </c>
      <c r="C387" s="2" t="s">
        <v>16</v>
      </c>
      <c r="D387" s="8">
        <v>-200</v>
      </c>
      <c r="E387" s="8">
        <f>E386+(0-200)</f>
        <v>12907937.459999986</v>
      </c>
    </row>
    <row r="388" spans="1:5" x14ac:dyDescent="0.25">
      <c r="A388" s="2" t="s">
        <v>38</v>
      </c>
      <c r="B388" s="6">
        <v>44146</v>
      </c>
      <c r="C388" s="2" t="s">
        <v>16</v>
      </c>
      <c r="D388" s="8">
        <v>-50</v>
      </c>
      <c r="E388" s="8">
        <f>E387+(0-50)</f>
        <v>12907887.459999986</v>
      </c>
    </row>
    <row r="389" spans="1:5" x14ac:dyDescent="0.25">
      <c r="A389" s="2" t="s">
        <v>38</v>
      </c>
      <c r="B389" s="6">
        <v>44147</v>
      </c>
      <c r="C389" s="2" t="s">
        <v>19</v>
      </c>
      <c r="D389" s="8">
        <v>-44</v>
      </c>
      <c r="E389" s="8">
        <f>E388+(0-44)</f>
        <v>12907843.459999986</v>
      </c>
    </row>
    <row r="390" spans="1:5" x14ac:dyDescent="0.25">
      <c r="A390" s="2" t="s">
        <v>38</v>
      </c>
      <c r="B390" s="6">
        <v>44147</v>
      </c>
      <c r="C390" s="2" t="s">
        <v>16</v>
      </c>
      <c r="D390" s="8">
        <v>-250</v>
      </c>
      <c r="E390" s="8">
        <f>E389+(0-250)</f>
        <v>12907593.459999986</v>
      </c>
    </row>
    <row r="391" spans="1:5" x14ac:dyDescent="0.25">
      <c r="A391" s="2" t="s">
        <v>38</v>
      </c>
      <c r="B391" s="6">
        <v>44148</v>
      </c>
      <c r="C391" s="2" t="s">
        <v>19</v>
      </c>
      <c r="D391" s="8">
        <v>-44</v>
      </c>
      <c r="E391" s="8">
        <f>E390+(0-44)</f>
        <v>12907549.459999986</v>
      </c>
    </row>
    <row r="392" spans="1:5" x14ac:dyDescent="0.25">
      <c r="A392" s="2" t="s">
        <v>38</v>
      </c>
      <c r="B392" s="6">
        <v>44148</v>
      </c>
      <c r="C392" s="2" t="s">
        <v>16</v>
      </c>
      <c r="D392" s="8">
        <v>-100</v>
      </c>
      <c r="E392" s="8">
        <f>E391+(0-100)</f>
        <v>12907449.459999986</v>
      </c>
    </row>
    <row r="393" spans="1:5" x14ac:dyDescent="0.25">
      <c r="A393" s="2" t="s">
        <v>38</v>
      </c>
      <c r="B393" s="6">
        <v>44151</v>
      </c>
      <c r="C393" s="2" t="s">
        <v>17</v>
      </c>
      <c r="D393" s="8">
        <v>-28</v>
      </c>
      <c r="E393" s="8">
        <f>E392+(0-28)</f>
        <v>12907421.459999986</v>
      </c>
    </row>
    <row r="394" spans="1:5" x14ac:dyDescent="0.25">
      <c r="A394" s="2" t="s">
        <v>38</v>
      </c>
      <c r="B394" s="6">
        <v>44151</v>
      </c>
      <c r="C394" s="2" t="s">
        <v>17</v>
      </c>
      <c r="D394" s="8">
        <v>-4</v>
      </c>
      <c r="E394" s="8">
        <f>E393+(0-4)</f>
        <v>12907417.459999986</v>
      </c>
    </row>
    <row r="395" spans="1:5" x14ac:dyDescent="0.25">
      <c r="A395" s="2" t="s">
        <v>38</v>
      </c>
      <c r="B395" s="6">
        <v>44151</v>
      </c>
      <c r="C395" s="2" t="s">
        <v>16</v>
      </c>
      <c r="D395" s="8">
        <v>-300</v>
      </c>
      <c r="E395" s="8">
        <f>E394+(0-300)</f>
        <v>12907117.459999986</v>
      </c>
    </row>
    <row r="396" spans="1:5" x14ac:dyDescent="0.25">
      <c r="A396" s="2" t="s">
        <v>38</v>
      </c>
      <c r="B396" s="6">
        <v>44153</v>
      </c>
      <c r="C396" s="2" t="s">
        <v>16</v>
      </c>
      <c r="D396" s="8">
        <v>-50</v>
      </c>
      <c r="E396" s="8">
        <f>E395+(0-50)</f>
        <v>12907067.459999986</v>
      </c>
    </row>
    <row r="397" spans="1:5" x14ac:dyDescent="0.25">
      <c r="A397" s="2" t="s">
        <v>38</v>
      </c>
      <c r="B397" s="6">
        <v>44153</v>
      </c>
      <c r="C397" s="2" t="s">
        <v>16</v>
      </c>
      <c r="D397" s="8">
        <v>-50</v>
      </c>
      <c r="E397" s="8">
        <f>E396+(0-50)</f>
        <v>12907017.459999986</v>
      </c>
    </row>
    <row r="398" spans="1:5" x14ac:dyDescent="0.25">
      <c r="A398" s="2" t="s">
        <v>38</v>
      </c>
      <c r="B398" s="6">
        <v>44153</v>
      </c>
      <c r="C398" s="2" t="s">
        <v>16</v>
      </c>
      <c r="D398" s="8">
        <v>-50</v>
      </c>
      <c r="E398" s="8">
        <f>E397+(0-50)</f>
        <v>12906967.459999986</v>
      </c>
    </row>
    <row r="399" spans="1:5" x14ac:dyDescent="0.25">
      <c r="A399" s="2" t="s">
        <v>38</v>
      </c>
      <c r="B399" s="6">
        <v>44154</v>
      </c>
      <c r="C399" s="2" t="s">
        <v>16</v>
      </c>
      <c r="D399" s="8">
        <v>-50</v>
      </c>
      <c r="E399" s="8">
        <f>E398+(0-50)</f>
        <v>12906917.459999986</v>
      </c>
    </row>
    <row r="400" spans="1:5" x14ac:dyDescent="0.25">
      <c r="A400" s="2" t="s">
        <v>38</v>
      </c>
      <c r="B400" s="6">
        <v>44154</v>
      </c>
      <c r="C400" s="2" t="s">
        <v>97</v>
      </c>
      <c r="D400" s="8">
        <v>-53.75</v>
      </c>
      <c r="E400" s="8">
        <f>E399+(0-53.75)</f>
        <v>12906863.709999986</v>
      </c>
    </row>
    <row r="401" spans="1:5" x14ac:dyDescent="0.25">
      <c r="A401" s="2" t="s">
        <v>38</v>
      </c>
      <c r="B401" s="6">
        <v>44154</v>
      </c>
      <c r="C401" s="2" t="s">
        <v>98</v>
      </c>
      <c r="D401" s="8">
        <v>-53.75</v>
      </c>
      <c r="E401" s="8">
        <f>E400+(0-53.75)</f>
        <v>12906809.959999986</v>
      </c>
    </row>
    <row r="402" spans="1:5" x14ac:dyDescent="0.25">
      <c r="A402" s="2" t="s">
        <v>38</v>
      </c>
      <c r="B402" s="6">
        <v>44154</v>
      </c>
      <c r="C402" s="2" t="s">
        <v>17</v>
      </c>
      <c r="D402" s="8">
        <v>-40</v>
      </c>
      <c r="E402" s="8">
        <f>E401+(0-40)</f>
        <v>12906769.959999986</v>
      </c>
    </row>
    <row r="403" spans="1:5" x14ac:dyDescent="0.25">
      <c r="A403" s="2" t="s">
        <v>38</v>
      </c>
      <c r="B403" s="6">
        <v>44154</v>
      </c>
      <c r="C403" s="2" t="s">
        <v>17</v>
      </c>
      <c r="D403" s="8">
        <v>-20</v>
      </c>
      <c r="E403" s="8">
        <f>E402+(0-20)</f>
        <v>12906749.959999986</v>
      </c>
    </row>
    <row r="404" spans="1:5" x14ac:dyDescent="0.25">
      <c r="A404" s="2" t="s">
        <v>38</v>
      </c>
      <c r="B404" s="6">
        <v>44155</v>
      </c>
      <c r="C404" s="2" t="s">
        <v>16</v>
      </c>
      <c r="D404" s="8">
        <v>-50</v>
      </c>
      <c r="E404" s="8">
        <f>E403+(0-50)</f>
        <v>12906699.959999986</v>
      </c>
    </row>
    <row r="405" spans="1:5" x14ac:dyDescent="0.25">
      <c r="A405" s="2" t="s">
        <v>38</v>
      </c>
      <c r="B405" s="6">
        <v>44158</v>
      </c>
      <c r="C405" s="2" t="s">
        <v>17</v>
      </c>
      <c r="D405" s="8">
        <v>-56</v>
      </c>
      <c r="E405" s="8">
        <f>E404+(0-56)</f>
        <v>12906643.959999986</v>
      </c>
    </row>
    <row r="406" spans="1:5" x14ac:dyDescent="0.25">
      <c r="A406" s="2" t="s">
        <v>38</v>
      </c>
      <c r="B406" s="6">
        <v>44158</v>
      </c>
      <c r="C406" s="2" t="s">
        <v>19</v>
      </c>
      <c r="D406" s="8">
        <v>-8</v>
      </c>
      <c r="E406" s="8">
        <f>E405+(0-8)</f>
        <v>12906635.959999986</v>
      </c>
    </row>
    <row r="407" spans="1:5" x14ac:dyDescent="0.25">
      <c r="A407" s="2" t="s">
        <v>38</v>
      </c>
      <c r="B407" s="6">
        <v>44158</v>
      </c>
      <c r="C407" s="2" t="s">
        <v>19</v>
      </c>
      <c r="D407" s="8">
        <v>-4</v>
      </c>
      <c r="E407" s="8">
        <f>E406+(0-4)</f>
        <v>12906631.959999986</v>
      </c>
    </row>
    <row r="408" spans="1:5" x14ac:dyDescent="0.25">
      <c r="A408" s="2" t="s">
        <v>38</v>
      </c>
      <c r="B408" s="6">
        <v>44158</v>
      </c>
      <c r="C408" s="2" t="s">
        <v>19</v>
      </c>
      <c r="D408" s="8">
        <v>-4</v>
      </c>
      <c r="E408" s="8">
        <f>E407+(0-4)</f>
        <v>12906627.959999986</v>
      </c>
    </row>
    <row r="409" spans="1:5" x14ac:dyDescent="0.25">
      <c r="A409" s="2" t="s">
        <v>38</v>
      </c>
      <c r="B409" s="6">
        <v>44159</v>
      </c>
      <c r="C409" s="2" t="s">
        <v>16</v>
      </c>
      <c r="D409" s="8">
        <v>-200</v>
      </c>
      <c r="E409" s="8">
        <f>E408+(0-200)</f>
        <v>12906427.959999986</v>
      </c>
    </row>
    <row r="410" spans="1:5" x14ac:dyDescent="0.25">
      <c r="A410" s="2" t="s">
        <v>38</v>
      </c>
      <c r="B410" s="6">
        <v>44159</v>
      </c>
      <c r="C410" s="2" t="s">
        <v>17</v>
      </c>
      <c r="D410" s="8">
        <v>-20</v>
      </c>
      <c r="E410" s="8">
        <f>E409+(0-20)</f>
        <v>12906407.959999986</v>
      </c>
    </row>
    <row r="411" spans="1:5" x14ac:dyDescent="0.25">
      <c r="A411" s="2" t="s">
        <v>38</v>
      </c>
      <c r="B411" s="6">
        <v>44159</v>
      </c>
      <c r="C411" s="2" t="s">
        <v>84</v>
      </c>
      <c r="D411" s="8">
        <v>-26.88</v>
      </c>
      <c r="E411" s="8">
        <f>E410+(0-26.88)</f>
        <v>12906381.079999985</v>
      </c>
    </row>
    <row r="412" spans="1:5" x14ac:dyDescent="0.25">
      <c r="A412" s="2" t="s">
        <v>38</v>
      </c>
      <c r="B412" s="6">
        <v>44159</v>
      </c>
      <c r="C412" s="2" t="s">
        <v>99</v>
      </c>
      <c r="D412" s="8">
        <v>-26.88</v>
      </c>
      <c r="E412" s="8">
        <f>E411+(0-26.88)</f>
        <v>12906354.199999984</v>
      </c>
    </row>
    <row r="413" spans="1:5" x14ac:dyDescent="0.25">
      <c r="A413" s="2" t="s">
        <v>38</v>
      </c>
      <c r="B413" s="6">
        <v>44159</v>
      </c>
      <c r="C413" s="2" t="s">
        <v>16</v>
      </c>
      <c r="D413" s="8">
        <v>-100</v>
      </c>
      <c r="E413" s="8">
        <f>E412+(0-100)</f>
        <v>12906254.199999984</v>
      </c>
    </row>
    <row r="414" spans="1:5" x14ac:dyDescent="0.25">
      <c r="A414" s="2" t="s">
        <v>38</v>
      </c>
      <c r="B414" s="6">
        <v>44160</v>
      </c>
      <c r="C414" s="2" t="s">
        <v>16</v>
      </c>
      <c r="D414" s="8">
        <v>-100</v>
      </c>
      <c r="E414" s="8">
        <f>E413+(0-100)</f>
        <v>12906154.199999984</v>
      </c>
    </row>
    <row r="415" spans="1:5" x14ac:dyDescent="0.25">
      <c r="A415" s="2" t="s">
        <v>38</v>
      </c>
      <c r="B415" s="6">
        <v>44161</v>
      </c>
      <c r="C415" s="2" t="s">
        <v>100</v>
      </c>
      <c r="D415" s="8">
        <v>-26.88</v>
      </c>
      <c r="E415" s="8">
        <f>E414+(0-26.88)</f>
        <v>12906127.319999984</v>
      </c>
    </row>
    <row r="416" spans="1:5" x14ac:dyDescent="0.25">
      <c r="A416" s="2" t="s">
        <v>38</v>
      </c>
      <c r="B416" s="6">
        <v>44161</v>
      </c>
      <c r="C416" s="2" t="s">
        <v>17</v>
      </c>
      <c r="D416" s="8">
        <v>-32</v>
      </c>
      <c r="E416" s="8">
        <f>E415+(0-32)</f>
        <v>12906095.319999984</v>
      </c>
    </row>
    <row r="417" spans="1:5" x14ac:dyDescent="0.25">
      <c r="A417" s="2" t="s">
        <v>38</v>
      </c>
      <c r="B417" s="6">
        <v>44161</v>
      </c>
      <c r="C417" s="2" t="s">
        <v>17</v>
      </c>
      <c r="D417" s="8">
        <v>-24</v>
      </c>
      <c r="E417" s="8">
        <f>E416+(0-24)</f>
        <v>12906071.319999984</v>
      </c>
    </row>
    <row r="418" spans="1:5" x14ac:dyDescent="0.25">
      <c r="A418" s="2" t="s">
        <v>38</v>
      </c>
      <c r="B418" s="6">
        <v>44161</v>
      </c>
      <c r="C418" s="2" t="s">
        <v>16</v>
      </c>
      <c r="D418" s="8">
        <v>-350</v>
      </c>
      <c r="E418" s="8">
        <f>E417+(0-350)</f>
        <v>12905721.319999984</v>
      </c>
    </row>
    <row r="419" spans="1:5" x14ac:dyDescent="0.25">
      <c r="A419" s="2" t="s">
        <v>38</v>
      </c>
      <c r="B419" s="6">
        <v>44162</v>
      </c>
      <c r="C419" s="2" t="s">
        <v>16</v>
      </c>
      <c r="D419" s="8">
        <v>-50</v>
      </c>
      <c r="E419" s="8">
        <f>E418+(0-50)</f>
        <v>12905671.319999984</v>
      </c>
    </row>
    <row r="420" spans="1:5" x14ac:dyDescent="0.25">
      <c r="A420" s="2" t="s">
        <v>38</v>
      </c>
      <c r="B420" s="6">
        <v>44162</v>
      </c>
      <c r="C420" s="2" t="s">
        <v>17</v>
      </c>
      <c r="D420" s="8">
        <v>-32</v>
      </c>
      <c r="E420" s="8">
        <f>E419+(0-32)</f>
        <v>12905639.319999984</v>
      </c>
    </row>
    <row r="421" spans="1:5" x14ac:dyDescent="0.25">
      <c r="A421" s="2" t="s">
        <v>38</v>
      </c>
      <c r="B421" s="6">
        <v>44162</v>
      </c>
      <c r="C421" s="2" t="s">
        <v>101</v>
      </c>
      <c r="D421" s="8">
        <v>-53.75</v>
      </c>
      <c r="E421" s="8">
        <f>E420+(0-53.75)</f>
        <v>12905585.569999984</v>
      </c>
    </row>
    <row r="422" spans="1:5" x14ac:dyDescent="0.25">
      <c r="A422" s="2" t="s">
        <v>38</v>
      </c>
      <c r="B422" s="6">
        <v>44162</v>
      </c>
      <c r="C422" s="2" t="s">
        <v>97</v>
      </c>
      <c r="D422" s="8">
        <v>-53.75</v>
      </c>
      <c r="E422" s="8">
        <f>E421+(0-53.75)</f>
        <v>12905531.819999984</v>
      </c>
    </row>
    <row r="423" spans="1:5" x14ac:dyDescent="0.25">
      <c r="A423" s="2" t="s">
        <v>38</v>
      </c>
      <c r="B423" s="6">
        <v>44162</v>
      </c>
      <c r="C423" s="2" t="s">
        <v>102</v>
      </c>
      <c r="D423" s="8">
        <v>-53.75</v>
      </c>
      <c r="E423" s="8">
        <f>E422+(0-53.75)</f>
        <v>12905478.069999984</v>
      </c>
    </row>
    <row r="424" spans="1:5" x14ac:dyDescent="0.25">
      <c r="A424" s="2" t="s">
        <v>38</v>
      </c>
      <c r="B424" s="6">
        <v>44162</v>
      </c>
      <c r="C424" s="2" t="s">
        <v>103</v>
      </c>
      <c r="D424" s="8">
        <v>-26.88</v>
      </c>
      <c r="E424" s="8">
        <f>E423+(0-26.88)</f>
        <v>12905451.189999983</v>
      </c>
    </row>
    <row r="425" spans="1:5" x14ac:dyDescent="0.25">
      <c r="A425" s="2" t="s">
        <v>38</v>
      </c>
      <c r="B425" s="6">
        <v>44162</v>
      </c>
      <c r="C425" s="2" t="s">
        <v>75</v>
      </c>
      <c r="D425" s="8">
        <v>-26.88</v>
      </c>
      <c r="E425" s="8">
        <f>E424+(0-26.88)</f>
        <v>12905424.309999982</v>
      </c>
    </row>
    <row r="426" spans="1:5" x14ac:dyDescent="0.25">
      <c r="A426" s="2" t="s">
        <v>38</v>
      </c>
      <c r="B426" s="6">
        <v>44166</v>
      </c>
      <c r="C426" s="2" t="s">
        <v>82</v>
      </c>
      <c r="D426" s="8">
        <v>-53.75</v>
      </c>
      <c r="E426" s="8">
        <f>E425+(0-53.75)</f>
        <v>12905370.559999982</v>
      </c>
    </row>
    <row r="427" spans="1:5" x14ac:dyDescent="0.25">
      <c r="A427" s="2" t="s">
        <v>38</v>
      </c>
      <c r="B427" s="6">
        <v>44166</v>
      </c>
      <c r="C427" s="2" t="s">
        <v>84</v>
      </c>
      <c r="D427" s="8">
        <v>-53.75</v>
      </c>
      <c r="E427" s="8">
        <f>E426+(0-53.75)</f>
        <v>12905316.809999982</v>
      </c>
    </row>
    <row r="428" spans="1:5" x14ac:dyDescent="0.25">
      <c r="A428" s="2" t="s">
        <v>38</v>
      </c>
      <c r="B428" s="6">
        <v>44166</v>
      </c>
      <c r="C428" s="2" t="s">
        <v>16</v>
      </c>
      <c r="D428" s="8">
        <v>-50</v>
      </c>
      <c r="E428" s="8">
        <f>E427+(0-50)</f>
        <v>12905266.809999982</v>
      </c>
    </row>
    <row r="429" spans="1:5" x14ac:dyDescent="0.25">
      <c r="A429" s="2" t="s">
        <v>38</v>
      </c>
      <c r="B429" s="6">
        <v>44166</v>
      </c>
      <c r="C429" s="2" t="s">
        <v>16</v>
      </c>
      <c r="D429" s="8">
        <v>-100</v>
      </c>
      <c r="E429" s="8">
        <f>E428+(0-100)</f>
        <v>12905166.809999982</v>
      </c>
    </row>
    <row r="430" spans="1:5" x14ac:dyDescent="0.25">
      <c r="A430" s="2" t="s">
        <v>38</v>
      </c>
      <c r="B430" s="6">
        <v>44167</v>
      </c>
      <c r="C430" s="2" t="s">
        <v>17</v>
      </c>
      <c r="D430" s="8">
        <v>-44</v>
      </c>
      <c r="E430" s="8">
        <f>E429+(0-44)</f>
        <v>12905122.809999982</v>
      </c>
    </row>
    <row r="431" spans="1:5" x14ac:dyDescent="0.25">
      <c r="A431" s="2" t="s">
        <v>38</v>
      </c>
      <c r="B431" s="6">
        <v>44219</v>
      </c>
      <c r="C431" s="2" t="s">
        <v>16</v>
      </c>
      <c r="D431" s="8">
        <v>-53.75</v>
      </c>
      <c r="E431" s="8">
        <f>E430+(0-53.75)</f>
        <v>12905069.059999982</v>
      </c>
    </row>
    <row r="432" spans="1:5" x14ac:dyDescent="0.25">
      <c r="A432" s="2" t="s">
        <v>38</v>
      </c>
      <c r="B432" s="6">
        <v>44221</v>
      </c>
      <c r="C432" s="2" t="s">
        <v>19</v>
      </c>
      <c r="D432" s="8">
        <v>-60</v>
      </c>
      <c r="E432" s="8">
        <f>E431+(0-60)</f>
        <v>12905009.059999982</v>
      </c>
    </row>
    <row r="433" spans="1:5" x14ac:dyDescent="0.25">
      <c r="A433" s="2" t="s">
        <v>38</v>
      </c>
      <c r="B433" s="6">
        <v>44264</v>
      </c>
      <c r="C433" s="2" t="s">
        <v>24</v>
      </c>
      <c r="D433" s="8">
        <v>-100</v>
      </c>
      <c r="E433" s="8">
        <f>E432+(0-100)</f>
        <v>12904909.059999982</v>
      </c>
    </row>
    <row r="434" spans="1:5" x14ac:dyDescent="0.25">
      <c r="A434" s="2" t="s">
        <v>38</v>
      </c>
      <c r="B434" s="6">
        <v>44264</v>
      </c>
      <c r="C434" s="2" t="s">
        <v>24</v>
      </c>
      <c r="D434" s="8">
        <v>-350</v>
      </c>
      <c r="E434" s="8">
        <f>E433+(0-350)</f>
        <v>12904559.059999982</v>
      </c>
    </row>
    <row r="435" spans="1:5" x14ac:dyDescent="0.25">
      <c r="A435" s="2" t="s">
        <v>38</v>
      </c>
      <c r="B435" s="6">
        <v>44265</v>
      </c>
      <c r="C435" s="2" t="s">
        <v>104</v>
      </c>
      <c r="D435" s="8">
        <v>-53.75</v>
      </c>
      <c r="E435" s="8">
        <f>E434+(0-53.75)</f>
        <v>12904505.309999982</v>
      </c>
    </row>
    <row r="436" spans="1:5" x14ac:dyDescent="0.25">
      <c r="A436" s="2" t="s">
        <v>38</v>
      </c>
      <c r="B436" s="6">
        <v>44265</v>
      </c>
      <c r="C436" s="2" t="s">
        <v>24</v>
      </c>
      <c r="D436" s="8">
        <v>-200</v>
      </c>
      <c r="E436" s="8">
        <f>E435+(0-200)</f>
        <v>12904305.309999982</v>
      </c>
    </row>
    <row r="437" spans="1:5" x14ac:dyDescent="0.25">
      <c r="A437" s="2" t="s">
        <v>38</v>
      </c>
      <c r="B437" s="6">
        <v>44266</v>
      </c>
      <c r="C437" s="2" t="s">
        <v>24</v>
      </c>
      <c r="D437" s="8">
        <v>-50</v>
      </c>
      <c r="E437" s="8">
        <f>E436+(0-50)</f>
        <v>12904255.309999982</v>
      </c>
    </row>
    <row r="438" spans="1:5" x14ac:dyDescent="0.25">
      <c r="A438" s="2" t="s">
        <v>38</v>
      </c>
      <c r="B438" s="6">
        <v>44266</v>
      </c>
      <c r="C438" s="2" t="s">
        <v>24</v>
      </c>
      <c r="D438" s="8">
        <v>-400</v>
      </c>
      <c r="E438" s="8">
        <f>E437+(0-400)</f>
        <v>12903855.309999982</v>
      </c>
    </row>
    <row r="439" spans="1:5" x14ac:dyDescent="0.25">
      <c r="A439" s="2" t="s">
        <v>38</v>
      </c>
      <c r="B439" s="6">
        <v>44267</v>
      </c>
      <c r="C439" s="2" t="s">
        <v>105</v>
      </c>
      <c r="D439" s="8">
        <v>-53.75</v>
      </c>
      <c r="E439" s="8">
        <f>E438+(0-53.75)</f>
        <v>12903801.559999982</v>
      </c>
    </row>
    <row r="440" spans="1:5" x14ac:dyDescent="0.25">
      <c r="A440" s="2" t="s">
        <v>38</v>
      </c>
      <c r="B440" s="6">
        <v>44267</v>
      </c>
      <c r="C440" s="2" t="s">
        <v>106</v>
      </c>
      <c r="D440" s="8">
        <v>-26.88</v>
      </c>
      <c r="E440" s="8">
        <f>E439+(0-26.88)</f>
        <v>12903774.679999981</v>
      </c>
    </row>
    <row r="441" spans="1:5" x14ac:dyDescent="0.25">
      <c r="A441" s="2" t="s">
        <v>38</v>
      </c>
      <c r="B441" s="6">
        <v>44267</v>
      </c>
      <c r="C441" s="2" t="s">
        <v>24</v>
      </c>
      <c r="D441" s="8">
        <v>-200</v>
      </c>
      <c r="E441" s="8">
        <f>E440+(0-200)</f>
        <v>12903574.679999981</v>
      </c>
    </row>
    <row r="442" spans="1:5" x14ac:dyDescent="0.25">
      <c r="A442" s="2" t="s">
        <v>38</v>
      </c>
      <c r="B442" s="6">
        <v>44270</v>
      </c>
      <c r="C442" s="2" t="s">
        <v>107</v>
      </c>
      <c r="D442" s="8">
        <v>-26.88</v>
      </c>
      <c r="E442" s="8">
        <f>E441+(0-26.88)</f>
        <v>12903547.79999998</v>
      </c>
    </row>
    <row r="443" spans="1:5" x14ac:dyDescent="0.25">
      <c r="A443" s="2" t="s">
        <v>38</v>
      </c>
      <c r="B443" s="6">
        <v>44270</v>
      </c>
      <c r="C443" s="2" t="s">
        <v>24</v>
      </c>
      <c r="D443" s="8">
        <v>-50</v>
      </c>
      <c r="E443" s="8">
        <f>E442+(0-50)</f>
        <v>12903497.79999998</v>
      </c>
    </row>
    <row r="444" spans="1:5" x14ac:dyDescent="0.25">
      <c r="A444" s="2" t="s">
        <v>38</v>
      </c>
      <c r="B444" s="6">
        <v>44270</v>
      </c>
      <c r="C444" s="2" t="s">
        <v>24</v>
      </c>
      <c r="D444" s="8">
        <v>-50</v>
      </c>
      <c r="E444" s="8">
        <f>E443+(0-50)</f>
        <v>12903447.79999998</v>
      </c>
    </row>
    <row r="445" spans="1:5" x14ac:dyDescent="0.25">
      <c r="A445" s="2" t="s">
        <v>38</v>
      </c>
      <c r="B445" s="6">
        <v>44270</v>
      </c>
      <c r="C445" s="2" t="s">
        <v>24</v>
      </c>
      <c r="D445" s="8">
        <v>-50</v>
      </c>
      <c r="E445" s="8">
        <f>E444+(0-50)</f>
        <v>12903397.79999998</v>
      </c>
    </row>
    <row r="446" spans="1:5" x14ac:dyDescent="0.25">
      <c r="A446" s="2" t="s">
        <v>38</v>
      </c>
      <c r="B446" s="6">
        <v>44270</v>
      </c>
      <c r="C446" s="2" t="s">
        <v>24</v>
      </c>
      <c r="D446" s="8">
        <v>-400</v>
      </c>
      <c r="E446" s="8">
        <f>E445+(0-400)</f>
        <v>12902997.79999998</v>
      </c>
    </row>
    <row r="447" spans="1:5" x14ac:dyDescent="0.25">
      <c r="A447" s="2" t="s">
        <v>38</v>
      </c>
      <c r="B447" s="6">
        <v>44271</v>
      </c>
      <c r="C447" s="2" t="s">
        <v>108</v>
      </c>
      <c r="D447" s="8">
        <v>-26.88</v>
      </c>
      <c r="E447" s="8">
        <f>E446+(0-26.88)</f>
        <v>12902970.919999979</v>
      </c>
    </row>
    <row r="448" spans="1:5" x14ac:dyDescent="0.25">
      <c r="A448" s="2" t="s">
        <v>38</v>
      </c>
      <c r="B448" s="6">
        <v>44271</v>
      </c>
      <c r="C448" s="2" t="s">
        <v>24</v>
      </c>
      <c r="D448" s="8">
        <v>-50</v>
      </c>
      <c r="E448" s="8">
        <f>E447+(0-50)</f>
        <v>12902920.919999979</v>
      </c>
    </row>
    <row r="449" spans="1:5" x14ac:dyDescent="0.25">
      <c r="A449" s="2" t="s">
        <v>38</v>
      </c>
      <c r="B449" s="6">
        <v>44271</v>
      </c>
      <c r="C449" s="2" t="s">
        <v>24</v>
      </c>
      <c r="D449" s="8">
        <v>-500</v>
      </c>
      <c r="E449" s="8">
        <f>E448+(0-500)</f>
        <v>12902420.919999979</v>
      </c>
    </row>
    <row r="450" spans="1:5" x14ac:dyDescent="0.25">
      <c r="A450" s="2" t="s">
        <v>38</v>
      </c>
      <c r="B450" s="6">
        <v>44272</v>
      </c>
      <c r="C450" s="2" t="s">
        <v>24</v>
      </c>
      <c r="D450" s="8">
        <v>-200</v>
      </c>
      <c r="E450" s="8">
        <f>E449+(0-200)</f>
        <v>12902220.919999979</v>
      </c>
    </row>
    <row r="451" spans="1:5" x14ac:dyDescent="0.25">
      <c r="A451" s="2" t="s">
        <v>38</v>
      </c>
      <c r="B451" s="6">
        <v>44273</v>
      </c>
      <c r="C451" s="2" t="s">
        <v>109</v>
      </c>
      <c r="D451" s="8">
        <v>-53.75</v>
      </c>
      <c r="E451" s="8">
        <f>E450+(0-53.75)</f>
        <v>12902167.169999979</v>
      </c>
    </row>
    <row r="452" spans="1:5" x14ac:dyDescent="0.25">
      <c r="A452" s="2" t="s">
        <v>38</v>
      </c>
      <c r="B452" s="6">
        <v>44273</v>
      </c>
      <c r="C452" s="2" t="s">
        <v>24</v>
      </c>
      <c r="D452" s="8">
        <v>-50</v>
      </c>
      <c r="E452" s="8">
        <f>E451+(0-50)</f>
        <v>12902117.169999979</v>
      </c>
    </row>
    <row r="453" spans="1:5" x14ac:dyDescent="0.25">
      <c r="A453" s="2" t="s">
        <v>38</v>
      </c>
      <c r="B453" s="6">
        <v>44274</v>
      </c>
      <c r="C453" s="2" t="s">
        <v>110</v>
      </c>
      <c r="D453" s="8">
        <v>-26.88</v>
      </c>
      <c r="E453" s="8">
        <f>E452+(0-26.88)</f>
        <v>12902090.289999979</v>
      </c>
    </row>
    <row r="454" spans="1:5" x14ac:dyDescent="0.25">
      <c r="A454" s="2" t="s">
        <v>38</v>
      </c>
      <c r="B454" s="6">
        <v>44274</v>
      </c>
      <c r="C454" s="2" t="s">
        <v>111</v>
      </c>
      <c r="D454" s="8">
        <v>-53.75</v>
      </c>
      <c r="E454" s="8">
        <f>E453+(0-53.75)</f>
        <v>12902036.539999979</v>
      </c>
    </row>
    <row r="455" spans="1:5" x14ac:dyDescent="0.25">
      <c r="A455" s="2" t="s">
        <v>38</v>
      </c>
      <c r="B455" s="6">
        <v>44274</v>
      </c>
      <c r="C455" s="2" t="s">
        <v>24</v>
      </c>
      <c r="D455" s="8">
        <v>-450</v>
      </c>
      <c r="E455" s="8">
        <f>E454+(0-450)</f>
        <v>12901586.539999979</v>
      </c>
    </row>
    <row r="456" spans="1:5" x14ac:dyDescent="0.25">
      <c r="A456" s="2" t="s">
        <v>38</v>
      </c>
      <c r="B456" s="6">
        <v>44285</v>
      </c>
      <c r="C456" s="2" t="s">
        <v>112</v>
      </c>
      <c r="D456" s="8">
        <v>-53.75</v>
      </c>
      <c r="E456" s="8">
        <f>E455+(0-53.75)</f>
        <v>12901532.789999979</v>
      </c>
    </row>
    <row r="457" spans="1:5" x14ac:dyDescent="0.25">
      <c r="A457" s="2" t="s">
        <v>38</v>
      </c>
      <c r="B457" s="6">
        <v>44285</v>
      </c>
      <c r="C457" s="2" t="s">
        <v>113</v>
      </c>
      <c r="D457" s="8">
        <v>-53.75</v>
      </c>
      <c r="E457" s="8">
        <f>E456+(0-53.75)</f>
        <v>12901479.039999979</v>
      </c>
    </row>
    <row r="458" spans="1:5" x14ac:dyDescent="0.25">
      <c r="A458" s="2" t="s">
        <v>38</v>
      </c>
      <c r="B458" s="6">
        <v>44285</v>
      </c>
      <c r="C458" s="2" t="s">
        <v>114</v>
      </c>
      <c r="D458" s="8">
        <v>-53.75</v>
      </c>
      <c r="E458" s="8">
        <f>E457+(0-53.75)</f>
        <v>12901425.289999979</v>
      </c>
    </row>
    <row r="459" spans="1:5" x14ac:dyDescent="0.25">
      <c r="A459" s="2" t="s">
        <v>38</v>
      </c>
      <c r="B459" s="6">
        <v>44285</v>
      </c>
      <c r="C459" s="2" t="s">
        <v>16</v>
      </c>
      <c r="D459" s="8">
        <v>-50</v>
      </c>
      <c r="E459" s="8">
        <f>E458+(0-50)</f>
        <v>12901375.289999979</v>
      </c>
    </row>
    <row r="460" spans="1:5" x14ac:dyDescent="0.25">
      <c r="A460" s="2" t="s">
        <v>38</v>
      </c>
      <c r="B460" s="6">
        <v>44285</v>
      </c>
      <c r="C460" s="2" t="s">
        <v>115</v>
      </c>
      <c r="D460" s="8">
        <v>-26.88</v>
      </c>
      <c r="E460" s="8">
        <f>E459+(0-26.88)</f>
        <v>12901348.409999978</v>
      </c>
    </row>
    <row r="461" spans="1:5" x14ac:dyDescent="0.25">
      <c r="A461" s="2" t="s">
        <v>38</v>
      </c>
      <c r="B461" s="6">
        <v>44287</v>
      </c>
      <c r="C461" s="2" t="s">
        <v>17</v>
      </c>
      <c r="D461" s="8">
        <v>-116</v>
      </c>
      <c r="E461" s="8">
        <f>E460+(0-116)</f>
        <v>12901232.409999978</v>
      </c>
    </row>
    <row r="462" spans="1:5" x14ac:dyDescent="0.25">
      <c r="A462" s="2" t="s">
        <v>38</v>
      </c>
      <c r="B462" s="6">
        <v>44287</v>
      </c>
      <c r="C462" s="2" t="s">
        <v>17</v>
      </c>
      <c r="D462" s="8">
        <v>-56</v>
      </c>
      <c r="E462" s="8">
        <f>E461+(0-56)</f>
        <v>12901176.409999978</v>
      </c>
    </row>
    <row r="463" spans="1:5" x14ac:dyDescent="0.25">
      <c r="A463" s="2" t="s">
        <v>38</v>
      </c>
      <c r="B463" s="6">
        <v>44287</v>
      </c>
      <c r="C463" s="2" t="s">
        <v>16</v>
      </c>
      <c r="D463" s="8">
        <v>-50</v>
      </c>
      <c r="E463" s="8">
        <f>E462+(0-50)</f>
        <v>12901126.409999978</v>
      </c>
    </row>
    <row r="464" spans="1:5" x14ac:dyDescent="0.25">
      <c r="A464" s="2" t="s">
        <v>38</v>
      </c>
      <c r="B464" s="6">
        <v>44287</v>
      </c>
      <c r="C464" s="2" t="s">
        <v>24</v>
      </c>
      <c r="D464" s="8">
        <v>-450</v>
      </c>
      <c r="E464" s="8">
        <f>E463+(0-450)</f>
        <v>12900676.409999978</v>
      </c>
    </row>
    <row r="465" spans="1:5" x14ac:dyDescent="0.25">
      <c r="A465" s="2" t="s">
        <v>38</v>
      </c>
      <c r="B465" s="6">
        <v>44287</v>
      </c>
      <c r="C465" s="2" t="s">
        <v>24</v>
      </c>
      <c r="D465" s="8">
        <v>-50</v>
      </c>
      <c r="E465" s="8">
        <f>E464+(0-50)</f>
        <v>12900626.409999978</v>
      </c>
    </row>
    <row r="466" spans="1:5" x14ac:dyDescent="0.25">
      <c r="A466" s="2" t="s">
        <v>38</v>
      </c>
      <c r="B466" s="6">
        <v>44292</v>
      </c>
      <c r="C466" s="2" t="s">
        <v>17</v>
      </c>
      <c r="D466" s="8">
        <v>-52</v>
      </c>
      <c r="E466" s="8">
        <f>E465+(0-52)</f>
        <v>12900574.409999978</v>
      </c>
    </row>
    <row r="467" spans="1:5" x14ac:dyDescent="0.25">
      <c r="A467" s="2" t="s">
        <v>38</v>
      </c>
      <c r="B467" s="6">
        <v>44292</v>
      </c>
      <c r="C467" s="2" t="s">
        <v>116</v>
      </c>
      <c r="D467" s="8">
        <v>-26.88</v>
      </c>
      <c r="E467" s="8">
        <f>E466+(0-26.88)</f>
        <v>12900547.529999977</v>
      </c>
    </row>
    <row r="468" spans="1:5" x14ac:dyDescent="0.25">
      <c r="A468" s="2" t="s">
        <v>38</v>
      </c>
      <c r="B468" s="6">
        <v>44292</v>
      </c>
      <c r="C468" s="2" t="s">
        <v>17</v>
      </c>
      <c r="D468" s="8">
        <v>-28</v>
      </c>
      <c r="E468" s="8">
        <f>E467+(0-28)</f>
        <v>12900519.529999977</v>
      </c>
    </row>
    <row r="469" spans="1:5" x14ac:dyDescent="0.25">
      <c r="A469" s="2" t="s">
        <v>38</v>
      </c>
      <c r="B469" s="6">
        <v>44292</v>
      </c>
      <c r="C469" s="2" t="s">
        <v>117</v>
      </c>
      <c r="D469" s="8">
        <v>-26.88</v>
      </c>
      <c r="E469" s="8">
        <f>E468+(0-26.88)</f>
        <v>12900492.649999976</v>
      </c>
    </row>
    <row r="470" spans="1:5" x14ac:dyDescent="0.25">
      <c r="A470" s="2" t="s">
        <v>38</v>
      </c>
      <c r="B470" s="6">
        <v>44292</v>
      </c>
      <c r="C470" s="2" t="s">
        <v>24</v>
      </c>
      <c r="D470" s="8">
        <v>-550</v>
      </c>
      <c r="E470" s="8">
        <f>E469+(0-550)</f>
        <v>12899942.649999976</v>
      </c>
    </row>
    <row r="471" spans="1:5" x14ac:dyDescent="0.25">
      <c r="A471" s="2" t="s">
        <v>38</v>
      </c>
      <c r="B471" s="6">
        <v>44293</v>
      </c>
      <c r="C471" s="2" t="s">
        <v>24</v>
      </c>
      <c r="D471" s="8">
        <v>-50</v>
      </c>
      <c r="E471" s="8">
        <f>E470+(0-50)</f>
        <v>12899892.649999976</v>
      </c>
    </row>
    <row r="472" spans="1:5" x14ac:dyDescent="0.25">
      <c r="A472" s="2" t="s">
        <v>38</v>
      </c>
      <c r="B472" s="6">
        <v>44293</v>
      </c>
      <c r="C472" s="2" t="s">
        <v>118</v>
      </c>
      <c r="D472" s="8">
        <v>-26.88</v>
      </c>
      <c r="E472" s="8">
        <f>E471+(0-26.88)</f>
        <v>12899865.769999975</v>
      </c>
    </row>
    <row r="473" spans="1:5" x14ac:dyDescent="0.25">
      <c r="A473" s="2" t="s">
        <v>38</v>
      </c>
      <c r="B473" s="6">
        <v>44293</v>
      </c>
      <c r="C473" s="2" t="s">
        <v>17</v>
      </c>
      <c r="D473" s="8">
        <v>-56</v>
      </c>
      <c r="E473" s="8">
        <f>E472+(0-56)</f>
        <v>12899809.769999975</v>
      </c>
    </row>
    <row r="474" spans="1:5" x14ac:dyDescent="0.25">
      <c r="A474" s="2" t="s">
        <v>38</v>
      </c>
      <c r="B474" s="6">
        <v>44293</v>
      </c>
      <c r="C474" s="2" t="s">
        <v>24</v>
      </c>
      <c r="D474" s="8">
        <v>-200</v>
      </c>
      <c r="E474" s="8">
        <f>E473+(0-200)</f>
        <v>12899609.769999975</v>
      </c>
    </row>
    <row r="475" spans="1:5" x14ac:dyDescent="0.25">
      <c r="A475" s="2" t="s">
        <v>38</v>
      </c>
      <c r="B475" s="6">
        <v>44293</v>
      </c>
      <c r="C475" s="2" t="s">
        <v>24</v>
      </c>
      <c r="D475" s="8">
        <v>-50</v>
      </c>
      <c r="E475" s="8">
        <f>E474+(0-50)</f>
        <v>12899559.769999975</v>
      </c>
    </row>
    <row r="476" spans="1:5" x14ac:dyDescent="0.25">
      <c r="A476" s="2" t="s">
        <v>38</v>
      </c>
      <c r="B476" s="6">
        <v>44294</v>
      </c>
      <c r="C476" s="2" t="s">
        <v>17</v>
      </c>
      <c r="D476" s="8">
        <v>-28</v>
      </c>
      <c r="E476" s="8">
        <f>E475+(0-28)</f>
        <v>12899531.769999975</v>
      </c>
    </row>
    <row r="477" spans="1:5" x14ac:dyDescent="0.25">
      <c r="A477" s="2" t="s">
        <v>38</v>
      </c>
      <c r="B477" s="6">
        <v>44294</v>
      </c>
      <c r="C477" s="2" t="s">
        <v>119</v>
      </c>
      <c r="D477" s="8">
        <v>-26.88</v>
      </c>
      <c r="E477" s="8">
        <f>E476+(0-26.88)</f>
        <v>12899504.889999975</v>
      </c>
    </row>
    <row r="478" spans="1:5" x14ac:dyDescent="0.25">
      <c r="A478" s="2" t="s">
        <v>38</v>
      </c>
      <c r="B478" s="6">
        <v>44295</v>
      </c>
      <c r="C478" s="2" t="s">
        <v>24</v>
      </c>
      <c r="D478" s="8">
        <v>-200</v>
      </c>
      <c r="E478" s="8">
        <f>E477+(0-200)</f>
        <v>12899304.889999975</v>
      </c>
    </row>
    <row r="479" spans="1:5" x14ac:dyDescent="0.25">
      <c r="A479" s="2" t="s">
        <v>38</v>
      </c>
      <c r="B479" s="6">
        <v>44295</v>
      </c>
      <c r="C479" s="2" t="s">
        <v>24</v>
      </c>
      <c r="D479" s="8">
        <v>-50</v>
      </c>
      <c r="E479" s="8">
        <f>E478+(0-50)</f>
        <v>12899254.889999975</v>
      </c>
    </row>
    <row r="480" spans="1:5" x14ac:dyDescent="0.25">
      <c r="A480" s="2" t="s">
        <v>38</v>
      </c>
      <c r="B480" s="6">
        <v>44295</v>
      </c>
      <c r="C480" s="2" t="s">
        <v>17</v>
      </c>
      <c r="D480" s="8">
        <v>-52</v>
      </c>
      <c r="E480" s="8">
        <f>E479+(0-52)</f>
        <v>12899202.889999975</v>
      </c>
    </row>
    <row r="481" spans="1:5" x14ac:dyDescent="0.25">
      <c r="A481" s="2" t="s">
        <v>38</v>
      </c>
      <c r="B481" s="6">
        <v>44295</v>
      </c>
      <c r="C481" s="2" t="s">
        <v>24</v>
      </c>
      <c r="D481" s="8">
        <v>-50</v>
      </c>
      <c r="E481" s="8">
        <f>E480+(0-50)</f>
        <v>12899152.889999975</v>
      </c>
    </row>
    <row r="482" spans="1:5" x14ac:dyDescent="0.25">
      <c r="A482" s="2" t="s">
        <v>38</v>
      </c>
      <c r="B482" s="6">
        <v>44295</v>
      </c>
      <c r="C482" s="2" t="s">
        <v>24</v>
      </c>
      <c r="D482" s="8">
        <v>-250</v>
      </c>
      <c r="E482" s="8">
        <f>E481+(0-250)</f>
        <v>12898902.889999975</v>
      </c>
    </row>
    <row r="483" spans="1:5" x14ac:dyDescent="0.25">
      <c r="A483" s="2" t="s">
        <v>38</v>
      </c>
      <c r="B483" s="6">
        <v>44298</v>
      </c>
      <c r="C483" s="2" t="s">
        <v>17</v>
      </c>
      <c r="D483" s="8">
        <v>-40</v>
      </c>
      <c r="E483" s="8">
        <f>E482+(0-40)</f>
        <v>12898862.889999975</v>
      </c>
    </row>
    <row r="484" spans="1:5" x14ac:dyDescent="0.25">
      <c r="A484" s="2" t="s">
        <v>38</v>
      </c>
      <c r="B484" s="6">
        <v>44298</v>
      </c>
      <c r="C484" s="2" t="s">
        <v>17</v>
      </c>
      <c r="D484" s="8">
        <v>-4</v>
      </c>
      <c r="E484" s="8">
        <f>E483+(0-4)</f>
        <v>12898858.889999975</v>
      </c>
    </row>
    <row r="485" spans="1:5" x14ac:dyDescent="0.25">
      <c r="A485" s="2" t="s">
        <v>38</v>
      </c>
      <c r="B485" s="6">
        <v>44298</v>
      </c>
      <c r="C485" s="2" t="s">
        <v>17</v>
      </c>
      <c r="D485" s="8">
        <v>-4</v>
      </c>
      <c r="E485" s="8">
        <f>E484+(0-4)</f>
        <v>12898854.889999975</v>
      </c>
    </row>
    <row r="486" spans="1:5" x14ac:dyDescent="0.25">
      <c r="A486" s="2" t="s">
        <v>38</v>
      </c>
      <c r="B486" s="6">
        <v>44298</v>
      </c>
      <c r="C486" s="2" t="s">
        <v>24</v>
      </c>
      <c r="D486" s="8">
        <v>-450</v>
      </c>
      <c r="E486" s="8">
        <f>E485+(0-450)</f>
        <v>12898404.889999975</v>
      </c>
    </row>
    <row r="487" spans="1:5" x14ac:dyDescent="0.25">
      <c r="A487" s="2" t="s">
        <v>38</v>
      </c>
      <c r="B487" s="6">
        <v>44298</v>
      </c>
      <c r="C487" s="2" t="s">
        <v>24</v>
      </c>
      <c r="D487" s="8">
        <v>-50</v>
      </c>
      <c r="E487" s="8">
        <f>E486+(0-50)</f>
        <v>12898354.889999975</v>
      </c>
    </row>
    <row r="488" spans="1:5" x14ac:dyDescent="0.25">
      <c r="A488" s="2" t="s">
        <v>38</v>
      </c>
      <c r="B488" s="6">
        <v>44299</v>
      </c>
      <c r="C488" s="2" t="s">
        <v>24</v>
      </c>
      <c r="D488" s="8">
        <v>-50</v>
      </c>
      <c r="E488" s="8">
        <f>E487+(0-50)</f>
        <v>12898304.889999975</v>
      </c>
    </row>
    <row r="489" spans="1:5" x14ac:dyDescent="0.25">
      <c r="A489" s="2" t="s">
        <v>38</v>
      </c>
      <c r="B489" s="6">
        <v>44299</v>
      </c>
      <c r="C489" s="2" t="s">
        <v>24</v>
      </c>
      <c r="D489" s="8">
        <v>-50</v>
      </c>
      <c r="E489" s="8">
        <f>E488+(0-50)</f>
        <v>12898254.889999975</v>
      </c>
    </row>
    <row r="490" spans="1:5" x14ac:dyDescent="0.25">
      <c r="A490" s="2" t="s">
        <v>38</v>
      </c>
      <c r="B490" s="6">
        <v>44299</v>
      </c>
      <c r="C490" s="2" t="s">
        <v>24</v>
      </c>
      <c r="D490" s="8">
        <v>-50</v>
      </c>
      <c r="E490" s="8">
        <f>E489+(0-50)</f>
        <v>12898204.889999975</v>
      </c>
    </row>
    <row r="491" spans="1:5" x14ac:dyDescent="0.25">
      <c r="A491" s="2" t="s">
        <v>38</v>
      </c>
      <c r="B491" s="6">
        <v>44299</v>
      </c>
      <c r="C491" s="2" t="s">
        <v>24</v>
      </c>
      <c r="D491" s="8">
        <v>-50</v>
      </c>
      <c r="E491" s="8">
        <f>E490+(0-50)</f>
        <v>12898154.889999975</v>
      </c>
    </row>
    <row r="492" spans="1:5" x14ac:dyDescent="0.25">
      <c r="A492" s="2" t="s">
        <v>38</v>
      </c>
      <c r="B492" s="6">
        <v>44299</v>
      </c>
      <c r="C492" s="2" t="s">
        <v>24</v>
      </c>
      <c r="D492" s="8">
        <v>-50</v>
      </c>
      <c r="E492" s="8">
        <f>E491+(0-50)</f>
        <v>12898104.889999975</v>
      </c>
    </row>
    <row r="493" spans="1:5" x14ac:dyDescent="0.25">
      <c r="A493" s="2" t="s">
        <v>38</v>
      </c>
      <c r="B493" s="6">
        <v>44299</v>
      </c>
      <c r="C493" s="2" t="s">
        <v>24</v>
      </c>
      <c r="D493" s="8">
        <v>-50</v>
      </c>
      <c r="E493" s="8">
        <f>E492+(0-50)</f>
        <v>12898054.889999975</v>
      </c>
    </row>
    <row r="494" spans="1:5" x14ac:dyDescent="0.25">
      <c r="A494" s="2" t="s">
        <v>38</v>
      </c>
      <c r="B494" s="6">
        <v>44299</v>
      </c>
      <c r="C494" s="2" t="s">
        <v>24</v>
      </c>
      <c r="D494" s="8">
        <v>-100</v>
      </c>
      <c r="E494" s="8">
        <f>E493+(0-100)</f>
        <v>12897954.889999975</v>
      </c>
    </row>
    <row r="495" spans="1:5" x14ac:dyDescent="0.25">
      <c r="A495" s="2" t="s">
        <v>38</v>
      </c>
      <c r="B495" s="6">
        <v>44299</v>
      </c>
      <c r="C495" s="2" t="s">
        <v>24</v>
      </c>
      <c r="D495" s="8">
        <v>-300</v>
      </c>
      <c r="E495" s="8">
        <f>E494+(0-300)</f>
        <v>12897654.889999975</v>
      </c>
    </row>
    <row r="496" spans="1:5" x14ac:dyDescent="0.25">
      <c r="A496" s="2" t="s">
        <v>38</v>
      </c>
      <c r="B496" s="6">
        <v>44320</v>
      </c>
      <c r="C496" s="2" t="s">
        <v>17</v>
      </c>
      <c r="D496" s="8">
        <v>-68</v>
      </c>
      <c r="E496" s="8">
        <f>E495+(0-68)</f>
        <v>12897586.889999975</v>
      </c>
    </row>
    <row r="497" spans="1:5" x14ac:dyDescent="0.25">
      <c r="A497" s="2" t="s">
        <v>38</v>
      </c>
      <c r="B497" s="6">
        <v>44320</v>
      </c>
      <c r="C497" s="2" t="s">
        <v>17</v>
      </c>
      <c r="D497" s="8">
        <v>-4</v>
      </c>
      <c r="E497" s="8">
        <f>E496+(0-4)</f>
        <v>12897582.889999975</v>
      </c>
    </row>
    <row r="498" spans="1:5" x14ac:dyDescent="0.25">
      <c r="A498" s="2" t="s">
        <v>38</v>
      </c>
      <c r="B498" s="6">
        <v>44320</v>
      </c>
      <c r="C498" s="2" t="s">
        <v>120</v>
      </c>
      <c r="D498" s="8">
        <v>-53.75</v>
      </c>
      <c r="E498" s="8">
        <f>E497+(0-53.75)</f>
        <v>12897529.139999975</v>
      </c>
    </row>
    <row r="499" spans="1:5" x14ac:dyDescent="0.25">
      <c r="A499" s="2" t="s">
        <v>38</v>
      </c>
      <c r="B499" s="6">
        <v>44320</v>
      </c>
      <c r="C499" s="2" t="s">
        <v>19</v>
      </c>
      <c r="D499" s="8">
        <v>-8</v>
      </c>
      <c r="E499" s="8">
        <f>E498+(0-8)</f>
        <v>12897521.139999975</v>
      </c>
    </row>
    <row r="500" spans="1:5" x14ac:dyDescent="0.25">
      <c r="A500" s="2" t="s">
        <v>38</v>
      </c>
      <c r="B500" s="6">
        <v>44320</v>
      </c>
      <c r="C500" s="2" t="s">
        <v>16</v>
      </c>
      <c r="D500" s="8">
        <v>-450</v>
      </c>
      <c r="E500" s="8">
        <f>E499+(0-450)</f>
        <v>12897071.139999975</v>
      </c>
    </row>
    <row r="501" spans="1:5" x14ac:dyDescent="0.25">
      <c r="A501" s="2" t="s">
        <v>38</v>
      </c>
      <c r="B501" s="6">
        <v>44320</v>
      </c>
      <c r="C501" s="2" t="s">
        <v>121</v>
      </c>
      <c r="D501" s="8">
        <v>-26.88</v>
      </c>
      <c r="E501" s="8">
        <f>E500+(0-26.88)</f>
        <v>12897044.259999974</v>
      </c>
    </row>
    <row r="502" spans="1:5" x14ac:dyDescent="0.25">
      <c r="A502" s="2" t="s">
        <v>38</v>
      </c>
      <c r="B502" s="6">
        <v>44321</v>
      </c>
      <c r="C502" s="2" t="s">
        <v>17</v>
      </c>
      <c r="D502" s="8">
        <v>-56</v>
      </c>
      <c r="E502" s="8">
        <f>E501+(0-56)</f>
        <v>12896988.259999974</v>
      </c>
    </row>
    <row r="503" spans="1:5" x14ac:dyDescent="0.25">
      <c r="A503" s="2" t="s">
        <v>38</v>
      </c>
      <c r="B503" s="6">
        <v>44321</v>
      </c>
      <c r="C503" s="2" t="s">
        <v>16</v>
      </c>
      <c r="D503" s="8">
        <v>-100</v>
      </c>
      <c r="E503" s="8">
        <f>E502+(0-100)</f>
        <v>12896888.259999974</v>
      </c>
    </row>
    <row r="504" spans="1:5" x14ac:dyDescent="0.25">
      <c r="A504" s="2" t="s">
        <v>38</v>
      </c>
      <c r="B504" s="6">
        <v>44321</v>
      </c>
      <c r="C504" s="2" t="s">
        <v>16</v>
      </c>
      <c r="D504" s="8">
        <v>-300</v>
      </c>
      <c r="E504" s="8">
        <f>E503+(0-300)</f>
        <v>12896588.259999974</v>
      </c>
    </row>
    <row r="505" spans="1:5" x14ac:dyDescent="0.25">
      <c r="A505" s="2" t="s">
        <v>38</v>
      </c>
      <c r="B505" s="6">
        <v>44322</v>
      </c>
      <c r="C505" s="2" t="s">
        <v>122</v>
      </c>
      <c r="D505" s="8">
        <v>-53.75</v>
      </c>
      <c r="E505" s="8">
        <f>E504+(0-53.75)</f>
        <v>12896534.509999974</v>
      </c>
    </row>
    <row r="506" spans="1:5" x14ac:dyDescent="0.25">
      <c r="A506" s="2" t="s">
        <v>38</v>
      </c>
      <c r="B506" s="6">
        <v>44322</v>
      </c>
      <c r="C506" s="2" t="s">
        <v>16</v>
      </c>
      <c r="D506" s="8">
        <v>-50</v>
      </c>
      <c r="E506" s="8">
        <f>E505+(0-50)</f>
        <v>12896484.509999974</v>
      </c>
    </row>
    <row r="507" spans="1:5" x14ac:dyDescent="0.25">
      <c r="A507" s="2" t="s">
        <v>38</v>
      </c>
      <c r="B507" s="6">
        <v>44322</v>
      </c>
      <c r="C507" s="2" t="s">
        <v>16</v>
      </c>
      <c r="D507" s="8">
        <v>-200</v>
      </c>
      <c r="E507" s="8">
        <f>E506+(0-200)</f>
        <v>12896284.509999974</v>
      </c>
    </row>
    <row r="508" spans="1:5" x14ac:dyDescent="0.25">
      <c r="A508" s="2" t="s">
        <v>38</v>
      </c>
      <c r="B508" s="6">
        <v>44323</v>
      </c>
      <c r="C508" s="2" t="s">
        <v>17</v>
      </c>
      <c r="D508" s="8">
        <v>-56</v>
      </c>
      <c r="E508" s="8">
        <f>E507+(0-56)</f>
        <v>12896228.509999974</v>
      </c>
    </row>
    <row r="509" spans="1:5" x14ac:dyDescent="0.25">
      <c r="A509" s="2" t="s">
        <v>38</v>
      </c>
      <c r="B509" s="6">
        <v>44323</v>
      </c>
      <c r="C509" s="2" t="s">
        <v>17</v>
      </c>
      <c r="D509" s="8">
        <v>-68</v>
      </c>
      <c r="E509" s="8">
        <f>E508+(0-68)</f>
        <v>12896160.509999974</v>
      </c>
    </row>
    <row r="510" spans="1:5" x14ac:dyDescent="0.25">
      <c r="A510" s="2" t="s">
        <v>38</v>
      </c>
      <c r="B510" s="6">
        <v>44323</v>
      </c>
      <c r="C510" s="2" t="s">
        <v>16</v>
      </c>
      <c r="D510" s="8">
        <v>-450</v>
      </c>
      <c r="E510" s="8">
        <f>E509+(0-450)</f>
        <v>12895710.509999974</v>
      </c>
    </row>
    <row r="511" spans="1:5" x14ac:dyDescent="0.25">
      <c r="A511" s="2" t="s">
        <v>38</v>
      </c>
      <c r="B511" s="6">
        <v>44326</v>
      </c>
      <c r="C511" s="2" t="s">
        <v>123</v>
      </c>
      <c r="D511" s="8">
        <v>-36</v>
      </c>
      <c r="E511" s="8">
        <f>E510+(0-36)</f>
        <v>12895674.509999974</v>
      </c>
    </row>
    <row r="512" spans="1:5" x14ac:dyDescent="0.25">
      <c r="A512" s="2" t="s">
        <v>38</v>
      </c>
      <c r="B512" s="6">
        <v>44326</v>
      </c>
      <c r="C512" s="2" t="s">
        <v>124</v>
      </c>
      <c r="D512" s="8">
        <v>-10.75</v>
      </c>
      <c r="E512" s="8">
        <f>E511+(0-10.75)</f>
        <v>12895663.759999974</v>
      </c>
    </row>
    <row r="513" spans="1:5" x14ac:dyDescent="0.25">
      <c r="A513" s="2" t="s">
        <v>38</v>
      </c>
      <c r="B513" s="6">
        <v>44326</v>
      </c>
      <c r="C513" s="2" t="s">
        <v>125</v>
      </c>
      <c r="D513" s="8">
        <v>-10.75</v>
      </c>
      <c r="E513" s="8">
        <f>E512+(0-10.75)</f>
        <v>12895653.009999974</v>
      </c>
    </row>
    <row r="514" spans="1:5" x14ac:dyDescent="0.25">
      <c r="A514" s="2" t="s">
        <v>38</v>
      </c>
      <c r="B514" s="6">
        <v>44326</v>
      </c>
      <c r="C514" s="2" t="s">
        <v>126</v>
      </c>
      <c r="D514" s="8">
        <v>-53.75</v>
      </c>
      <c r="E514" s="8">
        <f>E513+(0-53.75)</f>
        <v>12895599.259999974</v>
      </c>
    </row>
    <row r="515" spans="1:5" x14ac:dyDescent="0.25">
      <c r="A515" s="2" t="s">
        <v>38</v>
      </c>
      <c r="B515" s="6">
        <v>44326</v>
      </c>
      <c r="C515" s="2" t="s">
        <v>16</v>
      </c>
      <c r="D515" s="8">
        <v>-50</v>
      </c>
      <c r="E515" s="8">
        <f>E514+(0-50)</f>
        <v>12895549.259999974</v>
      </c>
    </row>
    <row r="516" spans="1:5" x14ac:dyDescent="0.25">
      <c r="A516" s="2" t="s">
        <v>38</v>
      </c>
      <c r="B516" s="6">
        <v>44326</v>
      </c>
      <c r="C516" s="2" t="s">
        <v>16</v>
      </c>
      <c r="D516" s="8">
        <v>-250</v>
      </c>
      <c r="E516" s="8">
        <f>E515+(0-250)</f>
        <v>12895299.259999974</v>
      </c>
    </row>
    <row r="517" spans="1:5" x14ac:dyDescent="0.25">
      <c r="A517" s="2" t="s">
        <v>38</v>
      </c>
      <c r="B517" s="6">
        <v>44327</v>
      </c>
      <c r="C517" s="2" t="s">
        <v>28</v>
      </c>
      <c r="D517" s="8">
        <v>-53.75</v>
      </c>
      <c r="E517" s="8">
        <f>E516+(0-53.75)</f>
        <v>12895245.509999974</v>
      </c>
    </row>
    <row r="518" spans="1:5" x14ac:dyDescent="0.25">
      <c r="A518" s="2" t="s">
        <v>38</v>
      </c>
      <c r="B518" s="6">
        <v>44327</v>
      </c>
      <c r="C518" s="2" t="s">
        <v>17</v>
      </c>
      <c r="D518" s="8">
        <v>-20</v>
      </c>
      <c r="E518" s="8">
        <f>E517+(0-20)</f>
        <v>12895225.509999974</v>
      </c>
    </row>
    <row r="519" spans="1:5" x14ac:dyDescent="0.25">
      <c r="A519" s="2" t="s">
        <v>38</v>
      </c>
      <c r="B519" s="6">
        <v>44327</v>
      </c>
      <c r="C519" s="2" t="s">
        <v>17</v>
      </c>
      <c r="D519" s="8">
        <v>-56</v>
      </c>
      <c r="E519" s="8">
        <f>E518+(0-56)</f>
        <v>12895169.509999974</v>
      </c>
    </row>
    <row r="520" spans="1:5" x14ac:dyDescent="0.25">
      <c r="A520" s="2" t="s">
        <v>38</v>
      </c>
      <c r="B520" s="6">
        <v>44327</v>
      </c>
      <c r="C520" s="2" t="s">
        <v>16</v>
      </c>
      <c r="D520" s="8">
        <v>-100</v>
      </c>
      <c r="E520" s="8">
        <f>E519+(0-100)</f>
        <v>12895069.509999974</v>
      </c>
    </row>
    <row r="521" spans="1:5" x14ac:dyDescent="0.25">
      <c r="A521" s="2" t="s">
        <v>38</v>
      </c>
      <c r="B521" s="6">
        <v>44330</v>
      </c>
      <c r="C521" s="2" t="s">
        <v>19</v>
      </c>
      <c r="D521" s="8">
        <v>-24</v>
      </c>
      <c r="E521" s="8">
        <f>E520+(0-24)</f>
        <v>12895045.509999974</v>
      </c>
    </row>
    <row r="522" spans="1:5" x14ac:dyDescent="0.25">
      <c r="A522" s="2" t="s">
        <v>38</v>
      </c>
      <c r="B522" s="6">
        <v>44330</v>
      </c>
      <c r="C522" s="2" t="s">
        <v>17</v>
      </c>
      <c r="D522" s="8">
        <v>-20</v>
      </c>
      <c r="E522" s="8">
        <f>E521+(0-20)</f>
        <v>12895025.509999974</v>
      </c>
    </row>
    <row r="523" spans="1:5" x14ac:dyDescent="0.25">
      <c r="A523" s="2" t="s">
        <v>38</v>
      </c>
      <c r="B523" s="6">
        <v>44330</v>
      </c>
      <c r="C523" s="2" t="s">
        <v>17</v>
      </c>
      <c r="D523" s="8">
        <v>-28</v>
      </c>
      <c r="E523" s="8">
        <f>E522+(0-28)</f>
        <v>12894997.509999974</v>
      </c>
    </row>
    <row r="524" spans="1:5" x14ac:dyDescent="0.25">
      <c r="A524" s="2" t="s">
        <v>38</v>
      </c>
      <c r="B524" s="6">
        <v>44330</v>
      </c>
      <c r="C524" s="2" t="s">
        <v>16</v>
      </c>
      <c r="D524" s="8">
        <v>-50</v>
      </c>
      <c r="E524" s="8">
        <f>E523+(0-50)</f>
        <v>12894947.509999974</v>
      </c>
    </row>
    <row r="525" spans="1:5" x14ac:dyDescent="0.25">
      <c r="A525" s="2" t="s">
        <v>38</v>
      </c>
      <c r="B525" s="6">
        <v>44330</v>
      </c>
      <c r="C525" s="2" t="s">
        <v>24</v>
      </c>
      <c r="D525" s="8">
        <v>-50</v>
      </c>
      <c r="E525" s="8">
        <f>E524+(0-50)</f>
        <v>12894897.509999974</v>
      </c>
    </row>
    <row r="526" spans="1:5" x14ac:dyDescent="0.25">
      <c r="A526" s="2" t="s">
        <v>38</v>
      </c>
      <c r="B526" s="6">
        <v>44330</v>
      </c>
      <c r="C526" s="2" t="s">
        <v>127</v>
      </c>
      <c r="D526" s="8">
        <v>-53.75</v>
      </c>
      <c r="E526" s="8">
        <f>E525+(0-53.75)</f>
        <v>12894843.759999974</v>
      </c>
    </row>
    <row r="527" spans="1:5" x14ac:dyDescent="0.25">
      <c r="A527" s="2" t="s">
        <v>38</v>
      </c>
      <c r="B527" s="6">
        <v>44330</v>
      </c>
      <c r="C527" s="2" t="s">
        <v>16</v>
      </c>
      <c r="D527" s="8">
        <v>-900</v>
      </c>
      <c r="E527" s="8">
        <f>E526+(0-900)</f>
        <v>12893943.759999974</v>
      </c>
    </row>
    <row r="528" spans="1:5" x14ac:dyDescent="0.25">
      <c r="A528" s="2" t="s">
        <v>38</v>
      </c>
      <c r="B528" s="6">
        <v>44333</v>
      </c>
      <c r="C528" s="2" t="s">
        <v>17</v>
      </c>
      <c r="D528" s="8">
        <v>-100</v>
      </c>
      <c r="E528" s="8">
        <f>E527+(0-100)</f>
        <v>12893843.759999974</v>
      </c>
    </row>
    <row r="529" spans="1:5" x14ac:dyDescent="0.25">
      <c r="A529" s="2" t="s">
        <v>38</v>
      </c>
      <c r="B529" s="6">
        <v>44333</v>
      </c>
      <c r="C529" s="2" t="s">
        <v>17</v>
      </c>
      <c r="D529" s="8">
        <v>-4</v>
      </c>
      <c r="E529" s="8">
        <f>E528+(0-4)</f>
        <v>12893839.759999974</v>
      </c>
    </row>
    <row r="530" spans="1:5" x14ac:dyDescent="0.25">
      <c r="A530" s="2" t="s">
        <v>38</v>
      </c>
      <c r="B530" s="6">
        <v>44333</v>
      </c>
      <c r="C530" s="2" t="s">
        <v>128</v>
      </c>
      <c r="D530" s="8">
        <v>-53.75</v>
      </c>
      <c r="E530" s="8">
        <f>E529+(0-53.75)</f>
        <v>12893786.009999974</v>
      </c>
    </row>
    <row r="531" spans="1:5" x14ac:dyDescent="0.25">
      <c r="A531" s="2" t="s">
        <v>38</v>
      </c>
      <c r="B531" s="6">
        <v>44333</v>
      </c>
      <c r="C531" s="2" t="s">
        <v>16</v>
      </c>
      <c r="D531" s="8">
        <v>-100</v>
      </c>
      <c r="E531" s="8">
        <f>E530+(0-100)</f>
        <v>12893686.009999974</v>
      </c>
    </row>
    <row r="532" spans="1:5" x14ac:dyDescent="0.25">
      <c r="A532" s="2" t="s">
        <v>38</v>
      </c>
      <c r="B532" s="6">
        <v>44333</v>
      </c>
      <c r="C532" s="2" t="s">
        <v>16</v>
      </c>
      <c r="D532" s="8">
        <v>-400</v>
      </c>
      <c r="E532" s="8">
        <f>E531+(0-400)</f>
        <v>12893286.009999974</v>
      </c>
    </row>
    <row r="533" spans="1:5" x14ac:dyDescent="0.25">
      <c r="A533" s="2" t="s">
        <v>38</v>
      </c>
      <c r="B533" s="6">
        <v>44334</v>
      </c>
      <c r="C533" s="2" t="s">
        <v>129</v>
      </c>
      <c r="D533" s="8">
        <v>-53.75</v>
      </c>
      <c r="E533" s="8">
        <f>E532+(0-53.75)</f>
        <v>12893232.259999974</v>
      </c>
    </row>
    <row r="534" spans="1:5" x14ac:dyDescent="0.25">
      <c r="A534" s="2" t="s">
        <v>38</v>
      </c>
      <c r="B534" s="6">
        <v>44334</v>
      </c>
      <c r="C534" s="2" t="s">
        <v>16</v>
      </c>
      <c r="D534" s="8">
        <v>-50</v>
      </c>
      <c r="E534" s="8">
        <f>E533+(0-50)</f>
        <v>12893182.259999974</v>
      </c>
    </row>
    <row r="535" spans="1:5" x14ac:dyDescent="0.25">
      <c r="A535" s="2" t="s">
        <v>38</v>
      </c>
      <c r="B535" s="6">
        <v>44334</v>
      </c>
      <c r="C535" s="2" t="s">
        <v>16</v>
      </c>
      <c r="D535" s="8">
        <v>-50</v>
      </c>
      <c r="E535" s="8">
        <f>E534+(0-50)</f>
        <v>12893132.259999974</v>
      </c>
    </row>
    <row r="536" spans="1:5" x14ac:dyDescent="0.25">
      <c r="A536" s="2" t="s">
        <v>38</v>
      </c>
      <c r="B536" s="6">
        <v>44334</v>
      </c>
      <c r="C536" s="2" t="s">
        <v>16</v>
      </c>
      <c r="D536" s="8">
        <v>-150</v>
      </c>
      <c r="E536" s="8">
        <f>E535+(0-150)</f>
        <v>12892982.259999974</v>
      </c>
    </row>
    <row r="537" spans="1:5" x14ac:dyDescent="0.25">
      <c r="A537" s="2" t="s">
        <v>38</v>
      </c>
      <c r="B537" s="6">
        <v>44334</v>
      </c>
      <c r="C537" s="2" t="s">
        <v>16</v>
      </c>
      <c r="D537" s="8">
        <v>-350</v>
      </c>
      <c r="E537" s="8">
        <f>E536+(0-350)</f>
        <v>12892632.259999974</v>
      </c>
    </row>
    <row r="538" spans="1:5" x14ac:dyDescent="0.25">
      <c r="A538" s="2" t="s">
        <v>38</v>
      </c>
      <c r="B538" s="6">
        <v>44335</v>
      </c>
      <c r="C538" s="2" t="s">
        <v>16</v>
      </c>
      <c r="D538" s="8">
        <v>-50</v>
      </c>
      <c r="E538" s="8">
        <f>E537+(0-50)</f>
        <v>12892582.259999974</v>
      </c>
    </row>
    <row r="539" spans="1:5" x14ac:dyDescent="0.25">
      <c r="A539" s="2" t="s">
        <v>38</v>
      </c>
      <c r="B539" s="6">
        <v>44335</v>
      </c>
      <c r="C539" s="2" t="s">
        <v>17</v>
      </c>
      <c r="D539" s="8">
        <v>-52</v>
      </c>
      <c r="E539" s="8">
        <f>E538+(0-52)</f>
        <v>12892530.259999974</v>
      </c>
    </row>
    <row r="540" spans="1:5" x14ac:dyDescent="0.25">
      <c r="A540" s="2" t="s">
        <v>38</v>
      </c>
      <c r="B540" s="6">
        <v>44336</v>
      </c>
      <c r="C540" s="2" t="s">
        <v>17</v>
      </c>
      <c r="D540" s="8">
        <v>-60</v>
      </c>
      <c r="E540" s="8">
        <f>E539+(0-60)</f>
        <v>12892470.259999974</v>
      </c>
    </row>
    <row r="541" spans="1:5" x14ac:dyDescent="0.25">
      <c r="A541" s="2" t="s">
        <v>38</v>
      </c>
      <c r="B541" s="6">
        <v>44336</v>
      </c>
      <c r="C541" s="2" t="s">
        <v>130</v>
      </c>
      <c r="D541" s="8">
        <v>-26.88</v>
      </c>
      <c r="E541" s="8">
        <f>E540+(0-26.88)</f>
        <v>12892443.379999973</v>
      </c>
    </row>
    <row r="542" spans="1:5" x14ac:dyDescent="0.25">
      <c r="A542" s="2" t="s">
        <v>38</v>
      </c>
      <c r="B542" s="6">
        <v>44336</v>
      </c>
      <c r="C542" s="2" t="s">
        <v>16</v>
      </c>
      <c r="D542" s="8">
        <v>-50</v>
      </c>
      <c r="E542" s="8">
        <f>E541+(0-50)</f>
        <v>12892393.379999973</v>
      </c>
    </row>
    <row r="543" spans="1:5" x14ac:dyDescent="0.25">
      <c r="A543" s="2" t="s">
        <v>38</v>
      </c>
      <c r="B543" s="6">
        <v>44336</v>
      </c>
      <c r="C543" s="2" t="s">
        <v>16</v>
      </c>
      <c r="D543" s="8">
        <v>-50</v>
      </c>
      <c r="E543" s="8">
        <f>E542+(0-50)</f>
        <v>12892343.379999973</v>
      </c>
    </row>
    <row r="544" spans="1:5" x14ac:dyDescent="0.25">
      <c r="A544" s="2" t="s">
        <v>38</v>
      </c>
      <c r="B544" s="6">
        <v>44336</v>
      </c>
      <c r="C544" s="2" t="s">
        <v>16</v>
      </c>
      <c r="D544" s="8">
        <v>-50</v>
      </c>
      <c r="E544" s="8">
        <f>E543+(0-50)</f>
        <v>12892293.379999973</v>
      </c>
    </row>
    <row r="545" spans="1:5" x14ac:dyDescent="0.25">
      <c r="A545" s="2" t="s">
        <v>38</v>
      </c>
      <c r="B545" s="6">
        <v>44336</v>
      </c>
      <c r="C545" s="2" t="s">
        <v>16</v>
      </c>
      <c r="D545" s="8">
        <v>-50</v>
      </c>
      <c r="E545" s="8">
        <f>E544+(0-50)</f>
        <v>12892243.379999973</v>
      </c>
    </row>
    <row r="546" spans="1:5" x14ac:dyDescent="0.25">
      <c r="A546" s="2" t="s">
        <v>38</v>
      </c>
      <c r="B546" s="6">
        <v>44336</v>
      </c>
      <c r="C546" s="2" t="s">
        <v>16</v>
      </c>
      <c r="D546" s="8">
        <v>-50</v>
      </c>
      <c r="E546" s="8">
        <f>E545+(0-50)</f>
        <v>12892193.379999973</v>
      </c>
    </row>
    <row r="547" spans="1:5" x14ac:dyDescent="0.25">
      <c r="A547" s="2" t="s">
        <v>38</v>
      </c>
      <c r="B547" s="6">
        <v>44336</v>
      </c>
      <c r="C547" s="2" t="s">
        <v>16</v>
      </c>
      <c r="D547" s="8">
        <v>-50</v>
      </c>
      <c r="E547" s="8">
        <f>E546+(0-50)</f>
        <v>12892143.379999973</v>
      </c>
    </row>
    <row r="548" spans="1:5" x14ac:dyDescent="0.25">
      <c r="A548" s="2" t="s">
        <v>38</v>
      </c>
      <c r="B548" s="6">
        <v>44336</v>
      </c>
      <c r="C548" s="2" t="s">
        <v>16</v>
      </c>
      <c r="D548" s="8">
        <v>-50</v>
      </c>
      <c r="E548" s="8">
        <f>E547+(0-50)</f>
        <v>12892093.379999973</v>
      </c>
    </row>
    <row r="549" spans="1:5" x14ac:dyDescent="0.25">
      <c r="A549" s="2" t="s">
        <v>38</v>
      </c>
      <c r="B549" s="6">
        <v>44336</v>
      </c>
      <c r="C549" s="2" t="s">
        <v>16</v>
      </c>
      <c r="D549" s="8">
        <v>-50</v>
      </c>
      <c r="E549" s="8">
        <f>E548+(0-50)</f>
        <v>12892043.379999973</v>
      </c>
    </row>
    <row r="550" spans="1:5" x14ac:dyDescent="0.25">
      <c r="A550" s="2" t="s">
        <v>38</v>
      </c>
      <c r="B550" s="6">
        <v>44336</v>
      </c>
      <c r="C550" s="2" t="s">
        <v>16</v>
      </c>
      <c r="D550" s="8">
        <v>-300</v>
      </c>
      <c r="E550" s="8">
        <f>E549+(0-300)</f>
        <v>12891743.379999973</v>
      </c>
    </row>
    <row r="551" spans="1:5" x14ac:dyDescent="0.25">
      <c r="A551" s="2" t="s">
        <v>38</v>
      </c>
      <c r="B551" s="6">
        <v>44337</v>
      </c>
      <c r="C551" s="2" t="s">
        <v>17</v>
      </c>
      <c r="D551" s="8">
        <v>-40</v>
      </c>
      <c r="E551" s="8">
        <f>E550+(0-40)</f>
        <v>12891703.379999973</v>
      </c>
    </row>
    <row r="552" spans="1:5" x14ac:dyDescent="0.25">
      <c r="A552" s="2" t="s">
        <v>38</v>
      </c>
      <c r="B552" s="6">
        <v>44337</v>
      </c>
      <c r="C552" s="2" t="s">
        <v>17</v>
      </c>
      <c r="D552" s="8">
        <v>-88</v>
      </c>
      <c r="E552" s="8">
        <f>E551+(0-88)</f>
        <v>12891615.379999973</v>
      </c>
    </row>
    <row r="553" spans="1:5" x14ac:dyDescent="0.25">
      <c r="A553" s="2" t="s">
        <v>38</v>
      </c>
      <c r="B553" s="6">
        <v>44337</v>
      </c>
      <c r="C553" s="2" t="s">
        <v>16</v>
      </c>
      <c r="D553" s="8">
        <v>-50</v>
      </c>
      <c r="E553" s="8">
        <f>E552+(0-50)</f>
        <v>12891565.379999973</v>
      </c>
    </row>
    <row r="554" spans="1:5" x14ac:dyDescent="0.25">
      <c r="A554" s="2" t="s">
        <v>38</v>
      </c>
      <c r="B554" s="6">
        <v>44337</v>
      </c>
      <c r="C554" s="2" t="s">
        <v>31</v>
      </c>
      <c r="D554" s="8">
        <v>-53.75</v>
      </c>
      <c r="E554" s="8">
        <f>E553+(0-53.75)</f>
        <v>12891511.629999973</v>
      </c>
    </row>
    <row r="555" spans="1:5" x14ac:dyDescent="0.25">
      <c r="A555" s="2" t="s">
        <v>38</v>
      </c>
      <c r="B555" s="6">
        <v>44337</v>
      </c>
      <c r="C555" s="2" t="s">
        <v>16</v>
      </c>
      <c r="D555" s="8">
        <v>-150</v>
      </c>
      <c r="E555" s="8">
        <f>E554+(0-150)</f>
        <v>12891361.629999973</v>
      </c>
    </row>
    <row r="556" spans="1:5" x14ac:dyDescent="0.25">
      <c r="A556" s="2" t="s">
        <v>38</v>
      </c>
      <c r="B556" s="6">
        <v>44340</v>
      </c>
      <c r="C556" s="2" t="s">
        <v>17</v>
      </c>
      <c r="D556" s="8">
        <v>-40</v>
      </c>
      <c r="E556" s="8">
        <f>E555+(0-40)</f>
        <v>12891321.629999973</v>
      </c>
    </row>
    <row r="557" spans="1:5" x14ac:dyDescent="0.25">
      <c r="A557" s="2" t="s">
        <v>38</v>
      </c>
      <c r="B557" s="6">
        <v>44340</v>
      </c>
      <c r="C557" s="2" t="s">
        <v>131</v>
      </c>
      <c r="D557" s="8">
        <v>-4</v>
      </c>
      <c r="E557" s="8">
        <f>E556+(0-4)</f>
        <v>12891317.629999973</v>
      </c>
    </row>
    <row r="558" spans="1:5" x14ac:dyDescent="0.25">
      <c r="A558" s="2" t="s">
        <v>38</v>
      </c>
      <c r="B558" s="6">
        <v>44340</v>
      </c>
      <c r="C558" s="2" t="s">
        <v>17</v>
      </c>
      <c r="D558" s="8">
        <v>-4</v>
      </c>
      <c r="E558" s="8">
        <f>E557+(0-4)</f>
        <v>12891313.629999973</v>
      </c>
    </row>
    <row r="559" spans="1:5" x14ac:dyDescent="0.25">
      <c r="A559" s="2" t="s">
        <v>38</v>
      </c>
      <c r="B559" s="6">
        <v>44340</v>
      </c>
      <c r="C559" s="2" t="s">
        <v>16</v>
      </c>
      <c r="D559" s="8">
        <v>-150</v>
      </c>
      <c r="E559" s="8">
        <f>E558+(0-150)</f>
        <v>12891163.629999973</v>
      </c>
    </row>
    <row r="560" spans="1:5" x14ac:dyDescent="0.25">
      <c r="A560" s="2" t="s">
        <v>38</v>
      </c>
      <c r="B560" s="6">
        <v>44341</v>
      </c>
      <c r="C560" s="2" t="s">
        <v>132</v>
      </c>
      <c r="D560" s="8">
        <v>-53.75</v>
      </c>
      <c r="E560" s="8">
        <f>E559+(0-53.75)</f>
        <v>12891109.879999973</v>
      </c>
    </row>
    <row r="561" spans="1:5" x14ac:dyDescent="0.25">
      <c r="A561" s="2" t="s">
        <v>38</v>
      </c>
      <c r="B561" s="6">
        <v>44341</v>
      </c>
      <c r="C561" s="2" t="s">
        <v>17</v>
      </c>
      <c r="D561" s="8">
        <v>-16</v>
      </c>
      <c r="E561" s="8">
        <f>E560+(0-16)</f>
        <v>12891093.879999973</v>
      </c>
    </row>
    <row r="562" spans="1:5" x14ac:dyDescent="0.25">
      <c r="A562" s="2" t="s">
        <v>38</v>
      </c>
      <c r="B562" s="6">
        <v>44341</v>
      </c>
      <c r="C562" s="2" t="s">
        <v>133</v>
      </c>
      <c r="D562" s="8">
        <v>-26.88</v>
      </c>
      <c r="E562" s="8">
        <f>E561+(0-26.88)</f>
        <v>12891066.999999972</v>
      </c>
    </row>
    <row r="563" spans="1:5" x14ac:dyDescent="0.25">
      <c r="A563" s="2" t="s">
        <v>38</v>
      </c>
      <c r="B563" s="6">
        <v>44341</v>
      </c>
      <c r="C563" s="2" t="s">
        <v>16</v>
      </c>
      <c r="D563" s="8">
        <v>-350</v>
      </c>
      <c r="E563" s="8">
        <f>E562+(0-350)</f>
        <v>12890716.999999972</v>
      </c>
    </row>
    <row r="564" spans="1:5" x14ac:dyDescent="0.25">
      <c r="A564" s="2" t="s">
        <v>38</v>
      </c>
      <c r="B564" s="6">
        <v>44341</v>
      </c>
      <c r="C564" s="2" t="s">
        <v>16</v>
      </c>
      <c r="D564" s="8">
        <v>-50</v>
      </c>
      <c r="E564" s="8">
        <f>E563+(0-50)</f>
        <v>12890666.999999972</v>
      </c>
    </row>
    <row r="565" spans="1:5" x14ac:dyDescent="0.25">
      <c r="A565" s="2" t="s">
        <v>38</v>
      </c>
      <c r="B565" s="6">
        <v>44342</v>
      </c>
      <c r="C565" s="2" t="s">
        <v>17</v>
      </c>
      <c r="D565" s="8">
        <v>-72</v>
      </c>
      <c r="E565" s="8">
        <f>E564+(0-72)</f>
        <v>12890594.999999972</v>
      </c>
    </row>
    <row r="566" spans="1:5" x14ac:dyDescent="0.25">
      <c r="A566" s="2" t="s">
        <v>38</v>
      </c>
      <c r="B566" s="6">
        <v>44342</v>
      </c>
      <c r="C566" s="2" t="s">
        <v>28</v>
      </c>
      <c r="D566" s="8">
        <v>-53.75</v>
      </c>
      <c r="E566" s="8">
        <f>E565+(0-53.75)</f>
        <v>12890541.249999972</v>
      </c>
    </row>
    <row r="567" spans="1:5" x14ac:dyDescent="0.25">
      <c r="A567" s="2" t="s">
        <v>38</v>
      </c>
      <c r="B567" s="6">
        <v>44342</v>
      </c>
      <c r="C567" s="2" t="s">
        <v>16</v>
      </c>
      <c r="D567" s="8">
        <v>-200</v>
      </c>
      <c r="E567" s="8">
        <f>E566+(0-200)</f>
        <v>12890341.249999972</v>
      </c>
    </row>
    <row r="568" spans="1:5" x14ac:dyDescent="0.25">
      <c r="A568" s="2" t="s">
        <v>38</v>
      </c>
      <c r="B568" s="6">
        <v>44343</v>
      </c>
      <c r="C568" s="2" t="s">
        <v>17</v>
      </c>
      <c r="D568" s="8">
        <v>-44</v>
      </c>
      <c r="E568" s="8">
        <f>E567+(0-44)</f>
        <v>12890297.249999972</v>
      </c>
    </row>
    <row r="569" spans="1:5" x14ac:dyDescent="0.25">
      <c r="A569" s="2" t="s">
        <v>38</v>
      </c>
      <c r="B569" s="6">
        <v>44343</v>
      </c>
      <c r="C569" s="2" t="s">
        <v>16</v>
      </c>
      <c r="D569" s="8">
        <v>-400</v>
      </c>
      <c r="E569" s="8">
        <f>E568+(0-400)</f>
        <v>12889897.249999972</v>
      </c>
    </row>
    <row r="570" spans="1:5" x14ac:dyDescent="0.25">
      <c r="A570" s="2" t="s">
        <v>38</v>
      </c>
      <c r="B570" s="6">
        <v>44344</v>
      </c>
      <c r="C570" s="2" t="s">
        <v>17</v>
      </c>
      <c r="D570" s="8">
        <v>-44</v>
      </c>
      <c r="E570" s="8">
        <f>E569+(0-44)</f>
        <v>12889853.249999972</v>
      </c>
    </row>
    <row r="571" spans="1:5" x14ac:dyDescent="0.25">
      <c r="A571" s="2" t="s">
        <v>38</v>
      </c>
      <c r="B571" s="6">
        <v>44344</v>
      </c>
      <c r="C571" s="2" t="s">
        <v>16</v>
      </c>
      <c r="D571" s="8">
        <v>-350</v>
      </c>
      <c r="E571" s="8">
        <f>E570+(0-350)</f>
        <v>12889503.249999972</v>
      </c>
    </row>
    <row r="572" spans="1:5" x14ac:dyDescent="0.25">
      <c r="A572" s="2" t="s">
        <v>38</v>
      </c>
      <c r="B572" s="6">
        <v>44347</v>
      </c>
      <c r="C572" s="2" t="s">
        <v>17</v>
      </c>
      <c r="D572" s="8">
        <v>-68</v>
      </c>
      <c r="E572" s="8">
        <f>E571+(0-68)</f>
        <v>12889435.249999972</v>
      </c>
    </row>
    <row r="573" spans="1:5" x14ac:dyDescent="0.25">
      <c r="A573" s="2" t="s">
        <v>38</v>
      </c>
      <c r="B573" s="6">
        <v>44347</v>
      </c>
      <c r="C573" s="2" t="s">
        <v>134</v>
      </c>
      <c r="D573" s="8">
        <v>-26.88</v>
      </c>
      <c r="E573" s="8">
        <f>E572+(0-26.88)</f>
        <v>12889408.369999971</v>
      </c>
    </row>
    <row r="574" spans="1:5" x14ac:dyDescent="0.25">
      <c r="A574" s="2" t="s">
        <v>38</v>
      </c>
      <c r="B574" s="6">
        <v>44347</v>
      </c>
      <c r="C574" s="2" t="s">
        <v>135</v>
      </c>
      <c r="D574" s="8">
        <v>-53.75</v>
      </c>
      <c r="E574" s="8">
        <f>E573+(0-53.75)</f>
        <v>12889354.619999971</v>
      </c>
    </row>
    <row r="575" spans="1:5" x14ac:dyDescent="0.25">
      <c r="A575" s="2" t="s">
        <v>38</v>
      </c>
      <c r="B575" s="6">
        <v>44347</v>
      </c>
      <c r="C575" s="2" t="s">
        <v>136</v>
      </c>
      <c r="D575" s="8">
        <v>-26.88</v>
      </c>
      <c r="E575" s="8">
        <f>E574+(0-26.88)</f>
        <v>12889327.73999997</v>
      </c>
    </row>
    <row r="576" spans="1:5" x14ac:dyDescent="0.25">
      <c r="A576" s="2" t="s">
        <v>38</v>
      </c>
      <c r="B576" s="6">
        <v>44347</v>
      </c>
      <c r="C576" s="2" t="s">
        <v>137</v>
      </c>
      <c r="D576" s="8">
        <v>-53.75</v>
      </c>
      <c r="E576" s="8">
        <f>E575+(0-53.75)</f>
        <v>12889273.98999997</v>
      </c>
    </row>
    <row r="577" spans="1:5" x14ac:dyDescent="0.25">
      <c r="A577" s="2" t="s">
        <v>38</v>
      </c>
      <c r="B577" s="6">
        <v>44347</v>
      </c>
      <c r="C577" s="2" t="s">
        <v>17</v>
      </c>
      <c r="D577" s="8">
        <v>-8</v>
      </c>
      <c r="E577" s="8">
        <f>E576+(0-8)</f>
        <v>12889265.98999997</v>
      </c>
    </row>
    <row r="578" spans="1:5" x14ac:dyDescent="0.25">
      <c r="A578" s="2" t="s">
        <v>38</v>
      </c>
      <c r="B578" s="6">
        <v>44347</v>
      </c>
      <c r="C578" s="2" t="s">
        <v>16</v>
      </c>
      <c r="D578" s="8">
        <v>-50</v>
      </c>
      <c r="E578" s="8">
        <f>E577+(0-50)</f>
        <v>12889215.98999997</v>
      </c>
    </row>
    <row r="579" spans="1:5" x14ac:dyDescent="0.25">
      <c r="A579" s="2" t="s">
        <v>38</v>
      </c>
      <c r="B579" s="6">
        <v>44347</v>
      </c>
      <c r="C579" s="2" t="s">
        <v>16</v>
      </c>
      <c r="D579" s="8">
        <v>-450</v>
      </c>
      <c r="E579" s="8">
        <f>E578+(0-450)</f>
        <v>12888765.98999997</v>
      </c>
    </row>
    <row r="580" spans="1:5" x14ac:dyDescent="0.25">
      <c r="A580" s="2" t="s">
        <v>38</v>
      </c>
      <c r="B580" s="6">
        <v>44348</v>
      </c>
      <c r="C580" s="2" t="s">
        <v>24</v>
      </c>
      <c r="D580" s="8">
        <v>-250</v>
      </c>
      <c r="E580" s="8">
        <f>E579+(0-250)</f>
        <v>12888515.98999997</v>
      </c>
    </row>
    <row r="581" spans="1:5" x14ac:dyDescent="0.25">
      <c r="A581" s="2" t="s">
        <v>38</v>
      </c>
      <c r="B581" s="6">
        <v>44349</v>
      </c>
      <c r="C581" s="2" t="s">
        <v>138</v>
      </c>
      <c r="D581" s="8">
        <v>-53.75</v>
      </c>
      <c r="E581" s="8">
        <f>E580+(0-53.75)</f>
        <v>12888462.23999997</v>
      </c>
    </row>
    <row r="582" spans="1:5" x14ac:dyDescent="0.25">
      <c r="A582" s="2" t="s">
        <v>38</v>
      </c>
      <c r="B582" s="6">
        <v>44349</v>
      </c>
      <c r="C582" s="2" t="s">
        <v>17</v>
      </c>
      <c r="D582" s="8">
        <v>-64</v>
      </c>
      <c r="E582" s="8">
        <f>E581+(0-64)</f>
        <v>12888398.23999997</v>
      </c>
    </row>
    <row r="583" spans="1:5" x14ac:dyDescent="0.25">
      <c r="A583" s="2" t="s">
        <v>38</v>
      </c>
      <c r="B583" s="6">
        <v>44349</v>
      </c>
      <c r="C583" s="2" t="s">
        <v>17</v>
      </c>
      <c r="D583" s="8">
        <v>-36</v>
      </c>
      <c r="E583" s="8">
        <f>E582+(0-36)</f>
        <v>12888362.23999997</v>
      </c>
    </row>
    <row r="584" spans="1:5" x14ac:dyDescent="0.25">
      <c r="A584" s="2" t="s">
        <v>38</v>
      </c>
      <c r="B584" s="6">
        <v>44349</v>
      </c>
      <c r="C584" s="2" t="s">
        <v>24</v>
      </c>
      <c r="D584" s="8">
        <v>-150</v>
      </c>
      <c r="E584" s="8">
        <f>E583+(0-150)</f>
        <v>12888212.23999997</v>
      </c>
    </row>
    <row r="585" spans="1:5" x14ac:dyDescent="0.25">
      <c r="A585" s="2" t="s">
        <v>38</v>
      </c>
      <c r="B585" s="6">
        <v>44350</v>
      </c>
      <c r="C585" s="2" t="s">
        <v>139</v>
      </c>
      <c r="D585" s="8">
        <v>-53.75</v>
      </c>
      <c r="E585" s="8">
        <f>E584+(0-53.75)</f>
        <v>12888158.48999997</v>
      </c>
    </row>
    <row r="586" spans="1:5" x14ac:dyDescent="0.25">
      <c r="A586" s="2" t="s">
        <v>38</v>
      </c>
      <c r="B586" s="6">
        <v>44350</v>
      </c>
      <c r="C586" s="2" t="s">
        <v>17</v>
      </c>
      <c r="D586" s="8">
        <v>-28</v>
      </c>
      <c r="E586" s="8">
        <f>E585+(0-28)</f>
        <v>12888130.48999997</v>
      </c>
    </row>
    <row r="587" spans="1:5" x14ac:dyDescent="0.25">
      <c r="A587" s="2" t="s">
        <v>38</v>
      </c>
      <c r="B587" s="6">
        <v>44350</v>
      </c>
      <c r="C587" s="2" t="s">
        <v>24</v>
      </c>
      <c r="D587" s="8">
        <v>-300</v>
      </c>
      <c r="E587" s="8">
        <f>E586+(0-300)</f>
        <v>12887830.48999997</v>
      </c>
    </row>
    <row r="588" spans="1:5" x14ac:dyDescent="0.25">
      <c r="A588" s="2" t="s">
        <v>38</v>
      </c>
      <c r="B588" s="6">
        <v>44350</v>
      </c>
      <c r="C588" s="2" t="s">
        <v>24</v>
      </c>
      <c r="D588" s="8">
        <v>-50</v>
      </c>
      <c r="E588" s="8">
        <f>E587+(0-50)</f>
        <v>12887780.48999997</v>
      </c>
    </row>
    <row r="589" spans="1:5" x14ac:dyDescent="0.25">
      <c r="A589" s="2" t="s">
        <v>38</v>
      </c>
      <c r="B589" s="6">
        <v>44351</v>
      </c>
      <c r="C589" s="2" t="s">
        <v>17</v>
      </c>
      <c r="D589" s="8">
        <v>-76</v>
      </c>
      <c r="E589" s="8">
        <f>E588+(0-76)</f>
        <v>12887704.48999997</v>
      </c>
    </row>
    <row r="590" spans="1:5" x14ac:dyDescent="0.25">
      <c r="A590" s="2" t="s">
        <v>38</v>
      </c>
      <c r="B590" s="6">
        <v>44351</v>
      </c>
      <c r="C590" s="2" t="s">
        <v>24</v>
      </c>
      <c r="D590" s="8">
        <v>-250</v>
      </c>
      <c r="E590" s="8">
        <f>E589+(0-250)</f>
        <v>12887454.48999997</v>
      </c>
    </row>
    <row r="591" spans="1:5" x14ac:dyDescent="0.25">
      <c r="A591" s="2" t="s">
        <v>38</v>
      </c>
      <c r="B591" s="6">
        <v>44351</v>
      </c>
      <c r="C591" s="2" t="s">
        <v>24</v>
      </c>
      <c r="D591" s="8">
        <v>-100</v>
      </c>
      <c r="E591" s="8">
        <f>E590+(0-100)</f>
        <v>12887354.48999997</v>
      </c>
    </row>
    <row r="592" spans="1:5" x14ac:dyDescent="0.25">
      <c r="A592" s="2" t="s">
        <v>38</v>
      </c>
      <c r="B592" s="6">
        <v>44351</v>
      </c>
      <c r="C592" s="2" t="s">
        <v>17</v>
      </c>
      <c r="D592" s="8">
        <v>-28</v>
      </c>
      <c r="E592" s="8">
        <f>E591+(0-28)</f>
        <v>12887326.48999997</v>
      </c>
    </row>
    <row r="593" spans="1:5" x14ac:dyDescent="0.25">
      <c r="A593" s="2" t="s">
        <v>38</v>
      </c>
      <c r="B593" s="6">
        <v>44354</v>
      </c>
      <c r="C593" s="2" t="s">
        <v>17</v>
      </c>
      <c r="D593" s="8">
        <v>-8</v>
      </c>
      <c r="E593" s="8">
        <f>E592+(0-8)</f>
        <v>12887318.48999997</v>
      </c>
    </row>
    <row r="594" spans="1:5" x14ac:dyDescent="0.25">
      <c r="A594" s="2" t="s">
        <v>38</v>
      </c>
      <c r="B594" s="6">
        <v>44354</v>
      </c>
      <c r="C594" s="2" t="s">
        <v>129</v>
      </c>
      <c r="D594" s="8">
        <v>-53.75</v>
      </c>
      <c r="E594" s="8">
        <f>E593+(0-53.75)</f>
        <v>12887264.73999997</v>
      </c>
    </row>
    <row r="595" spans="1:5" x14ac:dyDescent="0.25">
      <c r="A595" s="2" t="s">
        <v>38</v>
      </c>
      <c r="B595" s="6">
        <v>44354</v>
      </c>
      <c r="C595" s="2" t="s">
        <v>17</v>
      </c>
      <c r="D595" s="8">
        <v>-4</v>
      </c>
      <c r="E595" s="8">
        <f>E594+(0-4)</f>
        <v>12887260.73999997</v>
      </c>
    </row>
    <row r="596" spans="1:5" x14ac:dyDescent="0.25">
      <c r="A596" s="2" t="s">
        <v>38</v>
      </c>
      <c r="B596" s="6">
        <v>44354</v>
      </c>
      <c r="C596" s="2" t="s">
        <v>140</v>
      </c>
      <c r="D596" s="8">
        <v>-26.88</v>
      </c>
      <c r="E596" s="8">
        <f>E595+(0-26.88)</f>
        <v>12887233.85999997</v>
      </c>
    </row>
    <row r="597" spans="1:5" x14ac:dyDescent="0.25">
      <c r="A597" s="2" t="s">
        <v>38</v>
      </c>
      <c r="B597" s="6">
        <v>44354</v>
      </c>
      <c r="C597" s="2" t="s">
        <v>24</v>
      </c>
      <c r="D597" s="8">
        <v>-250</v>
      </c>
      <c r="E597" s="8">
        <f>E596+(0-250)</f>
        <v>12886983.85999997</v>
      </c>
    </row>
    <row r="598" spans="1:5" x14ac:dyDescent="0.25">
      <c r="A598" s="2" t="s">
        <v>38</v>
      </c>
      <c r="B598" s="6">
        <v>44355</v>
      </c>
      <c r="C598" s="2" t="s">
        <v>17</v>
      </c>
      <c r="D598" s="8">
        <v>-44</v>
      </c>
      <c r="E598" s="8">
        <f>E597+(0-44)</f>
        <v>12886939.85999997</v>
      </c>
    </row>
    <row r="599" spans="1:5" x14ac:dyDescent="0.25">
      <c r="A599" s="2" t="s">
        <v>38</v>
      </c>
      <c r="B599" s="6">
        <v>44355</v>
      </c>
      <c r="C599" s="2" t="s">
        <v>141</v>
      </c>
      <c r="D599" s="8">
        <v>-53.75</v>
      </c>
      <c r="E599" s="8">
        <f>E598+(0-53.75)</f>
        <v>12886886.10999997</v>
      </c>
    </row>
    <row r="600" spans="1:5" x14ac:dyDescent="0.25">
      <c r="A600" s="2" t="s">
        <v>38</v>
      </c>
      <c r="B600" s="6">
        <v>44355</v>
      </c>
      <c r="C600" s="2" t="s">
        <v>24</v>
      </c>
      <c r="D600" s="8">
        <v>-50</v>
      </c>
      <c r="E600" s="8">
        <f>E599+(0-50)</f>
        <v>12886836.10999997</v>
      </c>
    </row>
    <row r="601" spans="1:5" x14ac:dyDescent="0.25">
      <c r="A601" s="2" t="s">
        <v>38</v>
      </c>
      <c r="B601" s="6">
        <v>44355</v>
      </c>
      <c r="C601" s="2" t="s">
        <v>24</v>
      </c>
      <c r="D601" s="8">
        <v>-50</v>
      </c>
      <c r="E601" s="8">
        <f>E600+(0-50)</f>
        <v>12886786.10999997</v>
      </c>
    </row>
    <row r="602" spans="1:5" x14ac:dyDescent="0.25">
      <c r="A602" s="2" t="s">
        <v>38</v>
      </c>
      <c r="B602" s="6">
        <v>44355</v>
      </c>
      <c r="C602" s="2" t="s">
        <v>24</v>
      </c>
      <c r="D602" s="8">
        <v>-50</v>
      </c>
      <c r="E602" s="8">
        <f>E601+(0-50)</f>
        <v>12886736.10999997</v>
      </c>
    </row>
    <row r="603" spans="1:5" x14ac:dyDescent="0.25">
      <c r="A603" s="2" t="s">
        <v>38</v>
      </c>
      <c r="B603" s="6">
        <v>44355</v>
      </c>
      <c r="C603" s="2" t="s">
        <v>24</v>
      </c>
      <c r="D603" s="8">
        <v>-50</v>
      </c>
      <c r="E603" s="8">
        <f>E602+(0-50)</f>
        <v>12886686.10999997</v>
      </c>
    </row>
    <row r="604" spans="1:5" x14ac:dyDescent="0.25">
      <c r="A604" s="2" t="s">
        <v>38</v>
      </c>
      <c r="B604" s="6">
        <v>44355</v>
      </c>
      <c r="C604" s="2" t="s">
        <v>24</v>
      </c>
      <c r="D604" s="8">
        <v>-400</v>
      </c>
      <c r="E604" s="8">
        <f>E603+(0-400)</f>
        <v>12886286.10999997</v>
      </c>
    </row>
    <row r="605" spans="1:5" x14ac:dyDescent="0.25">
      <c r="A605" s="2" t="s">
        <v>38</v>
      </c>
      <c r="B605" s="6">
        <v>44356</v>
      </c>
      <c r="C605" s="2" t="s">
        <v>17</v>
      </c>
      <c r="D605" s="8">
        <v>-80</v>
      </c>
      <c r="E605" s="8">
        <f>E604+(0-80)</f>
        <v>12886206.10999997</v>
      </c>
    </row>
    <row r="606" spans="1:5" x14ac:dyDescent="0.25">
      <c r="A606" s="2" t="s">
        <v>38</v>
      </c>
      <c r="B606" s="6">
        <v>44356</v>
      </c>
      <c r="C606" s="2" t="s">
        <v>24</v>
      </c>
      <c r="D606" s="8">
        <v>-50</v>
      </c>
      <c r="E606" s="8">
        <f>E605+(0-50)</f>
        <v>12886156.10999997</v>
      </c>
    </row>
    <row r="607" spans="1:5" x14ac:dyDescent="0.25">
      <c r="A607" s="2" t="s">
        <v>38</v>
      </c>
      <c r="B607" s="6">
        <v>44356</v>
      </c>
      <c r="C607" s="2" t="s">
        <v>24</v>
      </c>
      <c r="D607" s="8">
        <v>-350</v>
      </c>
      <c r="E607" s="8">
        <f>E606+(0-350)</f>
        <v>12885806.10999997</v>
      </c>
    </row>
    <row r="608" spans="1:5" x14ac:dyDescent="0.25">
      <c r="A608" s="2" t="s">
        <v>38</v>
      </c>
      <c r="B608" s="6">
        <v>44357</v>
      </c>
      <c r="C608" s="2" t="s">
        <v>17</v>
      </c>
      <c r="D608" s="8">
        <v>-44</v>
      </c>
      <c r="E608" s="8">
        <f>E607+(0-44)</f>
        <v>12885762.10999997</v>
      </c>
    </row>
    <row r="609" spans="1:5" x14ac:dyDescent="0.25">
      <c r="A609" s="2" t="s">
        <v>38</v>
      </c>
      <c r="B609" s="6">
        <v>44357</v>
      </c>
      <c r="C609" s="2" t="s">
        <v>24</v>
      </c>
      <c r="D609" s="8">
        <v>-350</v>
      </c>
      <c r="E609" s="8">
        <f>E608+(0-350)</f>
        <v>12885412.10999997</v>
      </c>
    </row>
    <row r="610" spans="1:5" x14ac:dyDescent="0.25">
      <c r="A610" s="2" t="s">
        <v>38</v>
      </c>
      <c r="B610" s="6">
        <v>44357</v>
      </c>
      <c r="C610" s="2" t="s">
        <v>24</v>
      </c>
      <c r="D610" s="8">
        <v>-50</v>
      </c>
      <c r="E610" s="8">
        <f>E609+(0-50)</f>
        <v>12885362.10999997</v>
      </c>
    </row>
    <row r="611" spans="1:5" x14ac:dyDescent="0.25">
      <c r="A611" s="2" t="s">
        <v>38</v>
      </c>
      <c r="B611" s="6">
        <v>44357</v>
      </c>
      <c r="C611" s="2" t="s">
        <v>142</v>
      </c>
      <c r="D611" s="8">
        <v>-53.75</v>
      </c>
      <c r="E611" s="8">
        <f>E610+(0-53.75)</f>
        <v>12885308.35999997</v>
      </c>
    </row>
    <row r="612" spans="1:5" x14ac:dyDescent="0.25">
      <c r="A612" s="2" t="s">
        <v>38</v>
      </c>
      <c r="B612" s="6">
        <v>44358</v>
      </c>
      <c r="C612" s="2" t="s">
        <v>19</v>
      </c>
      <c r="D612" s="8">
        <v>-68</v>
      </c>
      <c r="E612" s="8">
        <f>E611+(0-68)</f>
        <v>12885240.35999997</v>
      </c>
    </row>
    <row r="613" spans="1:5" x14ac:dyDescent="0.25">
      <c r="A613" s="2" t="s">
        <v>38</v>
      </c>
      <c r="B613" s="6">
        <v>44358</v>
      </c>
      <c r="C613" s="2" t="s">
        <v>143</v>
      </c>
      <c r="D613" s="8">
        <v>-53.75</v>
      </c>
      <c r="E613" s="8">
        <f>E612+(0-53.75)</f>
        <v>12885186.60999997</v>
      </c>
    </row>
    <row r="614" spans="1:5" x14ac:dyDescent="0.25">
      <c r="A614" s="2" t="s">
        <v>38</v>
      </c>
      <c r="B614" s="6">
        <v>44358</v>
      </c>
      <c r="C614" s="2" t="s">
        <v>24</v>
      </c>
      <c r="D614" s="8">
        <v>-150</v>
      </c>
      <c r="E614" s="8">
        <f>E613+(0-150)</f>
        <v>12885036.60999997</v>
      </c>
    </row>
    <row r="615" spans="1:5" x14ac:dyDescent="0.25">
      <c r="A615" s="2" t="s">
        <v>38</v>
      </c>
      <c r="B615" s="6">
        <v>44362</v>
      </c>
      <c r="C615" s="2" t="s">
        <v>17</v>
      </c>
      <c r="D615" s="8">
        <v>-44</v>
      </c>
      <c r="E615" s="8">
        <f>E614+(0-44)</f>
        <v>12884992.60999997</v>
      </c>
    </row>
    <row r="616" spans="1:5" x14ac:dyDescent="0.25">
      <c r="A616" s="2" t="s">
        <v>38</v>
      </c>
      <c r="B616" s="6">
        <v>44362</v>
      </c>
      <c r="C616" s="2" t="s">
        <v>17</v>
      </c>
      <c r="D616" s="8">
        <v>-4</v>
      </c>
      <c r="E616" s="8">
        <f>E615+(0-4)</f>
        <v>12884988.60999997</v>
      </c>
    </row>
    <row r="617" spans="1:5" x14ac:dyDescent="0.25">
      <c r="A617" s="2" t="s">
        <v>38</v>
      </c>
      <c r="B617" s="6">
        <v>44362</v>
      </c>
      <c r="C617" s="2" t="s">
        <v>144</v>
      </c>
      <c r="D617" s="8">
        <v>-26.88</v>
      </c>
      <c r="E617" s="8">
        <f>E616+(0-26.88)</f>
        <v>12884961.729999969</v>
      </c>
    </row>
    <row r="618" spans="1:5" x14ac:dyDescent="0.25">
      <c r="A618" s="2" t="s">
        <v>38</v>
      </c>
      <c r="B618" s="6">
        <v>44362</v>
      </c>
      <c r="C618" s="2" t="s">
        <v>31</v>
      </c>
      <c r="D618" s="8">
        <v>-53.75</v>
      </c>
      <c r="E618" s="8">
        <f>E617+(0-53.75)</f>
        <v>12884907.979999969</v>
      </c>
    </row>
    <row r="619" spans="1:5" x14ac:dyDescent="0.25">
      <c r="A619" s="2" t="s">
        <v>38</v>
      </c>
      <c r="B619" s="6">
        <v>44362</v>
      </c>
      <c r="C619" s="2" t="s">
        <v>24</v>
      </c>
      <c r="D619" s="8">
        <v>-550</v>
      </c>
      <c r="E619" s="8">
        <f>E618+(0-550)</f>
        <v>12884357.979999969</v>
      </c>
    </row>
    <row r="620" spans="1:5" x14ac:dyDescent="0.25">
      <c r="A620" s="2" t="s">
        <v>38</v>
      </c>
      <c r="B620" s="6">
        <v>44362</v>
      </c>
      <c r="C620" s="2" t="s">
        <v>24</v>
      </c>
      <c r="D620" s="8">
        <v>-50</v>
      </c>
      <c r="E620" s="8">
        <f>E619+(0-50)</f>
        <v>12884307.979999969</v>
      </c>
    </row>
    <row r="621" spans="1:5" x14ac:dyDescent="0.25">
      <c r="A621" s="2" t="s">
        <v>38</v>
      </c>
      <c r="B621" s="6">
        <v>44362</v>
      </c>
      <c r="C621" s="2" t="s">
        <v>17</v>
      </c>
      <c r="D621" s="8">
        <v>-28</v>
      </c>
      <c r="E621" s="8">
        <f>E620+(0-28)</f>
        <v>12884279.979999969</v>
      </c>
    </row>
    <row r="622" spans="1:5" x14ac:dyDescent="0.25">
      <c r="A622" s="2" t="s">
        <v>38</v>
      </c>
      <c r="B622" s="6">
        <v>44363</v>
      </c>
      <c r="C622" s="2" t="s">
        <v>24</v>
      </c>
      <c r="D622" s="8">
        <v>-50</v>
      </c>
      <c r="E622" s="8">
        <f>E621+(0-50)</f>
        <v>12884229.979999969</v>
      </c>
    </row>
    <row r="623" spans="1:5" x14ac:dyDescent="0.25">
      <c r="A623" s="2" t="s">
        <v>38</v>
      </c>
      <c r="B623" s="6">
        <v>44363</v>
      </c>
      <c r="C623" s="2" t="s">
        <v>24</v>
      </c>
      <c r="D623" s="8">
        <v>-150</v>
      </c>
      <c r="E623" s="8">
        <f>E622+(0-150)</f>
        <v>12884079.979999969</v>
      </c>
    </row>
    <row r="624" spans="1:5" x14ac:dyDescent="0.25">
      <c r="A624" s="2" t="s">
        <v>38</v>
      </c>
      <c r="B624" s="6">
        <v>44363</v>
      </c>
      <c r="C624" s="2" t="s">
        <v>17</v>
      </c>
      <c r="D624" s="8">
        <v>-40</v>
      </c>
      <c r="E624" s="8">
        <f>E623+(0-40)</f>
        <v>12884039.979999969</v>
      </c>
    </row>
    <row r="625" spans="1:5" x14ac:dyDescent="0.25">
      <c r="A625" s="2" t="s">
        <v>38</v>
      </c>
      <c r="B625" s="6">
        <v>44364</v>
      </c>
      <c r="C625" s="2" t="s">
        <v>17</v>
      </c>
      <c r="D625" s="8">
        <v>-24</v>
      </c>
      <c r="E625" s="8">
        <f>E624+(0-24)</f>
        <v>12884015.979999969</v>
      </c>
    </row>
    <row r="626" spans="1:5" x14ac:dyDescent="0.25">
      <c r="A626" s="2" t="s">
        <v>38</v>
      </c>
      <c r="B626" s="6">
        <v>44364</v>
      </c>
      <c r="C626" s="2" t="s">
        <v>24</v>
      </c>
      <c r="D626" s="8">
        <v>-50</v>
      </c>
      <c r="E626" s="8">
        <f>E625+(0-50)</f>
        <v>12883965.979999969</v>
      </c>
    </row>
    <row r="627" spans="1:5" x14ac:dyDescent="0.25">
      <c r="A627" s="2" t="s">
        <v>38</v>
      </c>
      <c r="B627" s="6">
        <v>44364</v>
      </c>
      <c r="C627" s="2" t="s">
        <v>24</v>
      </c>
      <c r="D627" s="8">
        <v>-50</v>
      </c>
      <c r="E627" s="8">
        <f>E626+(0-50)</f>
        <v>12883915.979999969</v>
      </c>
    </row>
    <row r="628" spans="1:5" x14ac:dyDescent="0.25">
      <c r="A628" s="2" t="s">
        <v>38</v>
      </c>
      <c r="B628" s="6">
        <v>44364</v>
      </c>
      <c r="C628" s="2" t="s">
        <v>145</v>
      </c>
      <c r="D628" s="8">
        <v>-10.75</v>
      </c>
      <c r="E628" s="8">
        <f>E627+(0-10.75)</f>
        <v>12883905.229999969</v>
      </c>
    </row>
    <row r="629" spans="1:5" x14ac:dyDescent="0.25">
      <c r="A629" s="2" t="s">
        <v>38</v>
      </c>
      <c r="B629" s="6">
        <v>44364</v>
      </c>
      <c r="C629" s="2" t="s">
        <v>24</v>
      </c>
      <c r="D629" s="8">
        <v>-450</v>
      </c>
      <c r="E629" s="8">
        <f>E628+(0-450)</f>
        <v>12883455.229999969</v>
      </c>
    </row>
    <row r="630" spans="1:5" x14ac:dyDescent="0.25">
      <c r="A630" s="2" t="s">
        <v>38</v>
      </c>
      <c r="B630" s="6">
        <v>44364</v>
      </c>
      <c r="C630" s="2" t="s">
        <v>24</v>
      </c>
      <c r="D630" s="8">
        <v>-50</v>
      </c>
      <c r="E630" s="8">
        <f>E629+(0-50)</f>
        <v>12883405.229999969</v>
      </c>
    </row>
    <row r="631" spans="1:5" x14ac:dyDescent="0.25">
      <c r="A631" s="2" t="s">
        <v>38</v>
      </c>
      <c r="B631" s="6">
        <v>44364</v>
      </c>
      <c r="C631" s="2" t="s">
        <v>16</v>
      </c>
      <c r="D631" s="8">
        <v>-50</v>
      </c>
      <c r="E631" s="8">
        <f>E630+(0-50)</f>
        <v>12883355.229999969</v>
      </c>
    </row>
    <row r="632" spans="1:5" x14ac:dyDescent="0.25">
      <c r="A632" s="2" t="s">
        <v>38</v>
      </c>
      <c r="B632" s="6">
        <v>44365</v>
      </c>
      <c r="C632" s="2" t="s">
        <v>17</v>
      </c>
      <c r="D632" s="8">
        <v>-84</v>
      </c>
      <c r="E632" s="8">
        <f>E631+(0-84)</f>
        <v>12883271.229999969</v>
      </c>
    </row>
    <row r="633" spans="1:5" x14ac:dyDescent="0.25">
      <c r="A633" s="2" t="s">
        <v>38</v>
      </c>
      <c r="B633" s="6">
        <v>44365</v>
      </c>
      <c r="C633" s="2" t="s">
        <v>146</v>
      </c>
      <c r="D633" s="8">
        <v>-53.75</v>
      </c>
      <c r="E633" s="8">
        <f>E632+(0-53.75)</f>
        <v>12883217.479999969</v>
      </c>
    </row>
    <row r="634" spans="1:5" x14ac:dyDescent="0.25">
      <c r="A634" s="2" t="s">
        <v>38</v>
      </c>
      <c r="B634" s="6">
        <v>44365</v>
      </c>
      <c r="C634" s="2" t="s">
        <v>24</v>
      </c>
      <c r="D634" s="8">
        <v>-450</v>
      </c>
      <c r="E634" s="8">
        <f>E633+(0-450)</f>
        <v>12882767.479999969</v>
      </c>
    </row>
    <row r="635" spans="1:5" x14ac:dyDescent="0.25">
      <c r="A635" s="2" t="s">
        <v>38</v>
      </c>
      <c r="B635" s="6">
        <v>44365</v>
      </c>
      <c r="C635" s="2" t="s">
        <v>24</v>
      </c>
      <c r="D635" s="8">
        <v>-50</v>
      </c>
      <c r="E635" s="8">
        <f>E634+(0-50)</f>
        <v>12882717.479999969</v>
      </c>
    </row>
    <row r="636" spans="1:5" x14ac:dyDescent="0.25">
      <c r="A636" s="2" t="s">
        <v>38</v>
      </c>
      <c r="B636" s="6">
        <v>44368</v>
      </c>
      <c r="C636" s="2" t="s">
        <v>17</v>
      </c>
      <c r="D636" s="8">
        <v>-60</v>
      </c>
      <c r="E636" s="8">
        <f>E635+(0-60)</f>
        <v>12882657.479999969</v>
      </c>
    </row>
    <row r="637" spans="1:5" x14ac:dyDescent="0.25">
      <c r="A637" s="2" t="s">
        <v>38</v>
      </c>
      <c r="B637" s="6">
        <v>44368</v>
      </c>
      <c r="C637" s="2" t="s">
        <v>17</v>
      </c>
      <c r="D637" s="8">
        <v>-4</v>
      </c>
      <c r="E637" s="8">
        <f>E636+(0-4)</f>
        <v>12882653.479999969</v>
      </c>
    </row>
    <row r="638" spans="1:5" x14ac:dyDescent="0.25">
      <c r="A638" s="2" t="s">
        <v>38</v>
      </c>
      <c r="B638" s="6">
        <v>44368</v>
      </c>
      <c r="C638" s="2" t="s">
        <v>24</v>
      </c>
      <c r="D638" s="8">
        <v>-100</v>
      </c>
      <c r="E638" s="8">
        <f>E637+(0-100)</f>
        <v>12882553.479999969</v>
      </c>
    </row>
    <row r="639" spans="1:5" x14ac:dyDescent="0.25">
      <c r="A639" s="2" t="s">
        <v>38</v>
      </c>
      <c r="B639" s="6">
        <v>44378</v>
      </c>
      <c r="C639" s="2" t="s">
        <v>147</v>
      </c>
      <c r="D639" s="8">
        <v>-53.75</v>
      </c>
      <c r="E639" s="8">
        <f>E638+(0-53.75)</f>
        <v>12882499.729999969</v>
      </c>
    </row>
    <row r="640" spans="1:5" x14ac:dyDescent="0.25">
      <c r="A640" s="2" t="s">
        <v>38</v>
      </c>
      <c r="B640" s="6">
        <v>44378</v>
      </c>
      <c r="C640" s="2" t="s">
        <v>148</v>
      </c>
      <c r="D640" s="8">
        <v>-26.88</v>
      </c>
      <c r="E640" s="8">
        <f>E639+(0-26.88)</f>
        <v>12882472.849999968</v>
      </c>
    </row>
    <row r="641" spans="1:5" x14ac:dyDescent="0.25">
      <c r="A641" s="2" t="s">
        <v>38</v>
      </c>
      <c r="B641" s="6">
        <v>44378</v>
      </c>
      <c r="C641" s="2" t="s">
        <v>149</v>
      </c>
      <c r="D641" s="8">
        <v>-26.88</v>
      </c>
      <c r="E641" s="8">
        <f>E640+(0-26.88)</f>
        <v>12882445.969999967</v>
      </c>
    </row>
    <row r="642" spans="1:5" x14ac:dyDescent="0.25">
      <c r="A642" s="2" t="s">
        <v>38</v>
      </c>
      <c r="B642" s="6">
        <v>44378</v>
      </c>
      <c r="C642" s="2" t="s">
        <v>24</v>
      </c>
      <c r="D642" s="8">
        <v>-50</v>
      </c>
      <c r="E642" s="8">
        <f>E641+(0-50)</f>
        <v>12882395.969999967</v>
      </c>
    </row>
    <row r="643" spans="1:5" x14ac:dyDescent="0.25">
      <c r="A643" s="2" t="s">
        <v>38</v>
      </c>
      <c r="B643" s="6">
        <v>44378</v>
      </c>
      <c r="C643" s="2" t="s">
        <v>24</v>
      </c>
      <c r="D643" s="8">
        <v>-50</v>
      </c>
      <c r="E643" s="8">
        <f>E642+(0-50)</f>
        <v>12882345.969999967</v>
      </c>
    </row>
    <row r="644" spans="1:5" x14ac:dyDescent="0.25">
      <c r="A644" s="2" t="s">
        <v>38</v>
      </c>
      <c r="B644" s="6">
        <v>44378</v>
      </c>
      <c r="C644" s="2" t="s">
        <v>24</v>
      </c>
      <c r="D644" s="8">
        <v>-400</v>
      </c>
      <c r="E644" s="8">
        <f>E643+(0-400)</f>
        <v>12881945.969999967</v>
      </c>
    </row>
    <row r="645" spans="1:5" x14ac:dyDescent="0.25">
      <c r="A645" s="2" t="s">
        <v>38</v>
      </c>
      <c r="B645" s="6">
        <v>44379</v>
      </c>
      <c r="C645" s="2" t="s">
        <v>150</v>
      </c>
      <c r="D645" s="8">
        <v>-53.75</v>
      </c>
      <c r="E645" s="8">
        <f>E644+(0-53.75)</f>
        <v>12881892.219999967</v>
      </c>
    </row>
    <row r="646" spans="1:5" x14ac:dyDescent="0.25">
      <c r="A646" s="2" t="s">
        <v>38</v>
      </c>
      <c r="B646" s="6">
        <v>44379</v>
      </c>
      <c r="C646" s="2" t="s">
        <v>151</v>
      </c>
      <c r="D646" s="8">
        <v>-53.75</v>
      </c>
      <c r="E646" s="8">
        <f>E645+(0-53.75)</f>
        <v>12881838.469999967</v>
      </c>
    </row>
    <row r="647" spans="1:5" x14ac:dyDescent="0.25">
      <c r="A647" s="2" t="s">
        <v>38</v>
      </c>
      <c r="B647" s="6">
        <v>44379</v>
      </c>
      <c r="C647" s="2" t="s">
        <v>24</v>
      </c>
      <c r="D647" s="8">
        <v>-200</v>
      </c>
      <c r="E647" s="8">
        <f>E646+(0-200)</f>
        <v>12881638.469999967</v>
      </c>
    </row>
    <row r="648" spans="1:5" x14ac:dyDescent="0.25">
      <c r="A648" s="2" t="s">
        <v>38</v>
      </c>
      <c r="B648" s="6">
        <v>44379</v>
      </c>
      <c r="C648" s="2" t="s">
        <v>24</v>
      </c>
      <c r="D648" s="8">
        <v>-16</v>
      </c>
      <c r="E648" s="8">
        <f>E647+(0-16)</f>
        <v>12881622.469999967</v>
      </c>
    </row>
    <row r="649" spans="1:5" x14ac:dyDescent="0.25">
      <c r="A649" s="2" t="s">
        <v>38</v>
      </c>
      <c r="B649" s="6">
        <v>44382</v>
      </c>
      <c r="C649" s="2" t="s">
        <v>152</v>
      </c>
      <c r="D649" s="8">
        <v>-53.75</v>
      </c>
      <c r="E649" s="8">
        <f>E648+(0-53.75)</f>
        <v>12881568.719999967</v>
      </c>
    </row>
    <row r="650" spans="1:5" x14ac:dyDescent="0.25">
      <c r="A650" s="2" t="s">
        <v>38</v>
      </c>
      <c r="B650" s="6">
        <v>44382</v>
      </c>
      <c r="C650" s="2" t="s">
        <v>17</v>
      </c>
      <c r="D650" s="8">
        <v>-64</v>
      </c>
      <c r="E650" s="8">
        <f>E649+(0-64)</f>
        <v>12881504.719999967</v>
      </c>
    </row>
    <row r="651" spans="1:5" x14ac:dyDescent="0.25">
      <c r="A651" s="2" t="s">
        <v>38</v>
      </c>
      <c r="B651" s="6">
        <v>44382</v>
      </c>
      <c r="C651" s="2" t="s">
        <v>17</v>
      </c>
      <c r="D651" s="8">
        <v>-52</v>
      </c>
      <c r="E651" s="8">
        <f>E650+(0-52)</f>
        <v>12881452.719999967</v>
      </c>
    </row>
    <row r="652" spans="1:5" x14ac:dyDescent="0.25">
      <c r="A652" s="2" t="s">
        <v>38</v>
      </c>
      <c r="B652" s="6">
        <v>44382</v>
      </c>
      <c r="C652" s="2" t="s">
        <v>131</v>
      </c>
      <c r="D652" s="8">
        <v>-12</v>
      </c>
      <c r="E652" s="8">
        <f>E651+(0-12)</f>
        <v>12881440.719999967</v>
      </c>
    </row>
    <row r="653" spans="1:5" x14ac:dyDescent="0.25">
      <c r="A653" s="2" t="s">
        <v>38</v>
      </c>
      <c r="B653" s="6">
        <v>44382</v>
      </c>
      <c r="C653" s="2" t="s">
        <v>24</v>
      </c>
      <c r="D653" s="8">
        <v>-150</v>
      </c>
      <c r="E653" s="8">
        <f>E652+(0-150)</f>
        <v>12881290.719999967</v>
      </c>
    </row>
    <row r="654" spans="1:5" x14ac:dyDescent="0.25">
      <c r="A654" s="2" t="s">
        <v>38</v>
      </c>
      <c r="B654" s="6">
        <v>44383</v>
      </c>
      <c r="C654" s="2" t="s">
        <v>24</v>
      </c>
      <c r="D654" s="8">
        <v>-50</v>
      </c>
      <c r="E654" s="8">
        <f>E653+(0-50)</f>
        <v>12881240.719999967</v>
      </c>
    </row>
    <row r="655" spans="1:5" x14ac:dyDescent="0.25">
      <c r="A655" s="2" t="s">
        <v>38</v>
      </c>
      <c r="B655" s="6">
        <v>44383</v>
      </c>
      <c r="C655" s="2" t="s">
        <v>24</v>
      </c>
      <c r="D655" s="8">
        <v>-44</v>
      </c>
      <c r="E655" s="8">
        <f>E654+(0-44)</f>
        <v>12881196.719999967</v>
      </c>
    </row>
    <row r="656" spans="1:5" x14ac:dyDescent="0.25">
      <c r="A656" s="2" t="s">
        <v>38</v>
      </c>
      <c r="B656" s="6">
        <v>44383</v>
      </c>
      <c r="C656" s="2" t="s">
        <v>24</v>
      </c>
      <c r="D656" s="8">
        <v>-200</v>
      </c>
      <c r="E656" s="8">
        <f>E655+(0-200)</f>
        <v>12880996.719999967</v>
      </c>
    </row>
    <row r="657" spans="1:5" x14ac:dyDescent="0.25">
      <c r="A657" s="2" t="s">
        <v>38</v>
      </c>
      <c r="B657" s="6">
        <v>44383</v>
      </c>
      <c r="C657" s="2" t="s">
        <v>24</v>
      </c>
      <c r="D657" s="8">
        <v>-100</v>
      </c>
      <c r="E657" s="8">
        <f>E656+(0-100)</f>
        <v>12880896.719999967</v>
      </c>
    </row>
    <row r="658" spans="1:5" x14ac:dyDescent="0.25">
      <c r="A658" s="2" t="s">
        <v>38</v>
      </c>
      <c r="B658" s="6">
        <v>44384</v>
      </c>
      <c r="C658" s="2" t="s">
        <v>19</v>
      </c>
      <c r="D658" s="8">
        <v>-28</v>
      </c>
      <c r="E658" s="8">
        <f>E657+(0-28)</f>
        <v>12880868.719999967</v>
      </c>
    </row>
    <row r="659" spans="1:5" x14ac:dyDescent="0.25">
      <c r="A659" s="2" t="s">
        <v>38</v>
      </c>
      <c r="B659" s="6">
        <v>44384</v>
      </c>
      <c r="C659" s="2" t="s">
        <v>24</v>
      </c>
      <c r="D659" s="8">
        <v>-150</v>
      </c>
      <c r="E659" s="8">
        <f>E658+(0-150)</f>
        <v>12880718.719999967</v>
      </c>
    </row>
    <row r="660" spans="1:5" x14ac:dyDescent="0.25">
      <c r="A660" s="2" t="s">
        <v>38</v>
      </c>
      <c r="B660" s="6">
        <v>44384</v>
      </c>
      <c r="C660" s="2" t="s">
        <v>24</v>
      </c>
      <c r="D660" s="8">
        <v>-50</v>
      </c>
      <c r="E660" s="8">
        <f>E659+(0-50)</f>
        <v>12880668.719999967</v>
      </c>
    </row>
    <row r="661" spans="1:5" x14ac:dyDescent="0.25">
      <c r="A661" s="2" t="s">
        <v>38</v>
      </c>
      <c r="B661" s="6">
        <v>44384</v>
      </c>
      <c r="C661" s="2" t="s">
        <v>24</v>
      </c>
      <c r="D661" s="8">
        <v>-100</v>
      </c>
      <c r="E661" s="8">
        <f>E660+(0-100)</f>
        <v>12880568.719999967</v>
      </c>
    </row>
    <row r="662" spans="1:5" x14ac:dyDescent="0.25">
      <c r="A662" s="2" t="s">
        <v>38</v>
      </c>
      <c r="B662" s="6">
        <v>44385</v>
      </c>
      <c r="C662" s="2" t="s">
        <v>17</v>
      </c>
      <c r="D662" s="8">
        <v>-24</v>
      </c>
      <c r="E662" s="8">
        <f>E661+(0-24)</f>
        <v>12880544.719999967</v>
      </c>
    </row>
    <row r="663" spans="1:5" x14ac:dyDescent="0.25">
      <c r="A663" s="2" t="s">
        <v>38</v>
      </c>
      <c r="B663" s="6">
        <v>44385</v>
      </c>
      <c r="C663" s="2" t="s">
        <v>153</v>
      </c>
      <c r="D663" s="8">
        <v>-26.88</v>
      </c>
      <c r="E663" s="8">
        <f>E662+(0-26.88)</f>
        <v>12880517.839999966</v>
      </c>
    </row>
    <row r="664" spans="1:5" x14ac:dyDescent="0.25">
      <c r="A664" s="2" t="s">
        <v>38</v>
      </c>
      <c r="B664" s="6">
        <v>44385</v>
      </c>
      <c r="C664" s="2" t="s">
        <v>154</v>
      </c>
      <c r="D664" s="8">
        <v>-500</v>
      </c>
      <c r="E664" s="8">
        <f>E663+(0-500)</f>
        <v>12880017.839999966</v>
      </c>
    </row>
    <row r="665" spans="1:5" x14ac:dyDescent="0.25">
      <c r="A665" s="2" t="s">
        <v>38</v>
      </c>
      <c r="B665" s="6">
        <v>44385</v>
      </c>
      <c r="C665" s="2" t="s">
        <v>155</v>
      </c>
      <c r="D665" s="8">
        <v>-37.5</v>
      </c>
      <c r="E665" s="8">
        <f>E664+(0-37.5)</f>
        <v>12879980.339999966</v>
      </c>
    </row>
    <row r="666" spans="1:5" x14ac:dyDescent="0.25">
      <c r="A666" s="2" t="s">
        <v>38</v>
      </c>
      <c r="B666" s="6">
        <v>44385</v>
      </c>
      <c r="C666" s="2" t="s">
        <v>24</v>
      </c>
      <c r="D666" s="8">
        <v>-500</v>
      </c>
      <c r="E666" s="8">
        <f>E665+(0-500)</f>
        <v>12879480.339999966</v>
      </c>
    </row>
    <row r="667" spans="1:5" x14ac:dyDescent="0.25">
      <c r="A667" s="2" t="s">
        <v>38</v>
      </c>
      <c r="B667" s="6">
        <v>44386</v>
      </c>
      <c r="C667" s="2" t="s">
        <v>156</v>
      </c>
      <c r="D667" s="8">
        <v>-53.75</v>
      </c>
      <c r="E667" s="8">
        <f>E666+(0-53.75)</f>
        <v>12879426.589999966</v>
      </c>
    </row>
    <row r="668" spans="1:5" x14ac:dyDescent="0.25">
      <c r="A668" s="2" t="s">
        <v>38</v>
      </c>
      <c r="B668" s="6">
        <v>44386</v>
      </c>
      <c r="C668" s="2" t="s">
        <v>17</v>
      </c>
      <c r="D668" s="8">
        <v>-84</v>
      </c>
      <c r="E668" s="8">
        <f>E667+(0-84)</f>
        <v>12879342.589999966</v>
      </c>
    </row>
    <row r="669" spans="1:5" x14ac:dyDescent="0.25">
      <c r="A669" s="2" t="s">
        <v>38</v>
      </c>
      <c r="B669" s="6">
        <v>44386</v>
      </c>
      <c r="C669" s="2" t="s">
        <v>24</v>
      </c>
      <c r="D669" s="8">
        <v>-300</v>
      </c>
      <c r="E669" s="8">
        <f>E668+(0-300)</f>
        <v>12879042.589999966</v>
      </c>
    </row>
    <row r="670" spans="1:5" x14ac:dyDescent="0.25">
      <c r="A670" s="2" t="s">
        <v>38</v>
      </c>
      <c r="B670" s="6">
        <v>44389</v>
      </c>
      <c r="C670" s="2" t="s">
        <v>157</v>
      </c>
      <c r="D670" s="8">
        <v>-26.88</v>
      </c>
      <c r="E670" s="8">
        <f>E669+(0-26.88)</f>
        <v>12879015.709999966</v>
      </c>
    </row>
    <row r="671" spans="1:5" x14ac:dyDescent="0.25">
      <c r="A671" s="2" t="s">
        <v>38</v>
      </c>
      <c r="B671" s="6">
        <v>44389</v>
      </c>
      <c r="C671" s="2" t="s">
        <v>158</v>
      </c>
      <c r="D671" s="8">
        <v>-26.88</v>
      </c>
      <c r="E671" s="8">
        <f>E670+(0-26.88)</f>
        <v>12878988.829999965</v>
      </c>
    </row>
    <row r="672" spans="1:5" x14ac:dyDescent="0.25">
      <c r="A672" s="2" t="s">
        <v>38</v>
      </c>
      <c r="B672" s="6">
        <v>44389</v>
      </c>
      <c r="C672" s="2" t="s">
        <v>17</v>
      </c>
      <c r="D672" s="8">
        <v>-56</v>
      </c>
      <c r="E672" s="8">
        <f>E671+(0-56)</f>
        <v>12878932.829999965</v>
      </c>
    </row>
    <row r="673" spans="1:5" x14ac:dyDescent="0.25">
      <c r="A673" s="2" t="s">
        <v>38</v>
      </c>
      <c r="B673" s="6">
        <v>44389</v>
      </c>
      <c r="C673" s="2" t="s">
        <v>159</v>
      </c>
      <c r="D673" s="8">
        <v>-16</v>
      </c>
      <c r="E673" s="8">
        <f>E672+(0-16)</f>
        <v>12878916.829999965</v>
      </c>
    </row>
    <row r="674" spans="1:5" x14ac:dyDescent="0.25">
      <c r="A674" s="2" t="s">
        <v>38</v>
      </c>
      <c r="B674" s="6">
        <v>44389</v>
      </c>
      <c r="C674" s="2" t="s">
        <v>24</v>
      </c>
      <c r="D674" s="8">
        <v>-50</v>
      </c>
      <c r="E674" s="8">
        <f>E673+(0-50)</f>
        <v>12878866.829999965</v>
      </c>
    </row>
    <row r="675" spans="1:5" x14ac:dyDescent="0.25">
      <c r="A675" s="2" t="s">
        <v>38</v>
      </c>
      <c r="B675" s="6">
        <v>44389</v>
      </c>
      <c r="C675" s="2" t="s">
        <v>24</v>
      </c>
      <c r="D675" s="8">
        <v>-50</v>
      </c>
      <c r="E675" s="8">
        <f>E674+(0-50)</f>
        <v>12878816.829999965</v>
      </c>
    </row>
    <row r="676" spans="1:5" x14ac:dyDescent="0.25">
      <c r="A676" s="2" t="s">
        <v>38</v>
      </c>
      <c r="B676" s="6">
        <v>44389</v>
      </c>
      <c r="C676" s="2" t="s">
        <v>24</v>
      </c>
      <c r="D676" s="8">
        <v>-50</v>
      </c>
      <c r="E676" s="8">
        <f>E675+(0-50)</f>
        <v>12878766.829999965</v>
      </c>
    </row>
    <row r="677" spans="1:5" x14ac:dyDescent="0.25">
      <c r="A677" s="2" t="s">
        <v>38</v>
      </c>
      <c r="B677" s="6">
        <v>44389</v>
      </c>
      <c r="C677" s="2" t="s">
        <v>24</v>
      </c>
      <c r="D677" s="8">
        <v>-50</v>
      </c>
      <c r="E677" s="8">
        <f>E676+(0-50)</f>
        <v>12878716.829999965</v>
      </c>
    </row>
    <row r="678" spans="1:5" x14ac:dyDescent="0.25">
      <c r="A678" s="2" t="s">
        <v>38</v>
      </c>
      <c r="B678" s="6">
        <v>44389</v>
      </c>
      <c r="C678" s="2" t="s">
        <v>24</v>
      </c>
      <c r="D678" s="8">
        <v>-200</v>
      </c>
      <c r="E678" s="8">
        <f>E677+(0-200)</f>
        <v>12878516.829999965</v>
      </c>
    </row>
    <row r="679" spans="1:5" x14ac:dyDescent="0.25">
      <c r="A679" s="2" t="s">
        <v>38</v>
      </c>
      <c r="B679" s="6">
        <v>44389</v>
      </c>
      <c r="C679" s="2" t="s">
        <v>24</v>
      </c>
      <c r="D679" s="8">
        <v>-50</v>
      </c>
      <c r="E679" s="8">
        <f>E678+(0-50)</f>
        <v>12878466.829999965</v>
      </c>
    </row>
    <row r="680" spans="1:5" x14ac:dyDescent="0.25">
      <c r="A680" s="2" t="s">
        <v>38</v>
      </c>
      <c r="B680" s="6">
        <v>44390</v>
      </c>
      <c r="C680" s="2" t="s">
        <v>160</v>
      </c>
      <c r="D680" s="8">
        <v>-53.75</v>
      </c>
      <c r="E680" s="8">
        <f>E679+(0-53.75)</f>
        <v>12878413.079999965</v>
      </c>
    </row>
    <row r="681" spans="1:5" x14ac:dyDescent="0.25">
      <c r="A681" s="2" t="s">
        <v>38</v>
      </c>
      <c r="B681" s="6">
        <v>44410</v>
      </c>
      <c r="C681" s="2" t="s">
        <v>17</v>
      </c>
      <c r="D681" s="8">
        <v>-72</v>
      </c>
      <c r="E681" s="8">
        <f>E680+(0-72)</f>
        <v>12878341.079999965</v>
      </c>
    </row>
    <row r="682" spans="1:5" x14ac:dyDescent="0.25">
      <c r="A682" s="2" t="s">
        <v>38</v>
      </c>
      <c r="B682" s="6">
        <v>44410</v>
      </c>
      <c r="C682" s="2" t="s">
        <v>17</v>
      </c>
      <c r="D682" s="8">
        <v>-4</v>
      </c>
      <c r="E682" s="8">
        <f>E681+(0-4)</f>
        <v>12878337.079999965</v>
      </c>
    </row>
    <row r="683" spans="1:5" x14ac:dyDescent="0.25">
      <c r="A683" s="2" t="s">
        <v>38</v>
      </c>
      <c r="B683" s="6">
        <v>44410</v>
      </c>
      <c r="C683" s="2" t="s">
        <v>16</v>
      </c>
      <c r="D683" s="8">
        <v>-300</v>
      </c>
      <c r="E683" s="8">
        <f>E682+(0-300)</f>
        <v>12878037.079999965</v>
      </c>
    </row>
    <row r="684" spans="1:5" x14ac:dyDescent="0.25">
      <c r="A684" s="2" t="s">
        <v>38</v>
      </c>
      <c r="B684" s="6">
        <v>44410</v>
      </c>
      <c r="C684" s="2" t="s">
        <v>16</v>
      </c>
      <c r="D684" s="8">
        <v>-50</v>
      </c>
      <c r="E684" s="8">
        <f>E683+(0-50)</f>
        <v>12877987.079999965</v>
      </c>
    </row>
    <row r="685" spans="1:5" x14ac:dyDescent="0.25">
      <c r="A685" s="2" t="s">
        <v>38</v>
      </c>
      <c r="B685" s="6">
        <v>44411</v>
      </c>
      <c r="C685" s="2" t="s">
        <v>16</v>
      </c>
      <c r="D685" s="8">
        <v>-50</v>
      </c>
      <c r="E685" s="8">
        <f>E684+(0-50)</f>
        <v>12877937.079999965</v>
      </c>
    </row>
    <row r="686" spans="1:5" x14ac:dyDescent="0.25">
      <c r="A686" s="2" t="s">
        <v>38</v>
      </c>
      <c r="B686" s="6">
        <v>44411</v>
      </c>
      <c r="C686" s="2" t="s">
        <v>16</v>
      </c>
      <c r="D686" s="8">
        <v>-400</v>
      </c>
      <c r="E686" s="8">
        <f>E685+(0-400)</f>
        <v>12877537.079999965</v>
      </c>
    </row>
    <row r="687" spans="1:5" x14ac:dyDescent="0.25">
      <c r="A687" s="2" t="s">
        <v>38</v>
      </c>
      <c r="B687" s="6">
        <v>44412</v>
      </c>
      <c r="C687" s="2" t="s">
        <v>161</v>
      </c>
      <c r="D687" s="8">
        <v>-53.75</v>
      </c>
      <c r="E687" s="8">
        <f>E686+(0-53.75)</f>
        <v>12877483.329999965</v>
      </c>
    </row>
    <row r="688" spans="1:5" x14ac:dyDescent="0.25">
      <c r="A688" s="2" t="s">
        <v>38</v>
      </c>
      <c r="B688" s="6">
        <v>44412</v>
      </c>
      <c r="C688" s="2" t="s">
        <v>16</v>
      </c>
      <c r="D688" s="8">
        <v>-50</v>
      </c>
      <c r="E688" s="8">
        <f>E687+(0-50)</f>
        <v>12877433.329999965</v>
      </c>
    </row>
    <row r="689" spans="1:5" x14ac:dyDescent="0.25">
      <c r="A689" s="2" t="s">
        <v>38</v>
      </c>
      <c r="B689" s="6">
        <v>44412</v>
      </c>
      <c r="C689" s="2" t="s">
        <v>16</v>
      </c>
      <c r="D689" s="8">
        <v>-150</v>
      </c>
      <c r="E689" s="8">
        <f>E688+(0-150)</f>
        <v>12877283.329999965</v>
      </c>
    </row>
    <row r="690" spans="1:5" x14ac:dyDescent="0.25">
      <c r="A690" s="2" t="s">
        <v>38</v>
      </c>
      <c r="B690" s="6">
        <v>44412</v>
      </c>
      <c r="C690" s="2" t="s">
        <v>16</v>
      </c>
      <c r="D690" s="8">
        <v>-50</v>
      </c>
      <c r="E690" s="8">
        <f>E689+(0-50)</f>
        <v>12877233.329999965</v>
      </c>
    </row>
    <row r="691" spans="1:5" x14ac:dyDescent="0.25">
      <c r="A691" s="2" t="s">
        <v>38</v>
      </c>
      <c r="B691" s="6">
        <v>44412</v>
      </c>
      <c r="C691" s="2" t="s">
        <v>17</v>
      </c>
      <c r="D691" s="8">
        <v>-4</v>
      </c>
      <c r="E691" s="8">
        <f>E690+(0-4)</f>
        <v>12877229.329999965</v>
      </c>
    </row>
    <row r="692" spans="1:5" x14ac:dyDescent="0.25">
      <c r="A692" s="2" t="s">
        <v>38</v>
      </c>
      <c r="B692" s="6">
        <v>44412</v>
      </c>
      <c r="C692" s="2" t="s">
        <v>162</v>
      </c>
      <c r="D692" s="8">
        <v>-40</v>
      </c>
      <c r="E692" s="8">
        <f>E691+(0-40)</f>
        <v>12877189.329999965</v>
      </c>
    </row>
    <row r="693" spans="1:5" x14ac:dyDescent="0.25">
      <c r="A693" s="2" t="s">
        <v>38</v>
      </c>
      <c r="B693" s="6">
        <v>44413</v>
      </c>
      <c r="C693" s="2" t="s">
        <v>17</v>
      </c>
      <c r="D693" s="8">
        <v>-48</v>
      </c>
      <c r="E693" s="8">
        <f>E692+(0-48)</f>
        <v>12877141.329999965</v>
      </c>
    </row>
    <row r="694" spans="1:5" x14ac:dyDescent="0.25">
      <c r="A694" s="2" t="s">
        <v>38</v>
      </c>
      <c r="B694" s="6">
        <v>44413</v>
      </c>
      <c r="C694" s="2" t="s">
        <v>17</v>
      </c>
      <c r="D694" s="8">
        <v>-48</v>
      </c>
      <c r="E694" s="8">
        <f>E693+(0-48)</f>
        <v>12877093.329999965</v>
      </c>
    </row>
    <row r="695" spans="1:5" x14ac:dyDescent="0.25">
      <c r="A695" s="2" t="s">
        <v>38</v>
      </c>
      <c r="B695" s="6">
        <v>44413</v>
      </c>
      <c r="C695" s="2" t="s">
        <v>16</v>
      </c>
      <c r="D695" s="8">
        <v>-300</v>
      </c>
      <c r="E695" s="8">
        <f>E694+(0-300)</f>
        <v>12876793.329999965</v>
      </c>
    </row>
    <row r="696" spans="1:5" x14ac:dyDescent="0.25">
      <c r="A696" s="2" t="s">
        <v>38</v>
      </c>
      <c r="B696" s="6">
        <v>44440</v>
      </c>
      <c r="C696" s="2" t="s">
        <v>16</v>
      </c>
      <c r="D696" s="8">
        <v>-50</v>
      </c>
      <c r="E696" s="8">
        <f>E695+(0-50)</f>
        <v>12876743.329999965</v>
      </c>
    </row>
    <row r="697" spans="1:5" x14ac:dyDescent="0.25">
      <c r="A697" s="2" t="s">
        <v>38</v>
      </c>
      <c r="B697" s="6">
        <v>44440</v>
      </c>
      <c r="C697" s="2" t="s">
        <v>16</v>
      </c>
      <c r="D697" s="8">
        <v>-150</v>
      </c>
      <c r="E697" s="8">
        <f>E696+(0-150)</f>
        <v>12876593.329999965</v>
      </c>
    </row>
    <row r="698" spans="1:5" x14ac:dyDescent="0.25">
      <c r="A698" s="2" t="s">
        <v>38</v>
      </c>
      <c r="B698" s="6">
        <v>44441</v>
      </c>
      <c r="C698" s="2" t="s">
        <v>16</v>
      </c>
      <c r="D698" s="8">
        <v>-250</v>
      </c>
      <c r="E698" s="8">
        <f>E697+(0-250)</f>
        <v>12876343.329999965</v>
      </c>
    </row>
    <row r="699" spans="1:5" x14ac:dyDescent="0.25">
      <c r="A699" s="2" t="s">
        <v>38</v>
      </c>
      <c r="B699" s="6">
        <v>44441</v>
      </c>
      <c r="C699" s="2" t="s">
        <v>16</v>
      </c>
      <c r="D699" s="8">
        <v>-50</v>
      </c>
      <c r="E699" s="8">
        <f>E698+(0-50)</f>
        <v>12876293.329999965</v>
      </c>
    </row>
    <row r="700" spans="1:5" x14ac:dyDescent="0.25">
      <c r="A700" s="2" t="s">
        <v>38</v>
      </c>
      <c r="B700" s="6">
        <v>44442</v>
      </c>
      <c r="C700" s="2" t="s">
        <v>17</v>
      </c>
      <c r="D700" s="8">
        <v>-44</v>
      </c>
      <c r="E700" s="8">
        <f>E699+(0-44)</f>
        <v>12876249.329999965</v>
      </c>
    </row>
    <row r="701" spans="1:5" x14ac:dyDescent="0.25">
      <c r="A701" s="2" t="s">
        <v>38</v>
      </c>
      <c r="B701" s="6">
        <v>44442</v>
      </c>
      <c r="C701" s="2" t="s">
        <v>16</v>
      </c>
      <c r="D701" s="8">
        <v>-150</v>
      </c>
      <c r="E701" s="8">
        <f>E700+(0-150)</f>
        <v>12876099.329999965</v>
      </c>
    </row>
    <row r="702" spans="1:5" x14ac:dyDescent="0.25">
      <c r="A702" s="2" t="s">
        <v>38</v>
      </c>
      <c r="B702" s="6">
        <v>44442</v>
      </c>
      <c r="C702" s="2" t="s">
        <v>16</v>
      </c>
      <c r="D702" s="8">
        <v>-50</v>
      </c>
      <c r="E702" s="8">
        <f>E701+(0-50)</f>
        <v>12876049.329999965</v>
      </c>
    </row>
    <row r="703" spans="1:5" x14ac:dyDescent="0.25">
      <c r="A703" s="2" t="s">
        <v>38</v>
      </c>
      <c r="B703" s="6">
        <v>44442</v>
      </c>
      <c r="C703" s="2" t="s">
        <v>17</v>
      </c>
      <c r="D703" s="8">
        <v>-52</v>
      </c>
      <c r="E703" s="8">
        <f>E702+(0-52)</f>
        <v>12875997.329999965</v>
      </c>
    </row>
    <row r="704" spans="1:5" x14ac:dyDescent="0.25">
      <c r="A704" s="2" t="s">
        <v>38</v>
      </c>
      <c r="B704" s="6">
        <v>44442</v>
      </c>
      <c r="C704" s="2" t="s">
        <v>17</v>
      </c>
      <c r="D704" s="8">
        <v>-44</v>
      </c>
      <c r="E704" s="8">
        <f>E703+(0-44)</f>
        <v>12875953.329999965</v>
      </c>
    </row>
    <row r="705" spans="1:5" x14ac:dyDescent="0.25">
      <c r="A705" s="2" t="s">
        <v>38</v>
      </c>
      <c r="B705" s="6">
        <v>44445</v>
      </c>
      <c r="C705" s="2" t="s">
        <v>17</v>
      </c>
      <c r="D705" s="8">
        <v>-12</v>
      </c>
      <c r="E705" s="8">
        <f>E704+(0-12)</f>
        <v>12875941.329999965</v>
      </c>
    </row>
    <row r="706" spans="1:5" x14ac:dyDescent="0.25">
      <c r="A706" s="2" t="s">
        <v>38</v>
      </c>
      <c r="B706" s="6">
        <v>44445</v>
      </c>
      <c r="C706" s="2" t="s">
        <v>17</v>
      </c>
      <c r="D706" s="8">
        <v>-12</v>
      </c>
      <c r="E706" s="8">
        <f>E705+(0-12)</f>
        <v>12875929.329999965</v>
      </c>
    </row>
    <row r="707" spans="1:5" x14ac:dyDescent="0.25">
      <c r="A707" s="2" t="s">
        <v>38</v>
      </c>
      <c r="B707" s="6">
        <v>44445</v>
      </c>
      <c r="C707" s="2" t="s">
        <v>163</v>
      </c>
      <c r="D707" s="8">
        <v>-26.88</v>
      </c>
      <c r="E707" s="8">
        <f>E706+(0-26.88)</f>
        <v>12875902.449999964</v>
      </c>
    </row>
    <row r="708" spans="1:5" x14ac:dyDescent="0.25">
      <c r="A708" s="2" t="s">
        <v>38</v>
      </c>
      <c r="B708" s="6">
        <v>44445</v>
      </c>
      <c r="C708" s="2" t="s">
        <v>16</v>
      </c>
      <c r="D708" s="8">
        <v>-50</v>
      </c>
      <c r="E708" s="8">
        <f>E707+(0-50)</f>
        <v>12875852.449999964</v>
      </c>
    </row>
    <row r="709" spans="1:5" x14ac:dyDescent="0.25">
      <c r="A709" s="2" t="s">
        <v>38</v>
      </c>
      <c r="B709" s="6">
        <v>44445</v>
      </c>
      <c r="C709" s="2" t="s">
        <v>16</v>
      </c>
      <c r="D709" s="8">
        <v>-250</v>
      </c>
      <c r="E709" s="8">
        <f>E708+(0-250)</f>
        <v>12875602.449999964</v>
      </c>
    </row>
    <row r="710" spans="1:5" x14ac:dyDescent="0.25">
      <c r="A710" s="2" t="s">
        <v>38</v>
      </c>
      <c r="B710" s="6">
        <v>44446</v>
      </c>
      <c r="C710" s="2" t="s">
        <v>124</v>
      </c>
      <c r="D710" s="8">
        <v>-26.88</v>
      </c>
      <c r="E710" s="8">
        <f>E709+(0-26.88)</f>
        <v>12875575.569999963</v>
      </c>
    </row>
    <row r="711" spans="1:5" x14ac:dyDescent="0.25">
      <c r="A711" s="2" t="s">
        <v>38</v>
      </c>
      <c r="B711" s="6">
        <v>44446</v>
      </c>
      <c r="C711" s="2" t="s">
        <v>16</v>
      </c>
      <c r="D711" s="8">
        <v>-250</v>
      </c>
      <c r="E711" s="8">
        <f>E710+(0-250)</f>
        <v>12875325.569999963</v>
      </c>
    </row>
    <row r="712" spans="1:5" x14ac:dyDescent="0.25">
      <c r="A712" s="2" t="s">
        <v>38</v>
      </c>
      <c r="B712" s="6">
        <v>44446</v>
      </c>
      <c r="C712" s="2" t="s">
        <v>16</v>
      </c>
      <c r="D712" s="8">
        <v>-100</v>
      </c>
      <c r="E712" s="8">
        <f>E711+(0-100)</f>
        <v>12875225.569999963</v>
      </c>
    </row>
    <row r="713" spans="1:5" x14ac:dyDescent="0.25">
      <c r="A713" s="2" t="s">
        <v>38</v>
      </c>
      <c r="B713" s="6">
        <v>44446</v>
      </c>
      <c r="C713" s="2" t="s">
        <v>164</v>
      </c>
      <c r="D713" s="8">
        <v>-53.75</v>
      </c>
      <c r="E713" s="8">
        <f>E712+(0-53.75)</f>
        <v>12875171.819999963</v>
      </c>
    </row>
    <row r="714" spans="1:5" x14ac:dyDescent="0.25">
      <c r="A714" s="2" t="s">
        <v>38</v>
      </c>
      <c r="B714" s="6">
        <v>44447</v>
      </c>
      <c r="C714" s="2" t="s">
        <v>16</v>
      </c>
      <c r="D714" s="8">
        <v>-400</v>
      </c>
      <c r="E714" s="8">
        <f>E713+(0-400)</f>
        <v>12874771.819999963</v>
      </c>
    </row>
    <row r="715" spans="1:5" x14ac:dyDescent="0.25">
      <c r="A715" s="2" t="s">
        <v>38</v>
      </c>
      <c r="B715" s="6">
        <v>44447</v>
      </c>
      <c r="C715" s="2" t="s">
        <v>16</v>
      </c>
      <c r="D715" s="8">
        <v>-50</v>
      </c>
      <c r="E715" s="8">
        <f>E714+(0-50)</f>
        <v>12874721.819999963</v>
      </c>
    </row>
    <row r="716" spans="1:5" x14ac:dyDescent="0.25">
      <c r="A716" s="2" t="s">
        <v>38</v>
      </c>
      <c r="B716" s="6">
        <v>44447</v>
      </c>
      <c r="C716" s="2" t="s">
        <v>17</v>
      </c>
      <c r="D716" s="8">
        <v>-44</v>
      </c>
      <c r="E716" s="8">
        <f>E715+(0-44)</f>
        <v>12874677.819999963</v>
      </c>
    </row>
    <row r="717" spans="1:5" x14ac:dyDescent="0.25">
      <c r="A717" s="2" t="s">
        <v>38</v>
      </c>
      <c r="B717" s="6">
        <v>44473</v>
      </c>
      <c r="C717" s="2" t="s">
        <v>17</v>
      </c>
      <c r="D717" s="8">
        <v>-68</v>
      </c>
      <c r="E717" s="8">
        <f>E716+(0-68)</f>
        <v>12874609.819999963</v>
      </c>
    </row>
    <row r="718" spans="1:5" x14ac:dyDescent="0.25">
      <c r="A718" s="2" t="s">
        <v>38</v>
      </c>
      <c r="B718" s="6">
        <v>44473</v>
      </c>
      <c r="C718" s="2" t="s">
        <v>17</v>
      </c>
      <c r="D718" s="8">
        <v>-16</v>
      </c>
      <c r="E718" s="8">
        <f>E717+(0-16)</f>
        <v>12874593.819999963</v>
      </c>
    </row>
    <row r="719" spans="1:5" x14ac:dyDescent="0.25">
      <c r="A719" s="2" t="s">
        <v>38</v>
      </c>
      <c r="B719" s="6">
        <v>44473</v>
      </c>
      <c r="C719" s="2" t="s">
        <v>17</v>
      </c>
      <c r="D719" s="8">
        <v>-8</v>
      </c>
      <c r="E719" s="8">
        <f>E718+(0-8)</f>
        <v>12874585.819999963</v>
      </c>
    </row>
    <row r="720" spans="1:5" x14ac:dyDescent="0.25">
      <c r="A720" s="2" t="s">
        <v>38</v>
      </c>
      <c r="B720" s="6">
        <v>44473</v>
      </c>
      <c r="C720" s="2" t="s">
        <v>17</v>
      </c>
      <c r="D720" s="8">
        <v>-4</v>
      </c>
      <c r="E720" s="8">
        <f>E719+(0-4)</f>
        <v>12874581.819999963</v>
      </c>
    </row>
    <row r="721" spans="1:5" x14ac:dyDescent="0.25">
      <c r="A721" s="2" t="s">
        <v>38</v>
      </c>
      <c r="B721" s="6">
        <v>44473</v>
      </c>
      <c r="C721" s="2" t="s">
        <v>24</v>
      </c>
      <c r="D721" s="8">
        <v>-400</v>
      </c>
      <c r="E721" s="8">
        <f>E720+(0-400)</f>
        <v>12874181.819999963</v>
      </c>
    </row>
    <row r="722" spans="1:5" x14ac:dyDescent="0.25">
      <c r="A722" s="2" t="s">
        <v>38</v>
      </c>
      <c r="B722" s="6">
        <v>44473</v>
      </c>
      <c r="C722" s="2" t="s">
        <v>52</v>
      </c>
      <c r="D722" s="8">
        <v>-50</v>
      </c>
      <c r="E722" s="8">
        <f>E721+(0-50)</f>
        <v>12874131.819999963</v>
      </c>
    </row>
    <row r="723" spans="1:5" x14ac:dyDescent="0.25">
      <c r="A723" s="2" t="s">
        <v>38</v>
      </c>
      <c r="B723" s="6">
        <v>44474</v>
      </c>
      <c r="C723" s="2" t="s">
        <v>165</v>
      </c>
      <c r="D723" s="8">
        <v>-53.75</v>
      </c>
      <c r="E723" s="8">
        <f>E722+(0-53.75)</f>
        <v>12874078.069999963</v>
      </c>
    </row>
    <row r="724" spans="1:5" x14ac:dyDescent="0.25">
      <c r="A724" s="2" t="s">
        <v>38</v>
      </c>
      <c r="B724" s="6">
        <v>44474</v>
      </c>
      <c r="C724" s="2" t="s">
        <v>16</v>
      </c>
      <c r="D724" s="8">
        <v>-350</v>
      </c>
      <c r="E724" s="8">
        <f>E723+(0-350)</f>
        <v>12873728.069999963</v>
      </c>
    </row>
    <row r="725" spans="1:5" x14ac:dyDescent="0.25">
      <c r="A725" s="2" t="s">
        <v>38</v>
      </c>
      <c r="B725" s="6">
        <v>44474</v>
      </c>
      <c r="C725" s="2" t="s">
        <v>17</v>
      </c>
      <c r="D725" s="8">
        <v>-24</v>
      </c>
      <c r="E725" s="8">
        <f>E724+(0-24)</f>
        <v>12873704.069999963</v>
      </c>
    </row>
    <row r="726" spans="1:5" x14ac:dyDescent="0.25">
      <c r="A726" s="2" t="s">
        <v>38</v>
      </c>
      <c r="B726" s="6">
        <v>44475</v>
      </c>
      <c r="C726" s="2" t="s">
        <v>16</v>
      </c>
      <c r="D726" s="8">
        <v>-50</v>
      </c>
      <c r="E726" s="8">
        <f>E725+(0-50)</f>
        <v>12873654.069999963</v>
      </c>
    </row>
    <row r="727" spans="1:5" x14ac:dyDescent="0.25">
      <c r="A727" s="2" t="s">
        <v>38</v>
      </c>
      <c r="B727" s="6">
        <v>44475</v>
      </c>
      <c r="C727" s="2" t="s">
        <v>17</v>
      </c>
      <c r="D727" s="8">
        <v>-48</v>
      </c>
      <c r="E727" s="8">
        <f>E726+(0-48)</f>
        <v>12873606.069999963</v>
      </c>
    </row>
    <row r="728" spans="1:5" x14ac:dyDescent="0.25">
      <c r="A728" s="2" t="s">
        <v>38</v>
      </c>
      <c r="B728" s="6">
        <v>44475</v>
      </c>
      <c r="C728" s="2" t="s">
        <v>24</v>
      </c>
      <c r="D728" s="8">
        <v>-400</v>
      </c>
      <c r="E728" s="8">
        <f>E727+(0-400)</f>
        <v>12873206.069999963</v>
      </c>
    </row>
    <row r="729" spans="1:5" x14ac:dyDescent="0.25">
      <c r="A729" s="2" t="s">
        <v>38</v>
      </c>
      <c r="B729" s="6">
        <v>44476</v>
      </c>
      <c r="C729" s="2" t="s">
        <v>166</v>
      </c>
      <c r="D729" s="8">
        <v>-53.75</v>
      </c>
      <c r="E729" s="8">
        <f>E728+(0-53.75)</f>
        <v>12873152.319999963</v>
      </c>
    </row>
    <row r="730" spans="1:5" x14ac:dyDescent="0.25">
      <c r="A730" s="2" t="s">
        <v>38</v>
      </c>
      <c r="B730" s="6">
        <v>44477</v>
      </c>
      <c r="C730" s="2" t="s">
        <v>167</v>
      </c>
      <c r="D730" s="8">
        <v>-53.75</v>
      </c>
      <c r="E730" s="8">
        <f>E729+(0-53.75)</f>
        <v>12873098.569999963</v>
      </c>
    </row>
    <row r="731" spans="1:5" x14ac:dyDescent="0.25">
      <c r="A731" s="2" t="s">
        <v>38</v>
      </c>
      <c r="B731" s="6">
        <v>44491</v>
      </c>
      <c r="C731" s="2" t="s">
        <v>24</v>
      </c>
      <c r="D731" s="8">
        <v>-150</v>
      </c>
      <c r="E731" s="8">
        <f>E730+(0-150)</f>
        <v>12872948.569999963</v>
      </c>
    </row>
    <row r="732" spans="1:5" x14ac:dyDescent="0.25">
      <c r="A732" s="2" t="s">
        <v>38</v>
      </c>
      <c r="B732" s="6">
        <v>44494</v>
      </c>
      <c r="C732" s="2" t="s">
        <v>17</v>
      </c>
      <c r="D732" s="8">
        <v>-32</v>
      </c>
      <c r="E732" s="8">
        <f>E731+(0-32)</f>
        <v>12872916.569999963</v>
      </c>
    </row>
    <row r="733" spans="1:5" x14ac:dyDescent="0.25">
      <c r="A733" s="2" t="s">
        <v>38</v>
      </c>
      <c r="B733" s="6">
        <v>44494</v>
      </c>
      <c r="C733" s="2" t="s">
        <v>17</v>
      </c>
      <c r="D733" s="8">
        <v>-20</v>
      </c>
      <c r="E733" s="8">
        <f>E732+(0-20)</f>
        <v>12872896.569999963</v>
      </c>
    </row>
    <row r="734" spans="1:5" x14ac:dyDescent="0.25">
      <c r="A734" s="2" t="s">
        <v>38</v>
      </c>
      <c r="B734" s="6">
        <v>44494</v>
      </c>
      <c r="C734" s="2" t="s">
        <v>24</v>
      </c>
      <c r="D734" s="8">
        <v>-200</v>
      </c>
      <c r="E734" s="8">
        <f>E733+(0-200)</f>
        <v>12872696.569999963</v>
      </c>
    </row>
    <row r="735" spans="1:5" x14ac:dyDescent="0.25">
      <c r="A735" s="2" t="s">
        <v>38</v>
      </c>
      <c r="B735" s="6">
        <v>44494</v>
      </c>
      <c r="C735" s="2" t="s">
        <v>16</v>
      </c>
      <c r="D735" s="8">
        <v>-50</v>
      </c>
      <c r="E735" s="8">
        <f>E734+(0-50)</f>
        <v>12872646.569999963</v>
      </c>
    </row>
    <row r="736" spans="1:5" x14ac:dyDescent="0.25">
      <c r="A736" s="2" t="s">
        <v>38</v>
      </c>
      <c r="B736" s="6">
        <v>44494</v>
      </c>
      <c r="C736" s="2" t="s">
        <v>24</v>
      </c>
      <c r="D736" s="8">
        <v>-50</v>
      </c>
      <c r="E736" s="8">
        <f>E735+(0-50)</f>
        <v>12872596.569999963</v>
      </c>
    </row>
    <row r="737" spans="1:5" x14ac:dyDescent="0.25">
      <c r="A737" s="2" t="s">
        <v>38</v>
      </c>
      <c r="B737" s="6">
        <v>44495</v>
      </c>
      <c r="C737" s="2" t="s">
        <v>17</v>
      </c>
      <c r="D737" s="8">
        <v>-20</v>
      </c>
      <c r="E737" s="8">
        <f>E736+(0-20)</f>
        <v>12872576.569999963</v>
      </c>
    </row>
    <row r="738" spans="1:5" x14ac:dyDescent="0.25">
      <c r="A738" s="2" t="s">
        <v>38</v>
      </c>
      <c r="B738" s="6">
        <v>44495</v>
      </c>
      <c r="C738" s="2" t="s">
        <v>16</v>
      </c>
      <c r="D738" s="8">
        <v>-250</v>
      </c>
      <c r="E738" s="8">
        <f>E737+(0-250)</f>
        <v>12872326.569999963</v>
      </c>
    </row>
    <row r="739" spans="1:5" x14ac:dyDescent="0.25">
      <c r="A739" s="2" t="s">
        <v>38</v>
      </c>
      <c r="B739" s="6">
        <v>44496</v>
      </c>
      <c r="C739" s="2" t="s">
        <v>19</v>
      </c>
      <c r="D739" s="8">
        <v>-40</v>
      </c>
      <c r="E739" s="8">
        <f>E738+(0-40)</f>
        <v>12872286.569999963</v>
      </c>
    </row>
    <row r="740" spans="1:5" x14ac:dyDescent="0.25">
      <c r="A740" s="2" t="s">
        <v>38</v>
      </c>
      <c r="B740" s="6">
        <v>44496</v>
      </c>
      <c r="C740" s="2" t="s">
        <v>16</v>
      </c>
      <c r="D740" s="8">
        <v>-50</v>
      </c>
      <c r="E740" s="8">
        <f>E739+(0-50)</f>
        <v>12872236.569999963</v>
      </c>
    </row>
    <row r="741" spans="1:5" x14ac:dyDescent="0.25">
      <c r="A741" s="2" t="s">
        <v>38</v>
      </c>
      <c r="B741" s="6">
        <v>44496</v>
      </c>
      <c r="C741" s="2" t="s">
        <v>16</v>
      </c>
      <c r="D741" s="8">
        <v>-200</v>
      </c>
      <c r="E741" s="8">
        <f>E740+(0-200)</f>
        <v>12872036.569999963</v>
      </c>
    </row>
    <row r="742" spans="1:5" x14ac:dyDescent="0.25">
      <c r="A742" s="2" t="s">
        <v>38</v>
      </c>
      <c r="B742" s="6">
        <v>44497</v>
      </c>
      <c r="C742" s="2" t="s">
        <v>168</v>
      </c>
      <c r="D742" s="8">
        <v>-26.88</v>
      </c>
      <c r="E742" s="8">
        <f>E741+(0-26.88)</f>
        <v>12872009.689999962</v>
      </c>
    </row>
    <row r="743" spans="1:5" x14ac:dyDescent="0.25">
      <c r="A743" s="2" t="s">
        <v>38</v>
      </c>
      <c r="B743" s="6">
        <v>44497</v>
      </c>
      <c r="C743" s="2" t="s">
        <v>17</v>
      </c>
      <c r="D743" s="8">
        <v>-28</v>
      </c>
      <c r="E743" s="8">
        <f>E742+(0-28)</f>
        <v>12871981.689999962</v>
      </c>
    </row>
    <row r="744" spans="1:5" x14ac:dyDescent="0.25">
      <c r="A744" s="2" t="s">
        <v>38</v>
      </c>
      <c r="B744" s="6">
        <v>44497</v>
      </c>
      <c r="C744" s="2" t="s">
        <v>169</v>
      </c>
      <c r="D744" s="8">
        <v>-26.88</v>
      </c>
      <c r="E744" s="8">
        <f>E743+(0-26.88)</f>
        <v>12871954.809999961</v>
      </c>
    </row>
    <row r="745" spans="1:5" x14ac:dyDescent="0.25">
      <c r="A745" s="2" t="s">
        <v>38</v>
      </c>
      <c r="B745" s="6">
        <v>44497</v>
      </c>
      <c r="C745" s="2" t="s">
        <v>170</v>
      </c>
      <c r="D745" s="8">
        <v>-26.88</v>
      </c>
      <c r="E745" s="8">
        <f>E744+(0-26.88)</f>
        <v>12871927.929999961</v>
      </c>
    </row>
    <row r="746" spans="1:5" x14ac:dyDescent="0.25">
      <c r="A746" s="2" t="s">
        <v>38</v>
      </c>
      <c r="B746" s="6">
        <v>44497</v>
      </c>
      <c r="C746" s="2" t="s">
        <v>171</v>
      </c>
      <c r="D746" s="8">
        <v>-53.75</v>
      </c>
      <c r="E746" s="8">
        <f>E745+(0-53.75)</f>
        <v>12871874.179999961</v>
      </c>
    </row>
    <row r="747" spans="1:5" x14ac:dyDescent="0.25">
      <c r="A747" s="2" t="s">
        <v>38</v>
      </c>
      <c r="B747" s="6">
        <v>44497</v>
      </c>
      <c r="C747" s="2" t="s">
        <v>16</v>
      </c>
      <c r="D747" s="8">
        <v>-50</v>
      </c>
      <c r="E747" s="8">
        <f>E746+(0-50)</f>
        <v>12871824.179999961</v>
      </c>
    </row>
    <row r="748" spans="1:5" x14ac:dyDescent="0.25">
      <c r="A748" s="2" t="s">
        <v>38</v>
      </c>
      <c r="B748" s="6">
        <v>44497</v>
      </c>
      <c r="C748" s="2" t="s">
        <v>16</v>
      </c>
      <c r="D748" s="8">
        <v>-300</v>
      </c>
      <c r="E748" s="8">
        <f>E747+(0-300)</f>
        <v>12871524.179999961</v>
      </c>
    </row>
    <row r="749" spans="1:5" x14ac:dyDescent="0.25">
      <c r="A749" s="2" t="s">
        <v>38</v>
      </c>
      <c r="B749" s="6">
        <v>44498</v>
      </c>
      <c r="C749" s="2" t="s">
        <v>17</v>
      </c>
      <c r="D749" s="8">
        <v>-92</v>
      </c>
      <c r="E749" s="8">
        <f>E748+(0-92)</f>
        <v>12871432.179999961</v>
      </c>
    </row>
    <row r="750" spans="1:5" x14ac:dyDescent="0.25">
      <c r="A750" s="2" t="s">
        <v>38</v>
      </c>
      <c r="B750" s="6">
        <v>44498</v>
      </c>
      <c r="C750" s="2" t="s">
        <v>172</v>
      </c>
      <c r="D750" s="8">
        <v>-200</v>
      </c>
      <c r="E750" s="8">
        <f>E749+(0-200)</f>
        <v>12871232.179999961</v>
      </c>
    </row>
    <row r="751" spans="1:5" x14ac:dyDescent="0.25">
      <c r="A751" s="2" t="s">
        <v>38</v>
      </c>
      <c r="B751" s="6">
        <v>44523</v>
      </c>
      <c r="C751" s="2" t="s">
        <v>24</v>
      </c>
      <c r="D751" s="8">
        <v>-350</v>
      </c>
      <c r="E751" s="8">
        <f>E750+(0-350)</f>
        <v>12870882.179999961</v>
      </c>
    </row>
    <row r="752" spans="1:5" x14ac:dyDescent="0.25">
      <c r="A752" s="2" t="s">
        <v>38</v>
      </c>
      <c r="B752" s="6">
        <v>44559</v>
      </c>
      <c r="C752" s="2" t="s">
        <v>173</v>
      </c>
      <c r="D752" s="8">
        <v>-53.75</v>
      </c>
      <c r="E752" s="8">
        <f>E751+(0-53.75)</f>
        <v>12870828.429999961</v>
      </c>
    </row>
    <row r="753" spans="1:5" x14ac:dyDescent="0.25">
      <c r="A753" s="2" t="s">
        <v>38</v>
      </c>
      <c r="B753" s="6">
        <v>44565</v>
      </c>
      <c r="C753" s="2" t="s">
        <v>19</v>
      </c>
      <c r="D753" s="8">
        <v>-4</v>
      </c>
      <c r="E753" s="8">
        <f>E752+(0-4)</f>
        <v>12870824.429999961</v>
      </c>
    </row>
    <row r="754" spans="1:5" x14ac:dyDescent="0.25">
      <c r="A754" s="2" t="s">
        <v>38</v>
      </c>
      <c r="B754" s="6">
        <v>44565</v>
      </c>
      <c r="C754" s="2" t="s">
        <v>19</v>
      </c>
      <c r="D754" s="8">
        <v>-4</v>
      </c>
      <c r="E754" s="8">
        <f>E753+(0-4)</f>
        <v>12870820.429999961</v>
      </c>
    </row>
    <row r="755" spans="1:5" x14ac:dyDescent="0.25">
      <c r="A755" s="2" t="s">
        <v>38</v>
      </c>
      <c r="B755" s="6">
        <v>44565</v>
      </c>
      <c r="C755" s="2" t="s">
        <v>19</v>
      </c>
      <c r="D755" s="8">
        <v>-4</v>
      </c>
      <c r="E755" s="8">
        <f>E754+(0-4)</f>
        <v>12870816.429999961</v>
      </c>
    </row>
    <row r="756" spans="1:5" x14ac:dyDescent="0.25">
      <c r="A756" s="2" t="s">
        <v>38</v>
      </c>
      <c r="B756" s="6">
        <v>44565</v>
      </c>
      <c r="C756" s="2" t="s">
        <v>174</v>
      </c>
      <c r="D756" s="8">
        <v>-53.75</v>
      </c>
      <c r="E756" s="8">
        <f>E755+(0-53.75)</f>
        <v>12870762.679999961</v>
      </c>
    </row>
    <row r="757" spans="1:5" x14ac:dyDescent="0.25">
      <c r="A757" s="2" t="s">
        <v>38</v>
      </c>
      <c r="B757" s="6">
        <v>44565</v>
      </c>
      <c r="C757" s="2" t="s">
        <v>16</v>
      </c>
      <c r="D757" s="8">
        <v>-200</v>
      </c>
      <c r="E757" s="8">
        <f>E756+(0-200)</f>
        <v>12870562.679999961</v>
      </c>
    </row>
    <row r="758" spans="1:5" x14ac:dyDescent="0.25">
      <c r="A758" s="2" t="s">
        <v>38</v>
      </c>
      <c r="B758" s="6">
        <v>44566</v>
      </c>
      <c r="C758" s="2" t="s">
        <v>19</v>
      </c>
      <c r="D758" s="8">
        <v>-16</v>
      </c>
      <c r="E758" s="8">
        <f>E757+(0-16)</f>
        <v>12870546.679999961</v>
      </c>
    </row>
    <row r="759" spans="1:5" x14ac:dyDescent="0.25">
      <c r="A759" s="2" t="s">
        <v>38</v>
      </c>
      <c r="B759" s="6">
        <v>44566</v>
      </c>
      <c r="C759" s="2" t="s">
        <v>16</v>
      </c>
      <c r="D759" s="8">
        <v>-200</v>
      </c>
      <c r="E759" s="8">
        <f>E758+(0-200)</f>
        <v>12870346.679999961</v>
      </c>
    </row>
    <row r="760" spans="1:5" x14ac:dyDescent="0.25">
      <c r="A760" s="2" t="s">
        <v>38</v>
      </c>
      <c r="B760" s="6">
        <v>44567</v>
      </c>
      <c r="C760" s="2" t="s">
        <v>19</v>
      </c>
      <c r="D760" s="8">
        <v>-20</v>
      </c>
      <c r="E760" s="8">
        <f>E759+(0-20)</f>
        <v>12870326.679999961</v>
      </c>
    </row>
    <row r="761" spans="1:5" x14ac:dyDescent="0.25">
      <c r="A761" s="2" t="s">
        <v>38</v>
      </c>
      <c r="B761" s="6">
        <v>44567</v>
      </c>
      <c r="C761" s="2" t="s">
        <v>16</v>
      </c>
      <c r="D761" s="8">
        <v>-50</v>
      </c>
      <c r="E761" s="8">
        <f>E760+(0-50)</f>
        <v>12870276.679999961</v>
      </c>
    </row>
    <row r="762" spans="1:5" x14ac:dyDescent="0.25">
      <c r="A762" s="2" t="s">
        <v>38</v>
      </c>
      <c r="B762" s="6">
        <v>44567</v>
      </c>
      <c r="C762" s="2" t="s">
        <v>16</v>
      </c>
      <c r="D762" s="8">
        <v>-200</v>
      </c>
      <c r="E762" s="8">
        <f>E761+(0-200)</f>
        <v>12870076.679999961</v>
      </c>
    </row>
    <row r="763" spans="1:5" x14ac:dyDescent="0.25">
      <c r="A763" s="2" t="s">
        <v>38</v>
      </c>
      <c r="B763" s="6">
        <v>44568</v>
      </c>
      <c r="C763" s="2" t="s">
        <v>174</v>
      </c>
      <c r="D763" s="8">
        <v>-26.88</v>
      </c>
      <c r="E763" s="8">
        <f>E762+(0-26.88)</f>
        <v>12870049.79999996</v>
      </c>
    </row>
    <row r="764" spans="1:5" x14ac:dyDescent="0.25">
      <c r="A764" s="2" t="s">
        <v>38</v>
      </c>
      <c r="B764" s="6">
        <v>44568</v>
      </c>
      <c r="C764" s="2" t="s">
        <v>16</v>
      </c>
      <c r="D764" s="8">
        <v>-50</v>
      </c>
      <c r="E764" s="8">
        <f>E763+(0-50)</f>
        <v>12869999.79999996</v>
      </c>
    </row>
    <row r="765" spans="1:5" x14ac:dyDescent="0.25">
      <c r="A765" s="2" t="s">
        <v>38</v>
      </c>
      <c r="B765" s="6">
        <v>44568</v>
      </c>
      <c r="C765" s="2" t="s">
        <v>19</v>
      </c>
      <c r="D765" s="8">
        <v>-20</v>
      </c>
      <c r="E765" s="8">
        <f>E764+(0-20)</f>
        <v>12869979.79999996</v>
      </c>
    </row>
    <row r="766" spans="1:5" x14ac:dyDescent="0.25">
      <c r="A766" s="2" t="s">
        <v>38</v>
      </c>
      <c r="B766" s="6">
        <v>44568</v>
      </c>
      <c r="C766" s="2" t="s">
        <v>16</v>
      </c>
      <c r="D766" s="8">
        <v>-50</v>
      </c>
      <c r="E766" s="8">
        <f>E765+(0-50)</f>
        <v>12869929.79999996</v>
      </c>
    </row>
    <row r="767" spans="1:5" x14ac:dyDescent="0.25">
      <c r="A767" s="2" t="s">
        <v>38</v>
      </c>
      <c r="B767" s="6">
        <v>44568</v>
      </c>
      <c r="C767" s="2" t="s">
        <v>16</v>
      </c>
      <c r="D767" s="8">
        <v>-200</v>
      </c>
      <c r="E767" s="8">
        <f>E766+(0-200)</f>
        <v>12869729.79999996</v>
      </c>
    </row>
    <row r="768" spans="1:5" x14ac:dyDescent="0.25">
      <c r="A768" s="2" t="s">
        <v>38</v>
      </c>
      <c r="B768" s="6">
        <v>44571</v>
      </c>
      <c r="C768" s="2" t="s">
        <v>19</v>
      </c>
      <c r="D768" s="8">
        <v>-28</v>
      </c>
      <c r="E768" s="8">
        <f>E767+(0-28)</f>
        <v>12869701.79999996</v>
      </c>
    </row>
    <row r="769" spans="1:5" x14ac:dyDescent="0.25">
      <c r="A769" s="2" t="s">
        <v>38</v>
      </c>
      <c r="B769" s="6">
        <v>44571</v>
      </c>
      <c r="C769" s="2" t="s">
        <v>174</v>
      </c>
      <c r="D769" s="8">
        <v>-26.88</v>
      </c>
      <c r="E769" s="8">
        <f>E768+(0-26.88)</f>
        <v>12869674.919999959</v>
      </c>
    </row>
    <row r="770" spans="1:5" x14ac:dyDescent="0.25">
      <c r="A770" s="2" t="s">
        <v>38</v>
      </c>
      <c r="B770" s="6">
        <v>44571</v>
      </c>
      <c r="C770" s="2" t="s">
        <v>19</v>
      </c>
      <c r="D770" s="8">
        <v>-12</v>
      </c>
      <c r="E770" s="8">
        <f>E769+(0-12)</f>
        <v>12869662.919999959</v>
      </c>
    </row>
    <row r="771" spans="1:5" x14ac:dyDescent="0.25">
      <c r="A771" s="2" t="s">
        <v>38</v>
      </c>
      <c r="B771" s="6">
        <v>44571</v>
      </c>
      <c r="C771" s="2" t="s">
        <v>174</v>
      </c>
      <c r="D771" s="8">
        <v>-26.88</v>
      </c>
      <c r="E771" s="8">
        <f>E770+(0-26.88)</f>
        <v>12869636.039999958</v>
      </c>
    </row>
    <row r="772" spans="1:5" x14ac:dyDescent="0.25">
      <c r="A772" s="2" t="s">
        <v>38</v>
      </c>
      <c r="B772" s="6">
        <v>44571</v>
      </c>
      <c r="C772" s="2" t="s">
        <v>16</v>
      </c>
      <c r="D772" s="8">
        <v>-50</v>
      </c>
      <c r="E772" s="8">
        <f>E771+(0-50)</f>
        <v>12869586.039999958</v>
      </c>
    </row>
    <row r="773" spans="1:5" x14ac:dyDescent="0.25">
      <c r="A773" s="2" t="s">
        <v>38</v>
      </c>
      <c r="B773" s="6">
        <v>44571</v>
      </c>
      <c r="C773" s="2" t="s">
        <v>16</v>
      </c>
      <c r="D773" s="8">
        <v>-300</v>
      </c>
      <c r="E773" s="8">
        <f>E772+(0-300)</f>
        <v>12869286.039999958</v>
      </c>
    </row>
    <row r="774" spans="1:5" x14ac:dyDescent="0.25">
      <c r="A774" s="2" t="s">
        <v>38</v>
      </c>
      <c r="B774" s="6">
        <v>44572</v>
      </c>
      <c r="C774" s="2" t="s">
        <v>174</v>
      </c>
      <c r="D774" s="8">
        <v>-53.75</v>
      </c>
      <c r="E774" s="8">
        <f>E773+(0-53.75)</f>
        <v>12869232.289999958</v>
      </c>
    </row>
    <row r="775" spans="1:5" x14ac:dyDescent="0.25">
      <c r="A775" s="2" t="s">
        <v>38</v>
      </c>
      <c r="B775" s="6">
        <v>44572</v>
      </c>
      <c r="C775" s="2" t="s">
        <v>174</v>
      </c>
      <c r="D775" s="8">
        <v>-53.75</v>
      </c>
      <c r="E775" s="8">
        <f>E774+(0-53.75)</f>
        <v>12869178.539999958</v>
      </c>
    </row>
    <row r="776" spans="1:5" x14ac:dyDescent="0.25">
      <c r="A776" s="2" t="s">
        <v>38</v>
      </c>
      <c r="B776" s="6">
        <v>44572</v>
      </c>
      <c r="C776" s="2" t="s">
        <v>174</v>
      </c>
      <c r="D776" s="8">
        <v>-26.88</v>
      </c>
      <c r="E776" s="8">
        <f>E775+(0-26.88)</f>
        <v>12869151.659999957</v>
      </c>
    </row>
    <row r="777" spans="1:5" x14ac:dyDescent="0.25">
      <c r="A777" s="2" t="s">
        <v>38</v>
      </c>
      <c r="B777" s="6">
        <v>44572</v>
      </c>
      <c r="C777" s="2" t="s">
        <v>16</v>
      </c>
      <c r="D777" s="8">
        <v>-50</v>
      </c>
      <c r="E777" s="8">
        <f>E776+(0-50)</f>
        <v>12869101.659999957</v>
      </c>
    </row>
    <row r="778" spans="1:5" x14ac:dyDescent="0.25">
      <c r="A778" s="2" t="s">
        <v>38</v>
      </c>
      <c r="B778" s="6">
        <v>44572</v>
      </c>
      <c r="C778" s="2" t="s">
        <v>16</v>
      </c>
      <c r="D778" s="8">
        <v>-300</v>
      </c>
      <c r="E778" s="8">
        <f>E777+(0-300)</f>
        <v>12868801.659999957</v>
      </c>
    </row>
    <row r="779" spans="1:5" x14ac:dyDescent="0.25">
      <c r="A779" s="2" t="s">
        <v>38</v>
      </c>
      <c r="B779" s="6">
        <v>44573</v>
      </c>
      <c r="C779" s="2" t="s">
        <v>19</v>
      </c>
      <c r="D779" s="8">
        <v>-56</v>
      </c>
      <c r="E779" s="8">
        <f>E778+(0-56)</f>
        <v>12868745.659999957</v>
      </c>
    </row>
    <row r="780" spans="1:5" x14ac:dyDescent="0.25">
      <c r="A780" s="2" t="s">
        <v>38</v>
      </c>
      <c r="B780" s="6">
        <v>44573</v>
      </c>
      <c r="C780" s="2" t="s">
        <v>16</v>
      </c>
      <c r="D780" s="8">
        <v>-100</v>
      </c>
      <c r="E780" s="8">
        <f>E779+(0-100)</f>
        <v>12868645.659999957</v>
      </c>
    </row>
    <row r="781" spans="1:5" x14ac:dyDescent="0.25">
      <c r="A781" s="2" t="s">
        <v>38</v>
      </c>
      <c r="B781" s="6">
        <v>44574</v>
      </c>
      <c r="C781" s="2" t="s">
        <v>174</v>
      </c>
      <c r="D781" s="8">
        <v>-26.88</v>
      </c>
      <c r="E781" s="8">
        <f>E780+(0-26.88)</f>
        <v>12868618.779999956</v>
      </c>
    </row>
    <row r="782" spans="1:5" x14ac:dyDescent="0.25">
      <c r="A782" s="2" t="s">
        <v>38</v>
      </c>
      <c r="B782" s="6">
        <v>44574</v>
      </c>
      <c r="C782" s="2" t="s">
        <v>16</v>
      </c>
      <c r="D782" s="8">
        <v>-50</v>
      </c>
      <c r="E782" s="8">
        <f>E781+(0-50)</f>
        <v>12868568.779999956</v>
      </c>
    </row>
    <row r="783" spans="1:5" x14ac:dyDescent="0.25">
      <c r="A783" s="2" t="s">
        <v>38</v>
      </c>
      <c r="B783" s="6">
        <v>44574</v>
      </c>
      <c r="C783" s="2" t="s">
        <v>16</v>
      </c>
      <c r="D783" s="8">
        <v>-50</v>
      </c>
      <c r="E783" s="8">
        <f>E782+(0-50)</f>
        <v>12868518.779999956</v>
      </c>
    </row>
    <row r="784" spans="1:5" x14ac:dyDescent="0.25">
      <c r="A784" s="2" t="s">
        <v>38</v>
      </c>
      <c r="B784" s="6">
        <v>44574</v>
      </c>
      <c r="C784" s="2" t="s">
        <v>16</v>
      </c>
      <c r="D784" s="8">
        <v>-50</v>
      </c>
      <c r="E784" s="8">
        <f>E783+(0-50)</f>
        <v>12868468.779999956</v>
      </c>
    </row>
    <row r="785" spans="1:5" x14ac:dyDescent="0.25">
      <c r="A785" s="2" t="s">
        <v>38</v>
      </c>
      <c r="B785" s="6">
        <v>44574</v>
      </c>
      <c r="C785" s="2" t="s">
        <v>16</v>
      </c>
      <c r="D785" s="8">
        <v>-450</v>
      </c>
      <c r="E785" s="8">
        <f>E784+(0-450)</f>
        <v>12868018.779999956</v>
      </c>
    </row>
    <row r="786" spans="1:5" x14ac:dyDescent="0.25">
      <c r="A786" s="2" t="s">
        <v>38</v>
      </c>
      <c r="B786" s="6">
        <v>44574</v>
      </c>
      <c r="C786" s="2" t="s">
        <v>174</v>
      </c>
      <c r="D786" s="8">
        <v>-26.88</v>
      </c>
      <c r="E786" s="8">
        <f>E785+(0-26.88)</f>
        <v>12867991.899999956</v>
      </c>
    </row>
    <row r="787" spans="1:5" x14ac:dyDescent="0.25">
      <c r="A787" s="2" t="s">
        <v>38</v>
      </c>
      <c r="B787" s="6">
        <v>44574</v>
      </c>
      <c r="C787" s="2" t="s">
        <v>174</v>
      </c>
      <c r="D787" s="8">
        <v>-26.88</v>
      </c>
      <c r="E787" s="8">
        <f>E786+(0-26.88)</f>
        <v>12867965.019999955</v>
      </c>
    </row>
    <row r="788" spans="1:5" x14ac:dyDescent="0.25">
      <c r="A788" s="2" t="s">
        <v>38</v>
      </c>
      <c r="B788" s="6">
        <v>44575</v>
      </c>
      <c r="C788" s="2" t="s">
        <v>19</v>
      </c>
      <c r="D788" s="8">
        <v>-52</v>
      </c>
      <c r="E788" s="8">
        <f>E787+(0-52)</f>
        <v>12867913.019999955</v>
      </c>
    </row>
    <row r="789" spans="1:5" x14ac:dyDescent="0.25">
      <c r="A789" s="2" t="s">
        <v>38</v>
      </c>
      <c r="B789" s="6">
        <v>44575</v>
      </c>
      <c r="C789" s="2" t="s">
        <v>19</v>
      </c>
      <c r="D789" s="8">
        <v>-36</v>
      </c>
      <c r="E789" s="8">
        <f>E788+(0-36)</f>
        <v>12867877.019999955</v>
      </c>
    </row>
    <row r="790" spans="1:5" x14ac:dyDescent="0.25">
      <c r="A790" s="2" t="s">
        <v>38</v>
      </c>
      <c r="B790" s="6">
        <v>44575</v>
      </c>
      <c r="C790" s="2" t="s">
        <v>16</v>
      </c>
      <c r="D790" s="8">
        <v>-200</v>
      </c>
      <c r="E790" s="8">
        <f>E789+(0-200)</f>
        <v>12867677.019999955</v>
      </c>
    </row>
    <row r="791" spans="1:5" x14ac:dyDescent="0.25">
      <c r="A791" s="2" t="s">
        <v>38</v>
      </c>
      <c r="B791" s="6">
        <v>44575</v>
      </c>
      <c r="C791" s="2" t="s">
        <v>16</v>
      </c>
      <c r="D791" s="8">
        <v>-350</v>
      </c>
      <c r="E791" s="8">
        <f>E790+(0-350)</f>
        <v>12867327.019999955</v>
      </c>
    </row>
    <row r="792" spans="1:5" x14ac:dyDescent="0.25">
      <c r="A792" s="2" t="s">
        <v>38</v>
      </c>
      <c r="B792" s="6">
        <v>44575</v>
      </c>
      <c r="C792" s="2" t="s">
        <v>16</v>
      </c>
      <c r="D792" s="8">
        <v>-50</v>
      </c>
      <c r="E792" s="8">
        <f>E791+(0-50)</f>
        <v>12867277.019999955</v>
      </c>
    </row>
    <row r="793" spans="1:5" x14ac:dyDescent="0.25">
      <c r="A793" s="2" t="s">
        <v>38</v>
      </c>
      <c r="B793" s="6">
        <v>44578</v>
      </c>
      <c r="C793" s="2" t="s">
        <v>19</v>
      </c>
      <c r="D793" s="8">
        <v>-92</v>
      </c>
      <c r="E793" s="8">
        <f>E792+(0-92)</f>
        <v>12867185.019999955</v>
      </c>
    </row>
    <row r="794" spans="1:5" x14ac:dyDescent="0.25">
      <c r="A794" s="2" t="s">
        <v>38</v>
      </c>
      <c r="B794" s="6">
        <v>44578</v>
      </c>
      <c r="C794" s="2" t="s">
        <v>174</v>
      </c>
      <c r="D794" s="8">
        <v>-26.88</v>
      </c>
      <c r="E794" s="8">
        <f>E793+(0-26.88)</f>
        <v>12867158.139999954</v>
      </c>
    </row>
    <row r="795" spans="1:5" x14ac:dyDescent="0.25">
      <c r="A795" s="2" t="s">
        <v>38</v>
      </c>
      <c r="B795" s="6">
        <v>44578</v>
      </c>
      <c r="C795" s="2" t="s">
        <v>19</v>
      </c>
      <c r="D795" s="8">
        <v>-60</v>
      </c>
      <c r="E795" s="8">
        <f>E794+(0-60)</f>
        <v>12867098.139999954</v>
      </c>
    </row>
    <row r="796" spans="1:5" x14ac:dyDescent="0.25">
      <c r="A796" s="2" t="s">
        <v>38</v>
      </c>
      <c r="B796" s="6">
        <v>44578</v>
      </c>
      <c r="C796" s="2" t="s">
        <v>19</v>
      </c>
      <c r="D796" s="8">
        <v>-12</v>
      </c>
      <c r="E796" s="8">
        <f>E795+(0-12)</f>
        <v>12867086.139999954</v>
      </c>
    </row>
    <row r="797" spans="1:5" x14ac:dyDescent="0.25">
      <c r="A797" s="2" t="s">
        <v>38</v>
      </c>
      <c r="B797" s="6">
        <v>44578</v>
      </c>
      <c r="C797" s="2" t="s">
        <v>19</v>
      </c>
      <c r="D797" s="8">
        <v>-4</v>
      </c>
      <c r="E797" s="8">
        <f>E796+(0-4)</f>
        <v>12867082.139999954</v>
      </c>
    </row>
    <row r="798" spans="1:5" x14ac:dyDescent="0.25">
      <c r="A798" s="2" t="s">
        <v>38</v>
      </c>
      <c r="B798" s="6">
        <v>44578</v>
      </c>
      <c r="C798" s="2" t="s">
        <v>16</v>
      </c>
      <c r="D798" s="8">
        <v>-50</v>
      </c>
      <c r="E798" s="8">
        <f>E797+(0-50)</f>
        <v>12867032.139999954</v>
      </c>
    </row>
    <row r="799" spans="1:5" x14ac:dyDescent="0.25">
      <c r="A799" s="2" t="s">
        <v>38</v>
      </c>
      <c r="B799" s="6">
        <v>44578</v>
      </c>
      <c r="C799" s="2" t="s">
        <v>16</v>
      </c>
      <c r="D799" s="8">
        <v>-150</v>
      </c>
      <c r="E799" s="8">
        <f>E798+(0-150)</f>
        <v>12866882.139999954</v>
      </c>
    </row>
    <row r="800" spans="1:5" x14ac:dyDescent="0.25">
      <c r="A800" s="2" t="s">
        <v>38</v>
      </c>
      <c r="B800" s="6">
        <v>44579</v>
      </c>
      <c r="C800" s="2" t="s">
        <v>16</v>
      </c>
      <c r="D800" s="8">
        <v>-50</v>
      </c>
      <c r="E800" s="8">
        <f>E799+(0-50)</f>
        <v>12866832.139999954</v>
      </c>
    </row>
    <row r="801" spans="1:5" x14ac:dyDescent="0.25">
      <c r="A801" s="2" t="s">
        <v>38</v>
      </c>
      <c r="B801" s="6">
        <v>44579</v>
      </c>
      <c r="C801" s="2" t="s">
        <v>19</v>
      </c>
      <c r="D801" s="8">
        <v>-8</v>
      </c>
      <c r="E801" s="8">
        <f>E800+(0-8)</f>
        <v>12866824.139999954</v>
      </c>
    </row>
    <row r="802" spans="1:5" x14ac:dyDescent="0.25">
      <c r="A802" s="2" t="s">
        <v>38</v>
      </c>
      <c r="B802" s="6">
        <v>44579</v>
      </c>
      <c r="C802" s="2" t="s">
        <v>16</v>
      </c>
      <c r="D802" s="8">
        <v>-300</v>
      </c>
      <c r="E802" s="8">
        <f>E801+(0-300)</f>
        <v>12866524.139999954</v>
      </c>
    </row>
    <row r="803" spans="1:5" x14ac:dyDescent="0.25">
      <c r="A803" s="2" t="s">
        <v>38</v>
      </c>
      <c r="B803" s="6">
        <v>44580</v>
      </c>
      <c r="C803" s="2" t="s">
        <v>16</v>
      </c>
      <c r="D803" s="8">
        <v>-50</v>
      </c>
      <c r="E803" s="8">
        <f>E802+(0-50)</f>
        <v>12866474.139999954</v>
      </c>
    </row>
    <row r="804" spans="1:5" x14ac:dyDescent="0.25">
      <c r="A804" s="2" t="s">
        <v>38</v>
      </c>
      <c r="B804" s="6">
        <v>44580</v>
      </c>
      <c r="C804" s="2" t="s">
        <v>19</v>
      </c>
      <c r="D804" s="8">
        <v>-44</v>
      </c>
      <c r="E804" s="8">
        <f>E803+(0-44)</f>
        <v>12866430.139999954</v>
      </c>
    </row>
    <row r="805" spans="1:5" x14ac:dyDescent="0.25">
      <c r="A805" s="2" t="s">
        <v>38</v>
      </c>
      <c r="B805" s="6">
        <v>44580</v>
      </c>
      <c r="C805" s="2" t="s">
        <v>16</v>
      </c>
      <c r="D805" s="8">
        <v>-100</v>
      </c>
      <c r="E805" s="8">
        <f>E804+(0-100)</f>
        <v>12866330.139999954</v>
      </c>
    </row>
    <row r="806" spans="1:5" x14ac:dyDescent="0.25">
      <c r="A806" s="2" t="s">
        <v>38</v>
      </c>
      <c r="B806" s="6">
        <v>44581</v>
      </c>
      <c r="C806" s="2" t="s">
        <v>16</v>
      </c>
      <c r="D806" s="8">
        <v>-50</v>
      </c>
      <c r="E806" s="8">
        <f>E805+(0-50)</f>
        <v>12866280.139999954</v>
      </c>
    </row>
    <row r="807" spans="1:5" x14ac:dyDescent="0.25">
      <c r="A807" s="2" t="s">
        <v>38</v>
      </c>
      <c r="B807" s="6">
        <v>44581</v>
      </c>
      <c r="C807" s="2" t="s">
        <v>19</v>
      </c>
      <c r="D807" s="8">
        <v>-40</v>
      </c>
      <c r="E807" s="8">
        <f>E806+(0-40)</f>
        <v>12866240.139999954</v>
      </c>
    </row>
    <row r="808" spans="1:5" x14ac:dyDescent="0.25">
      <c r="A808" s="2" t="s">
        <v>38</v>
      </c>
      <c r="B808" s="6">
        <v>44581</v>
      </c>
      <c r="C808" s="2" t="s">
        <v>16</v>
      </c>
      <c r="D808" s="8">
        <v>-100</v>
      </c>
      <c r="E808" s="8">
        <f>E807+(0-100)</f>
        <v>12866140.139999954</v>
      </c>
    </row>
    <row r="809" spans="1:5" x14ac:dyDescent="0.25">
      <c r="A809" s="2" t="s">
        <v>38</v>
      </c>
      <c r="B809" s="6">
        <v>44581</v>
      </c>
      <c r="C809" s="2" t="s">
        <v>16</v>
      </c>
      <c r="D809" s="8">
        <v>-200</v>
      </c>
      <c r="E809" s="8">
        <f>E808+(0-200)</f>
        <v>12865940.139999954</v>
      </c>
    </row>
    <row r="810" spans="1:5" x14ac:dyDescent="0.25">
      <c r="A810" s="2" t="s">
        <v>38</v>
      </c>
      <c r="B810" s="6">
        <v>44581</v>
      </c>
      <c r="C810" s="2" t="s">
        <v>16</v>
      </c>
      <c r="D810" s="8">
        <v>-50</v>
      </c>
      <c r="E810" s="8">
        <f>E809+(0-50)</f>
        <v>12865890.139999954</v>
      </c>
    </row>
    <row r="811" spans="1:5" x14ac:dyDescent="0.25">
      <c r="A811" s="2" t="s">
        <v>38</v>
      </c>
      <c r="B811" s="6">
        <v>44582</v>
      </c>
      <c r="C811" s="2" t="s">
        <v>19</v>
      </c>
      <c r="D811" s="8">
        <v>-40</v>
      </c>
      <c r="E811" s="8">
        <f>E810+(0-40)</f>
        <v>12865850.139999954</v>
      </c>
    </row>
    <row r="812" spans="1:5" x14ac:dyDescent="0.25">
      <c r="A812" s="2" t="s">
        <v>38</v>
      </c>
      <c r="B812" s="6">
        <v>44582</v>
      </c>
      <c r="C812" s="2" t="s">
        <v>16</v>
      </c>
      <c r="D812" s="8">
        <v>-350</v>
      </c>
      <c r="E812" s="8">
        <f>E811+(0-350)</f>
        <v>12865500.139999954</v>
      </c>
    </row>
    <row r="813" spans="1:5" x14ac:dyDescent="0.25">
      <c r="A813" s="2" t="s">
        <v>38</v>
      </c>
      <c r="B813" s="6">
        <v>44582</v>
      </c>
      <c r="C813" s="2" t="s">
        <v>16</v>
      </c>
      <c r="D813" s="8">
        <v>-100</v>
      </c>
      <c r="E813" s="8">
        <f>E812+(0-100)</f>
        <v>12865400.139999954</v>
      </c>
    </row>
    <row r="814" spans="1:5" x14ac:dyDescent="0.25">
      <c r="A814" s="2" t="s">
        <v>38</v>
      </c>
      <c r="B814" s="6">
        <v>44582</v>
      </c>
      <c r="C814" s="2" t="s">
        <v>174</v>
      </c>
      <c r="D814" s="8">
        <v>-53.75</v>
      </c>
      <c r="E814" s="8">
        <f>E813+(0-53.75)</f>
        <v>12865346.389999954</v>
      </c>
    </row>
    <row r="815" spans="1:5" x14ac:dyDescent="0.25">
      <c r="A815" s="2" t="s">
        <v>38</v>
      </c>
      <c r="B815" s="6">
        <v>44585</v>
      </c>
      <c r="C815" s="2" t="s">
        <v>19</v>
      </c>
      <c r="D815" s="8">
        <v>-28</v>
      </c>
      <c r="E815" s="8">
        <f>E814+(0-28)</f>
        <v>12865318.389999954</v>
      </c>
    </row>
    <row r="816" spans="1:5" x14ac:dyDescent="0.25">
      <c r="A816" s="2" t="s">
        <v>38</v>
      </c>
      <c r="B816" s="6">
        <v>44585</v>
      </c>
      <c r="C816" s="2" t="s">
        <v>174</v>
      </c>
      <c r="D816" s="8">
        <v>-26.88</v>
      </c>
      <c r="E816" s="8">
        <f>E815+(0-26.88)</f>
        <v>12865291.509999953</v>
      </c>
    </row>
    <row r="817" spans="1:5" x14ac:dyDescent="0.25">
      <c r="A817" s="2" t="s">
        <v>38</v>
      </c>
      <c r="B817" s="6">
        <v>44585</v>
      </c>
      <c r="C817" s="2" t="s">
        <v>174</v>
      </c>
      <c r="D817" s="8">
        <v>-26.88</v>
      </c>
      <c r="E817" s="8">
        <f>E816+(0-26.88)</f>
        <v>12865264.629999952</v>
      </c>
    </row>
    <row r="818" spans="1:5" x14ac:dyDescent="0.25">
      <c r="A818" s="2" t="s">
        <v>38</v>
      </c>
      <c r="B818" s="6">
        <v>44585</v>
      </c>
      <c r="C818" s="2" t="s">
        <v>16</v>
      </c>
      <c r="D818" s="8">
        <v>-350</v>
      </c>
      <c r="E818" s="8">
        <f>E817+(0-350)</f>
        <v>12864914.629999952</v>
      </c>
    </row>
    <row r="819" spans="1:5" x14ac:dyDescent="0.25">
      <c r="A819" s="2" t="s">
        <v>38</v>
      </c>
      <c r="B819" s="6">
        <v>44586</v>
      </c>
      <c r="C819" s="2" t="s">
        <v>16</v>
      </c>
      <c r="D819" s="8">
        <v>-50</v>
      </c>
      <c r="E819" s="8">
        <f>E818+(0-50)</f>
        <v>12864864.629999952</v>
      </c>
    </row>
    <row r="820" spans="1:5" x14ac:dyDescent="0.25">
      <c r="A820" s="2" t="s">
        <v>38</v>
      </c>
      <c r="B820" s="6">
        <v>44586</v>
      </c>
      <c r="C820" s="2" t="s">
        <v>19</v>
      </c>
      <c r="D820" s="8">
        <v>-56</v>
      </c>
      <c r="E820" s="8">
        <f>E819+(0-56)</f>
        <v>12864808.629999952</v>
      </c>
    </row>
    <row r="821" spans="1:5" x14ac:dyDescent="0.25">
      <c r="A821" s="2" t="s">
        <v>38</v>
      </c>
      <c r="B821" s="6">
        <v>44586</v>
      </c>
      <c r="C821" s="2" t="s">
        <v>16</v>
      </c>
      <c r="D821" s="8">
        <v>-50</v>
      </c>
      <c r="E821" s="8">
        <f>E820+(0-50)</f>
        <v>12864758.629999952</v>
      </c>
    </row>
    <row r="822" spans="1:5" x14ac:dyDescent="0.25">
      <c r="A822" s="2" t="s">
        <v>38</v>
      </c>
      <c r="B822" s="6">
        <v>44586</v>
      </c>
      <c r="C822" s="2" t="s">
        <v>16</v>
      </c>
      <c r="D822" s="8">
        <v>-200</v>
      </c>
      <c r="E822" s="8">
        <f>E821+(0-200)</f>
        <v>12864558.629999952</v>
      </c>
    </row>
    <row r="823" spans="1:5" x14ac:dyDescent="0.25">
      <c r="A823" s="2" t="s">
        <v>38</v>
      </c>
      <c r="B823" s="6">
        <v>44587</v>
      </c>
      <c r="C823" s="2" t="s">
        <v>19</v>
      </c>
      <c r="D823" s="8">
        <v>-36</v>
      </c>
      <c r="E823" s="8">
        <f>E822+(0-36)</f>
        <v>12864522.629999952</v>
      </c>
    </row>
    <row r="824" spans="1:5" x14ac:dyDescent="0.25">
      <c r="A824" s="2" t="s">
        <v>38</v>
      </c>
      <c r="B824" s="6">
        <v>44587</v>
      </c>
      <c r="C824" s="2" t="s">
        <v>52</v>
      </c>
      <c r="D824" s="8">
        <v>-300</v>
      </c>
      <c r="E824" s="8">
        <f>E823+(0-300)</f>
        <v>12864222.629999952</v>
      </c>
    </row>
    <row r="825" spans="1:5" x14ac:dyDescent="0.25">
      <c r="A825" s="2" t="s">
        <v>38</v>
      </c>
      <c r="B825" s="6">
        <v>44588</v>
      </c>
      <c r="C825" s="2" t="s">
        <v>174</v>
      </c>
      <c r="D825" s="8">
        <v>-26.88</v>
      </c>
      <c r="E825" s="8">
        <f>E824+(0-26.88)</f>
        <v>12864195.749999952</v>
      </c>
    </row>
    <row r="826" spans="1:5" x14ac:dyDescent="0.25">
      <c r="A826" s="2" t="s">
        <v>38</v>
      </c>
      <c r="B826" s="6">
        <v>44588</v>
      </c>
      <c r="C826" s="2" t="s">
        <v>16</v>
      </c>
      <c r="D826" s="8">
        <v>-50</v>
      </c>
      <c r="E826" s="8">
        <f>E825+(0-50)</f>
        <v>12864145.749999952</v>
      </c>
    </row>
    <row r="827" spans="1:5" x14ac:dyDescent="0.25">
      <c r="A827" s="2" t="s">
        <v>38</v>
      </c>
      <c r="B827" s="6">
        <v>44588</v>
      </c>
      <c r="C827" s="2" t="s">
        <v>16</v>
      </c>
      <c r="D827" s="8">
        <v>-350</v>
      </c>
      <c r="E827" s="8">
        <f>E826+(0-350)</f>
        <v>12863795.749999952</v>
      </c>
    </row>
    <row r="828" spans="1:5" x14ac:dyDescent="0.25">
      <c r="A828" s="2" t="s">
        <v>38</v>
      </c>
      <c r="B828" s="6">
        <v>44588</v>
      </c>
      <c r="C828" s="2" t="s">
        <v>19</v>
      </c>
      <c r="D828" s="8">
        <v>-60</v>
      </c>
      <c r="E828" s="8">
        <f>E827+(0-60)</f>
        <v>12863735.749999952</v>
      </c>
    </row>
    <row r="829" spans="1:5" x14ac:dyDescent="0.25">
      <c r="A829" s="2" t="s">
        <v>38</v>
      </c>
      <c r="B829" s="6">
        <v>44589</v>
      </c>
      <c r="C829" s="2" t="s">
        <v>174</v>
      </c>
      <c r="D829" s="8">
        <v>-53.75</v>
      </c>
      <c r="E829" s="8">
        <f>E828+(0-53.75)</f>
        <v>12863681.999999952</v>
      </c>
    </row>
    <row r="830" spans="1:5" x14ac:dyDescent="0.25">
      <c r="A830" s="2" t="s">
        <v>38</v>
      </c>
      <c r="B830" s="6">
        <v>44589</v>
      </c>
      <c r="C830" s="2" t="s">
        <v>16</v>
      </c>
      <c r="D830" s="8">
        <v>-300</v>
      </c>
      <c r="E830" s="8">
        <f>E829+(0-300)</f>
        <v>12863381.999999952</v>
      </c>
    </row>
    <row r="831" spans="1:5" x14ac:dyDescent="0.25">
      <c r="A831" s="2" t="s">
        <v>38</v>
      </c>
      <c r="B831" s="6">
        <v>44592</v>
      </c>
      <c r="C831" s="2" t="s">
        <v>19</v>
      </c>
      <c r="D831" s="8">
        <v>-44</v>
      </c>
      <c r="E831" s="8">
        <f>E830+(0-44)</f>
        <v>12863337.999999952</v>
      </c>
    </row>
    <row r="832" spans="1:5" x14ac:dyDescent="0.25">
      <c r="A832" s="2" t="s">
        <v>38</v>
      </c>
      <c r="B832" s="6">
        <v>44592</v>
      </c>
      <c r="C832" s="2" t="s">
        <v>19</v>
      </c>
      <c r="D832" s="8">
        <v>-52</v>
      </c>
      <c r="E832" s="8">
        <f>E831+(0-52)</f>
        <v>12863285.999999952</v>
      </c>
    </row>
    <row r="833" spans="1:5" x14ac:dyDescent="0.25">
      <c r="A833" s="2" t="s">
        <v>38</v>
      </c>
      <c r="B833" s="6">
        <v>44592</v>
      </c>
      <c r="C833" s="2" t="s">
        <v>174</v>
      </c>
      <c r="D833" s="8">
        <v>-26.88</v>
      </c>
      <c r="E833" s="8">
        <f>E832+(0-26.88)</f>
        <v>12863259.119999951</v>
      </c>
    </row>
    <row r="834" spans="1:5" x14ac:dyDescent="0.25">
      <c r="A834" s="2" t="s">
        <v>38</v>
      </c>
      <c r="B834" s="6">
        <v>44592</v>
      </c>
      <c r="C834" s="2" t="s">
        <v>174</v>
      </c>
      <c r="D834" s="8">
        <v>-26.88</v>
      </c>
      <c r="E834" s="8">
        <f>E833+(0-26.88)</f>
        <v>12863232.23999995</v>
      </c>
    </row>
    <row r="835" spans="1:5" x14ac:dyDescent="0.25">
      <c r="A835" s="2" t="s">
        <v>38</v>
      </c>
      <c r="B835" s="6">
        <v>44592</v>
      </c>
      <c r="C835" s="2" t="s">
        <v>174</v>
      </c>
      <c r="D835" s="8">
        <v>-53.75</v>
      </c>
      <c r="E835" s="8">
        <f>E834+(0-53.75)</f>
        <v>12863178.48999995</v>
      </c>
    </row>
    <row r="836" spans="1:5" x14ac:dyDescent="0.25">
      <c r="A836" s="2" t="s">
        <v>38</v>
      </c>
      <c r="B836" s="6">
        <v>44592</v>
      </c>
      <c r="C836" s="2" t="s">
        <v>16</v>
      </c>
      <c r="D836" s="8">
        <v>-100</v>
      </c>
      <c r="E836" s="8">
        <f>E835+(0-100)</f>
        <v>12863078.48999995</v>
      </c>
    </row>
    <row r="837" spans="1:5" x14ac:dyDescent="0.25">
      <c r="A837" s="2" t="s">
        <v>38</v>
      </c>
      <c r="B837" s="6">
        <v>44593</v>
      </c>
      <c r="C837" s="2" t="s">
        <v>19</v>
      </c>
      <c r="D837" s="8">
        <v>-52</v>
      </c>
      <c r="E837" s="8">
        <f>E836+(0-52)</f>
        <v>12863026.48999995</v>
      </c>
    </row>
    <row r="838" spans="1:5" x14ac:dyDescent="0.25">
      <c r="A838" s="2" t="s">
        <v>38</v>
      </c>
      <c r="B838" s="6">
        <v>44593</v>
      </c>
      <c r="C838" s="2" t="s">
        <v>16</v>
      </c>
      <c r="D838" s="8">
        <v>-50</v>
      </c>
      <c r="E838" s="8">
        <f>E837+(0-50)</f>
        <v>12862976.48999995</v>
      </c>
    </row>
    <row r="839" spans="1:5" x14ac:dyDescent="0.25">
      <c r="A839" s="2" t="s">
        <v>38</v>
      </c>
      <c r="B839" s="6">
        <v>44593</v>
      </c>
      <c r="C839" s="2" t="s">
        <v>16</v>
      </c>
      <c r="D839" s="8">
        <v>-100</v>
      </c>
      <c r="E839" s="8">
        <f>E838+(0-100)</f>
        <v>12862876.48999995</v>
      </c>
    </row>
    <row r="840" spans="1:5" x14ac:dyDescent="0.25">
      <c r="A840" s="2" t="s">
        <v>38</v>
      </c>
      <c r="B840" s="6">
        <v>44594</v>
      </c>
      <c r="C840" s="2" t="s">
        <v>174</v>
      </c>
      <c r="D840" s="8">
        <v>-53.75</v>
      </c>
      <c r="E840" s="8">
        <f>E839+(0-53.75)</f>
        <v>12862822.73999995</v>
      </c>
    </row>
    <row r="841" spans="1:5" x14ac:dyDescent="0.25">
      <c r="A841" s="2" t="s">
        <v>38</v>
      </c>
      <c r="B841" s="6">
        <v>44594</v>
      </c>
      <c r="C841" s="2" t="s">
        <v>174</v>
      </c>
      <c r="D841" s="8">
        <v>-53.75</v>
      </c>
      <c r="E841" s="8">
        <f>E840+(0-53.75)</f>
        <v>12862768.98999995</v>
      </c>
    </row>
    <row r="842" spans="1:5" x14ac:dyDescent="0.25">
      <c r="A842" s="2" t="s">
        <v>38</v>
      </c>
      <c r="B842" s="6">
        <v>44594</v>
      </c>
      <c r="C842" s="2" t="s">
        <v>16</v>
      </c>
      <c r="D842" s="8">
        <v>-100</v>
      </c>
      <c r="E842" s="8">
        <f>E841+(0-100)</f>
        <v>12862668.98999995</v>
      </c>
    </row>
    <row r="843" spans="1:5" x14ac:dyDescent="0.25">
      <c r="A843" s="2" t="s">
        <v>38</v>
      </c>
      <c r="B843" s="6">
        <v>44595</v>
      </c>
      <c r="C843" s="2" t="s">
        <v>19</v>
      </c>
      <c r="D843" s="8">
        <v>-28</v>
      </c>
      <c r="E843" s="8">
        <f>E842+(0-28)</f>
        <v>12862640.98999995</v>
      </c>
    </row>
    <row r="844" spans="1:5" x14ac:dyDescent="0.25">
      <c r="A844" s="2" t="s">
        <v>38</v>
      </c>
      <c r="B844" s="6">
        <v>44595</v>
      </c>
      <c r="C844" s="2" t="s">
        <v>16</v>
      </c>
      <c r="D844" s="8">
        <v>-50</v>
      </c>
      <c r="E844" s="8">
        <f>E843+(0-50)</f>
        <v>12862590.98999995</v>
      </c>
    </row>
    <row r="845" spans="1:5" x14ac:dyDescent="0.25">
      <c r="A845" s="2" t="s">
        <v>38</v>
      </c>
      <c r="B845" s="6">
        <v>44595</v>
      </c>
      <c r="C845" s="2" t="s">
        <v>16</v>
      </c>
      <c r="D845" s="8">
        <v>-250</v>
      </c>
      <c r="E845" s="8">
        <f>E844+(0-250)</f>
        <v>12862340.98999995</v>
      </c>
    </row>
    <row r="846" spans="1:5" x14ac:dyDescent="0.25">
      <c r="A846" s="2" t="s">
        <v>38</v>
      </c>
      <c r="B846" s="6">
        <v>44596</v>
      </c>
      <c r="C846" s="2" t="s">
        <v>16</v>
      </c>
      <c r="D846" s="8">
        <v>-300</v>
      </c>
      <c r="E846" s="8">
        <f>E845+(0-300)</f>
        <v>12862040.98999995</v>
      </c>
    </row>
    <row r="847" spans="1:5" x14ac:dyDescent="0.25">
      <c r="A847" s="2" t="s">
        <v>38</v>
      </c>
      <c r="B847" s="6">
        <v>44599</v>
      </c>
      <c r="C847" s="2" t="s">
        <v>174</v>
      </c>
      <c r="D847" s="8">
        <v>-26.88</v>
      </c>
      <c r="E847" s="8">
        <f>E846+(0-26.88)</f>
        <v>12862014.109999949</v>
      </c>
    </row>
    <row r="848" spans="1:5" x14ac:dyDescent="0.25">
      <c r="A848" s="2" t="s">
        <v>38</v>
      </c>
      <c r="B848" s="6">
        <v>44599</v>
      </c>
      <c r="C848" s="2" t="s">
        <v>19</v>
      </c>
      <c r="D848" s="8">
        <v>-24</v>
      </c>
      <c r="E848" s="8">
        <f>E847+(0-24)</f>
        <v>12861990.109999949</v>
      </c>
    </row>
    <row r="849" spans="1:5" x14ac:dyDescent="0.25">
      <c r="A849" s="2" t="s">
        <v>38</v>
      </c>
      <c r="B849" s="6">
        <v>44599</v>
      </c>
      <c r="C849" s="2" t="s">
        <v>19</v>
      </c>
      <c r="D849" s="8">
        <v>-48</v>
      </c>
      <c r="E849" s="8">
        <f>E848+(0-48)</f>
        <v>12861942.109999949</v>
      </c>
    </row>
    <row r="850" spans="1:5" x14ac:dyDescent="0.25">
      <c r="A850" s="2" t="s">
        <v>38</v>
      </c>
      <c r="B850" s="6">
        <v>44599</v>
      </c>
      <c r="C850" s="2" t="s">
        <v>19</v>
      </c>
      <c r="D850" s="8">
        <v>-12</v>
      </c>
      <c r="E850" s="8">
        <f>E849+(0-12)</f>
        <v>12861930.109999949</v>
      </c>
    </row>
    <row r="851" spans="1:5" x14ac:dyDescent="0.25">
      <c r="A851" s="2" t="s">
        <v>38</v>
      </c>
      <c r="B851" s="6">
        <v>44599</v>
      </c>
      <c r="C851" s="2" t="s">
        <v>16</v>
      </c>
      <c r="D851" s="8">
        <v>-500</v>
      </c>
      <c r="E851" s="8">
        <f>E850+(0-500)</f>
        <v>12861430.109999949</v>
      </c>
    </row>
    <row r="852" spans="1:5" x14ac:dyDescent="0.25">
      <c r="A852" s="2" t="s">
        <v>38</v>
      </c>
      <c r="B852" s="6">
        <v>44599</v>
      </c>
      <c r="C852" s="2" t="s">
        <v>16</v>
      </c>
      <c r="D852" s="8">
        <v>-50</v>
      </c>
      <c r="E852" s="8">
        <f>E851+(0-50)</f>
        <v>12861380.109999949</v>
      </c>
    </row>
    <row r="853" spans="1:5" x14ac:dyDescent="0.25">
      <c r="A853" s="2" t="s">
        <v>38</v>
      </c>
      <c r="B853" s="6">
        <v>44600</v>
      </c>
      <c r="C853" s="2" t="s">
        <v>19</v>
      </c>
      <c r="D853" s="8">
        <v>-48</v>
      </c>
      <c r="E853" s="8">
        <f>E852+(0-48)</f>
        <v>12861332.109999949</v>
      </c>
    </row>
    <row r="854" spans="1:5" x14ac:dyDescent="0.25">
      <c r="A854" s="2" t="s">
        <v>38</v>
      </c>
      <c r="B854" s="6">
        <v>44600</v>
      </c>
      <c r="C854" s="2" t="s">
        <v>16</v>
      </c>
      <c r="D854" s="8">
        <v>-50</v>
      </c>
      <c r="E854" s="8">
        <f>E853+(0-50)</f>
        <v>12861282.109999949</v>
      </c>
    </row>
    <row r="855" spans="1:5" x14ac:dyDescent="0.25">
      <c r="A855" s="2" t="s">
        <v>38</v>
      </c>
      <c r="B855" s="6">
        <v>44600</v>
      </c>
      <c r="C855" s="2" t="s">
        <v>16</v>
      </c>
      <c r="D855" s="8">
        <v>-150</v>
      </c>
      <c r="E855" s="8">
        <f>E854+(0-150)</f>
        <v>12861132.109999949</v>
      </c>
    </row>
    <row r="856" spans="1:5" x14ac:dyDescent="0.25">
      <c r="A856" s="2" t="s">
        <v>38</v>
      </c>
      <c r="B856" s="6">
        <v>44601</v>
      </c>
      <c r="C856" s="2" t="s">
        <v>19</v>
      </c>
      <c r="D856" s="8">
        <v>-20</v>
      </c>
      <c r="E856" s="8">
        <f>E855+(0-20)</f>
        <v>12861112.109999949</v>
      </c>
    </row>
    <row r="857" spans="1:5" x14ac:dyDescent="0.25">
      <c r="A857" s="2" t="s">
        <v>38</v>
      </c>
      <c r="B857" s="6">
        <v>44601</v>
      </c>
      <c r="C857" s="2" t="s">
        <v>174</v>
      </c>
      <c r="D857" s="8">
        <v>-53.75</v>
      </c>
      <c r="E857" s="8">
        <f>E856+(0-53.75)</f>
        <v>12861058.359999949</v>
      </c>
    </row>
    <row r="858" spans="1:5" x14ac:dyDescent="0.25">
      <c r="A858" s="2" t="s">
        <v>38</v>
      </c>
      <c r="B858" s="6">
        <v>44601</v>
      </c>
      <c r="C858" s="2" t="s">
        <v>16</v>
      </c>
      <c r="D858" s="8">
        <v>-100</v>
      </c>
      <c r="E858" s="8">
        <f>E857+(0-100)</f>
        <v>12860958.359999949</v>
      </c>
    </row>
    <row r="859" spans="1:5" x14ac:dyDescent="0.25">
      <c r="A859" s="2" t="s">
        <v>38</v>
      </c>
      <c r="B859" s="6">
        <v>44602</v>
      </c>
      <c r="C859" s="2" t="s">
        <v>19</v>
      </c>
      <c r="D859" s="8">
        <v>-20</v>
      </c>
      <c r="E859" s="8">
        <f>E858+(0-20)</f>
        <v>12860938.359999949</v>
      </c>
    </row>
    <row r="860" spans="1:5" x14ac:dyDescent="0.25">
      <c r="A860" s="2" t="s">
        <v>38</v>
      </c>
      <c r="B860" s="6">
        <v>44602</v>
      </c>
      <c r="C860" s="2" t="s">
        <v>174</v>
      </c>
      <c r="D860" s="8">
        <v>-26.88</v>
      </c>
      <c r="E860" s="8">
        <f>E859+(0-26.88)</f>
        <v>12860911.479999948</v>
      </c>
    </row>
    <row r="861" spans="1:5" x14ac:dyDescent="0.25">
      <c r="A861" s="2" t="s">
        <v>38</v>
      </c>
      <c r="B861" s="6">
        <v>44602</v>
      </c>
      <c r="C861" s="2" t="s">
        <v>16</v>
      </c>
      <c r="D861" s="8">
        <v>-50</v>
      </c>
      <c r="E861" s="8">
        <f>E860+(0-50)</f>
        <v>12860861.479999948</v>
      </c>
    </row>
    <row r="862" spans="1:5" x14ac:dyDescent="0.25">
      <c r="A862" s="2" t="s">
        <v>38</v>
      </c>
      <c r="B862" s="6">
        <v>44602</v>
      </c>
      <c r="C862" s="2" t="s">
        <v>16</v>
      </c>
      <c r="D862" s="8">
        <v>-50</v>
      </c>
      <c r="E862" s="8">
        <f>E861+(0-50)</f>
        <v>12860811.479999948</v>
      </c>
    </row>
    <row r="863" spans="1:5" x14ac:dyDescent="0.25">
      <c r="A863" s="2" t="s">
        <v>38</v>
      </c>
      <c r="B863" s="6">
        <v>44602</v>
      </c>
      <c r="C863" s="2" t="s">
        <v>16</v>
      </c>
      <c r="D863" s="8">
        <v>-300</v>
      </c>
      <c r="E863" s="8">
        <f>E862+(0-300)</f>
        <v>12860511.479999948</v>
      </c>
    </row>
    <row r="864" spans="1:5" x14ac:dyDescent="0.25">
      <c r="A864" s="2" t="s">
        <v>38</v>
      </c>
      <c r="B864" s="6">
        <v>44602</v>
      </c>
      <c r="C864" s="2" t="s">
        <v>16</v>
      </c>
      <c r="D864" s="8">
        <v>-50</v>
      </c>
      <c r="E864" s="8">
        <f>E863+(0-50)</f>
        <v>12860461.479999948</v>
      </c>
    </row>
    <row r="865" spans="1:5" x14ac:dyDescent="0.25">
      <c r="A865" s="2" t="s">
        <v>38</v>
      </c>
      <c r="B865" s="6">
        <v>44602</v>
      </c>
      <c r="C865" s="2" t="s">
        <v>16</v>
      </c>
      <c r="D865" s="8">
        <v>-50</v>
      </c>
      <c r="E865" s="8">
        <f>E864+(0-50)</f>
        <v>12860411.479999948</v>
      </c>
    </row>
    <row r="866" spans="1:5" x14ac:dyDescent="0.25">
      <c r="A866" s="2" t="s">
        <v>38</v>
      </c>
      <c r="B866" s="6">
        <v>44603</v>
      </c>
      <c r="C866" s="2" t="s">
        <v>19</v>
      </c>
      <c r="D866" s="8">
        <v>-52</v>
      </c>
      <c r="E866" s="8">
        <f>E865+(0-52)</f>
        <v>12860359.479999948</v>
      </c>
    </row>
    <row r="867" spans="1:5" x14ac:dyDescent="0.25">
      <c r="A867" s="2" t="s">
        <v>38</v>
      </c>
      <c r="B867" s="6">
        <v>44603</v>
      </c>
      <c r="C867" s="2" t="s">
        <v>16</v>
      </c>
      <c r="D867" s="8">
        <v>-50</v>
      </c>
      <c r="E867" s="8">
        <f>E866+(0-50)</f>
        <v>12860309.479999948</v>
      </c>
    </row>
    <row r="868" spans="1:5" x14ac:dyDescent="0.25">
      <c r="A868" s="2" t="s">
        <v>38</v>
      </c>
      <c r="B868" s="6">
        <v>44603</v>
      </c>
      <c r="C868" s="2" t="s">
        <v>16</v>
      </c>
      <c r="D868" s="8">
        <v>-250</v>
      </c>
      <c r="E868" s="8">
        <f>E867+(0-250)</f>
        <v>12860059.479999948</v>
      </c>
    </row>
    <row r="869" spans="1:5" x14ac:dyDescent="0.25">
      <c r="A869" s="2" t="s">
        <v>38</v>
      </c>
      <c r="B869" s="6">
        <v>44606</v>
      </c>
      <c r="C869" s="2" t="s">
        <v>19</v>
      </c>
      <c r="D869" s="8">
        <v>-52</v>
      </c>
      <c r="E869" s="8">
        <f>E868+(0-52)</f>
        <v>12860007.479999948</v>
      </c>
    </row>
    <row r="870" spans="1:5" x14ac:dyDescent="0.25">
      <c r="A870" s="2" t="s">
        <v>38</v>
      </c>
      <c r="B870" s="6">
        <v>44606</v>
      </c>
      <c r="C870" s="2" t="s">
        <v>19</v>
      </c>
      <c r="D870" s="8">
        <v>-4</v>
      </c>
      <c r="E870" s="8">
        <f>E869+(0-4)</f>
        <v>12860003.479999948</v>
      </c>
    </row>
    <row r="871" spans="1:5" x14ac:dyDescent="0.25">
      <c r="A871" s="2" t="s">
        <v>38</v>
      </c>
      <c r="B871" s="6">
        <v>44606</v>
      </c>
      <c r="C871" s="2" t="s">
        <v>174</v>
      </c>
      <c r="D871" s="8">
        <v>-26.88</v>
      </c>
      <c r="E871" s="8">
        <f>E870+(0-26.88)</f>
        <v>12859976.599999947</v>
      </c>
    </row>
    <row r="872" spans="1:5" x14ac:dyDescent="0.25">
      <c r="A872" s="2" t="s">
        <v>38</v>
      </c>
      <c r="B872" s="6">
        <v>44606</v>
      </c>
      <c r="C872" s="2" t="s">
        <v>16</v>
      </c>
      <c r="D872" s="8">
        <v>-100</v>
      </c>
      <c r="E872" s="8">
        <f>E871+(0-100)</f>
        <v>12859876.599999947</v>
      </c>
    </row>
    <row r="873" spans="1:5" x14ac:dyDescent="0.25">
      <c r="A873" s="2" t="s">
        <v>38</v>
      </c>
      <c r="B873" s="6">
        <v>44607</v>
      </c>
      <c r="C873" s="2" t="s">
        <v>19</v>
      </c>
      <c r="D873" s="8">
        <v>-40</v>
      </c>
      <c r="E873" s="8">
        <f>E872+(0-40)</f>
        <v>12859836.599999947</v>
      </c>
    </row>
    <row r="874" spans="1:5" x14ac:dyDescent="0.25">
      <c r="A874" s="2" t="s">
        <v>38</v>
      </c>
      <c r="B874" s="6">
        <v>44607</v>
      </c>
      <c r="C874" s="2" t="s">
        <v>16</v>
      </c>
      <c r="D874" s="8">
        <v>-200</v>
      </c>
      <c r="E874" s="8">
        <f>E873+(0-200)</f>
        <v>12859636.599999947</v>
      </c>
    </row>
    <row r="875" spans="1:5" x14ac:dyDescent="0.25">
      <c r="A875" s="2" t="s">
        <v>38</v>
      </c>
      <c r="B875" s="6">
        <v>44607</v>
      </c>
      <c r="C875" s="2" t="s">
        <v>16</v>
      </c>
      <c r="D875" s="8">
        <v>-250</v>
      </c>
      <c r="E875" s="8">
        <f>E874+(0-250)</f>
        <v>12859386.599999947</v>
      </c>
    </row>
    <row r="876" spans="1:5" x14ac:dyDescent="0.25">
      <c r="A876" s="2" t="s">
        <v>38</v>
      </c>
      <c r="B876" s="6">
        <v>44609</v>
      </c>
      <c r="C876" s="2" t="s">
        <v>19</v>
      </c>
      <c r="D876" s="8">
        <v>-28</v>
      </c>
      <c r="E876" s="8">
        <f>E875+(0-28)</f>
        <v>12859358.599999947</v>
      </c>
    </row>
    <row r="877" spans="1:5" x14ac:dyDescent="0.25">
      <c r="A877" s="2" t="s">
        <v>38</v>
      </c>
      <c r="B877" s="6">
        <v>44609</v>
      </c>
      <c r="C877" s="2" t="s">
        <v>174</v>
      </c>
      <c r="D877" s="8">
        <v>-26.88</v>
      </c>
      <c r="E877" s="8">
        <f>E876+(0-26.88)</f>
        <v>12859331.719999947</v>
      </c>
    </row>
    <row r="878" spans="1:5" x14ac:dyDescent="0.25">
      <c r="A878" s="2" t="s">
        <v>38</v>
      </c>
      <c r="B878" s="6">
        <v>44609</v>
      </c>
      <c r="C878" s="2" t="s">
        <v>17</v>
      </c>
      <c r="D878" s="8">
        <v>-12</v>
      </c>
      <c r="E878" s="8">
        <f>E877+(0-12)</f>
        <v>12859319.719999947</v>
      </c>
    </row>
    <row r="879" spans="1:5" x14ac:dyDescent="0.25">
      <c r="A879" s="2" t="s">
        <v>38</v>
      </c>
      <c r="B879" s="6">
        <v>44609</v>
      </c>
      <c r="C879" s="2" t="s">
        <v>16</v>
      </c>
      <c r="D879" s="8">
        <v>-350</v>
      </c>
      <c r="E879" s="8">
        <f>E878+(0-350)</f>
        <v>12858969.719999947</v>
      </c>
    </row>
    <row r="880" spans="1:5" x14ac:dyDescent="0.25">
      <c r="A880" s="2" t="s">
        <v>38</v>
      </c>
      <c r="B880" s="6">
        <v>44609</v>
      </c>
      <c r="C880" s="2" t="s">
        <v>16</v>
      </c>
      <c r="D880" s="8">
        <v>-50</v>
      </c>
      <c r="E880" s="8">
        <f>E879+(0-50)</f>
        <v>12858919.719999947</v>
      </c>
    </row>
    <row r="881" spans="1:5" x14ac:dyDescent="0.25">
      <c r="A881" s="2" t="s">
        <v>38</v>
      </c>
      <c r="B881" s="6">
        <v>44610</v>
      </c>
      <c r="C881" s="2" t="s">
        <v>19</v>
      </c>
      <c r="D881" s="8">
        <v>-60</v>
      </c>
      <c r="E881" s="8">
        <f>E880+(0-60)</f>
        <v>12858859.719999947</v>
      </c>
    </row>
    <row r="882" spans="1:5" x14ac:dyDescent="0.25">
      <c r="A882" s="2" t="s">
        <v>38</v>
      </c>
      <c r="B882" s="6">
        <v>44610</v>
      </c>
      <c r="C882" s="2" t="s">
        <v>16</v>
      </c>
      <c r="D882" s="8">
        <v>-200</v>
      </c>
      <c r="E882" s="8">
        <f>E881+(0-200)</f>
        <v>12858659.719999947</v>
      </c>
    </row>
    <row r="883" spans="1:5" x14ac:dyDescent="0.25">
      <c r="A883" s="2" t="s">
        <v>38</v>
      </c>
      <c r="B883" s="6">
        <v>44613</v>
      </c>
      <c r="C883" s="2" t="s">
        <v>19</v>
      </c>
      <c r="D883" s="8">
        <v>-28</v>
      </c>
      <c r="E883" s="8">
        <f>E882+(0-28)</f>
        <v>12858631.719999947</v>
      </c>
    </row>
    <row r="884" spans="1:5" x14ac:dyDescent="0.25">
      <c r="A884" s="2" t="s">
        <v>38</v>
      </c>
      <c r="B884" s="6">
        <v>44613</v>
      </c>
      <c r="C884" s="2" t="s">
        <v>16</v>
      </c>
      <c r="D884" s="8">
        <v>-150</v>
      </c>
      <c r="E884" s="8">
        <f>E883+(0-150)</f>
        <v>12858481.719999947</v>
      </c>
    </row>
    <row r="885" spans="1:5" x14ac:dyDescent="0.25">
      <c r="A885" s="2" t="s">
        <v>38</v>
      </c>
      <c r="B885" s="6">
        <v>44614</v>
      </c>
      <c r="C885" s="2" t="s">
        <v>19</v>
      </c>
      <c r="D885" s="8">
        <v>-28</v>
      </c>
      <c r="E885" s="8">
        <f>E884+(0-28)</f>
        <v>12858453.719999947</v>
      </c>
    </row>
    <row r="886" spans="1:5" x14ac:dyDescent="0.25">
      <c r="A886" s="2" t="s">
        <v>38</v>
      </c>
      <c r="B886" s="6">
        <v>44614</v>
      </c>
      <c r="C886" s="2" t="s">
        <v>16</v>
      </c>
      <c r="D886" s="8">
        <v>-250</v>
      </c>
      <c r="E886" s="8">
        <f>E885+(0-250)</f>
        <v>12858203.719999947</v>
      </c>
    </row>
    <row r="887" spans="1:5" x14ac:dyDescent="0.25">
      <c r="A887" s="2" t="s">
        <v>38</v>
      </c>
      <c r="B887" s="6">
        <v>44615</v>
      </c>
      <c r="C887" s="2" t="s">
        <v>19</v>
      </c>
      <c r="D887" s="8">
        <v>-36</v>
      </c>
      <c r="E887" s="8">
        <f>E886+(0-36)</f>
        <v>12858167.719999947</v>
      </c>
    </row>
    <row r="888" spans="1:5" x14ac:dyDescent="0.25">
      <c r="A888" s="2" t="s">
        <v>38</v>
      </c>
      <c r="B888" s="6">
        <v>44615</v>
      </c>
      <c r="C888" s="2" t="s">
        <v>16</v>
      </c>
      <c r="D888" s="8">
        <v>-250</v>
      </c>
      <c r="E888" s="8">
        <f>E887+(0-250)</f>
        <v>12857917.719999947</v>
      </c>
    </row>
    <row r="889" spans="1:5" x14ac:dyDescent="0.25">
      <c r="A889" s="2" t="s">
        <v>38</v>
      </c>
      <c r="B889" s="6">
        <v>44615</v>
      </c>
      <c r="C889" s="2" t="s">
        <v>16</v>
      </c>
      <c r="D889" s="8">
        <v>-50</v>
      </c>
      <c r="E889" s="8">
        <f>E888+(0-50)</f>
        <v>12857867.719999947</v>
      </c>
    </row>
    <row r="890" spans="1:5" x14ac:dyDescent="0.25">
      <c r="A890" s="2" t="s">
        <v>38</v>
      </c>
      <c r="B890" s="6">
        <v>44616</v>
      </c>
      <c r="C890" s="2" t="s">
        <v>174</v>
      </c>
      <c r="D890" s="8">
        <v>-26.88</v>
      </c>
      <c r="E890" s="8">
        <f>E889+(0-26.88)</f>
        <v>12857840.839999946</v>
      </c>
    </row>
    <row r="891" spans="1:5" x14ac:dyDescent="0.25">
      <c r="A891" s="2" t="s">
        <v>38</v>
      </c>
      <c r="B891" s="6">
        <v>44616</v>
      </c>
      <c r="C891" s="2" t="s">
        <v>16</v>
      </c>
      <c r="D891" s="8">
        <v>-400</v>
      </c>
      <c r="E891" s="8">
        <f>E890+(0-400)</f>
        <v>12857440.839999946</v>
      </c>
    </row>
    <row r="892" spans="1:5" x14ac:dyDescent="0.25">
      <c r="A892" s="2" t="s">
        <v>38</v>
      </c>
      <c r="B892" s="6">
        <v>44617</v>
      </c>
      <c r="C892" s="2" t="s">
        <v>19</v>
      </c>
      <c r="D892" s="8">
        <v>-40</v>
      </c>
      <c r="E892" s="8">
        <f>E891+(0-40)</f>
        <v>12857400.839999946</v>
      </c>
    </row>
    <row r="893" spans="1:5" x14ac:dyDescent="0.25">
      <c r="A893" s="2" t="s">
        <v>38</v>
      </c>
      <c r="B893" s="6">
        <v>44617</v>
      </c>
      <c r="C893" s="2" t="s">
        <v>19</v>
      </c>
      <c r="D893" s="8">
        <v>-32</v>
      </c>
      <c r="E893" s="8">
        <f>E892+(0-32)</f>
        <v>12857368.839999946</v>
      </c>
    </row>
    <row r="894" spans="1:5" x14ac:dyDescent="0.25">
      <c r="A894" s="2" t="s">
        <v>38</v>
      </c>
      <c r="B894" s="6">
        <v>44617</v>
      </c>
      <c r="C894" s="2" t="s">
        <v>174</v>
      </c>
      <c r="D894" s="8">
        <v>-53.75</v>
      </c>
      <c r="E894" s="8">
        <f>E893+(0-53.75)</f>
        <v>12857315.089999946</v>
      </c>
    </row>
    <row r="895" spans="1:5" x14ac:dyDescent="0.25">
      <c r="A895" s="2" t="s">
        <v>38</v>
      </c>
      <c r="B895" s="6">
        <v>44617</v>
      </c>
      <c r="C895" s="2" t="s">
        <v>174</v>
      </c>
      <c r="D895" s="8">
        <v>-26.88</v>
      </c>
      <c r="E895" s="8">
        <f>E894+(0-26.88)</f>
        <v>12857288.209999945</v>
      </c>
    </row>
    <row r="896" spans="1:5" x14ac:dyDescent="0.25">
      <c r="A896" s="2" t="s">
        <v>38</v>
      </c>
      <c r="B896" s="6">
        <v>44617</v>
      </c>
      <c r="C896" s="2" t="s">
        <v>174</v>
      </c>
      <c r="D896" s="8">
        <v>-430</v>
      </c>
      <c r="E896" s="8">
        <f>E895+(0-430)</f>
        <v>12856858.209999945</v>
      </c>
    </row>
    <row r="897" spans="1:5" x14ac:dyDescent="0.25">
      <c r="A897" s="2" t="s">
        <v>38</v>
      </c>
      <c r="B897" s="6">
        <v>44617</v>
      </c>
      <c r="C897" s="2" t="s">
        <v>16</v>
      </c>
      <c r="D897" s="8">
        <v>-200</v>
      </c>
      <c r="E897" s="8">
        <f>E896+(0-200)</f>
        <v>12856658.209999945</v>
      </c>
    </row>
    <row r="898" spans="1:5" x14ac:dyDescent="0.25">
      <c r="A898" s="2" t="s">
        <v>38</v>
      </c>
      <c r="B898" s="6">
        <v>44620</v>
      </c>
      <c r="C898" s="2" t="s">
        <v>19</v>
      </c>
      <c r="D898" s="8">
        <v>-56</v>
      </c>
      <c r="E898" s="8">
        <f>E897+(0-56)</f>
        <v>12856602.209999945</v>
      </c>
    </row>
    <row r="899" spans="1:5" x14ac:dyDescent="0.25">
      <c r="A899" s="2" t="s">
        <v>38</v>
      </c>
      <c r="B899" s="6">
        <v>44620</v>
      </c>
      <c r="C899" s="2" t="s">
        <v>19</v>
      </c>
      <c r="D899" s="8">
        <v>-4</v>
      </c>
      <c r="E899" s="8">
        <f>E898+(0-4)</f>
        <v>12856598.209999945</v>
      </c>
    </row>
    <row r="900" spans="1:5" x14ac:dyDescent="0.25">
      <c r="A900" s="2" t="s">
        <v>38</v>
      </c>
      <c r="B900" s="6">
        <v>44620</v>
      </c>
      <c r="C900" s="2" t="s">
        <v>16</v>
      </c>
      <c r="D900" s="8">
        <v>-50</v>
      </c>
      <c r="E900" s="8">
        <f>E899+(0-50)</f>
        <v>12856548.209999945</v>
      </c>
    </row>
    <row r="901" spans="1:5" x14ac:dyDescent="0.25">
      <c r="A901" s="2" t="s">
        <v>38</v>
      </c>
      <c r="B901" s="6">
        <v>44620</v>
      </c>
      <c r="C901" s="2" t="s">
        <v>19</v>
      </c>
      <c r="D901" s="8">
        <v>-8</v>
      </c>
      <c r="E901" s="8">
        <f>E900+(0-8)</f>
        <v>12856540.209999945</v>
      </c>
    </row>
    <row r="902" spans="1:5" x14ac:dyDescent="0.25">
      <c r="A902" s="2" t="s">
        <v>38</v>
      </c>
      <c r="B902" s="6">
        <v>44620</v>
      </c>
      <c r="C902" s="2" t="s">
        <v>16</v>
      </c>
      <c r="D902" s="8">
        <v>-300</v>
      </c>
      <c r="E902" s="8">
        <f>E901+(0-300)</f>
        <v>12856240.209999945</v>
      </c>
    </row>
    <row r="903" spans="1:5" x14ac:dyDescent="0.25">
      <c r="A903" s="2" t="s">
        <v>38</v>
      </c>
      <c r="B903" s="6">
        <v>44620</v>
      </c>
      <c r="C903" s="2" t="s">
        <v>16</v>
      </c>
      <c r="D903" s="8">
        <v>-50</v>
      </c>
      <c r="E903" s="8">
        <f>E902+(0-50)</f>
        <v>12856190.209999945</v>
      </c>
    </row>
    <row r="904" spans="1:5" x14ac:dyDescent="0.25">
      <c r="A904" s="2" t="s">
        <v>38</v>
      </c>
      <c r="B904" s="6">
        <v>44621</v>
      </c>
      <c r="C904" s="2" t="s">
        <v>16</v>
      </c>
      <c r="D904" s="8">
        <v>-50</v>
      </c>
      <c r="E904" s="8">
        <f>E903+(0-50)</f>
        <v>12856140.209999945</v>
      </c>
    </row>
    <row r="905" spans="1:5" x14ac:dyDescent="0.25">
      <c r="A905" s="2" t="s">
        <v>38</v>
      </c>
      <c r="B905" s="6">
        <v>44621</v>
      </c>
      <c r="C905" s="2" t="s">
        <v>16</v>
      </c>
      <c r="D905" s="8">
        <v>-200</v>
      </c>
      <c r="E905" s="8">
        <f>E904+(0-200)</f>
        <v>12855940.209999945</v>
      </c>
    </row>
    <row r="906" spans="1:5" x14ac:dyDescent="0.25">
      <c r="A906" s="2" t="s">
        <v>38</v>
      </c>
      <c r="B906" s="6">
        <v>44621</v>
      </c>
      <c r="C906" s="2" t="s">
        <v>16</v>
      </c>
      <c r="D906" s="8">
        <v>-100</v>
      </c>
      <c r="E906" s="8">
        <f>E905+(0-100)</f>
        <v>12855840.209999945</v>
      </c>
    </row>
    <row r="907" spans="1:5" x14ac:dyDescent="0.25">
      <c r="A907" s="2" t="s">
        <v>38</v>
      </c>
      <c r="B907" s="6">
        <v>44621</v>
      </c>
      <c r="C907" s="2" t="s">
        <v>19</v>
      </c>
      <c r="D907" s="8">
        <v>-40</v>
      </c>
      <c r="E907" s="8">
        <f>E906+(0-40)</f>
        <v>12855800.209999945</v>
      </c>
    </row>
    <row r="908" spans="1:5" x14ac:dyDescent="0.25">
      <c r="A908" s="2" t="s">
        <v>38</v>
      </c>
      <c r="B908" s="6">
        <v>44622</v>
      </c>
      <c r="C908" s="2" t="s">
        <v>174</v>
      </c>
      <c r="D908" s="8">
        <v>-26.88</v>
      </c>
      <c r="E908" s="8">
        <f>E907+(0-26.88)</f>
        <v>12855773.329999944</v>
      </c>
    </row>
    <row r="909" spans="1:5" x14ac:dyDescent="0.25">
      <c r="A909" s="2" t="s">
        <v>38</v>
      </c>
      <c r="B909" s="6">
        <v>44622</v>
      </c>
      <c r="C909" s="2" t="s">
        <v>174</v>
      </c>
      <c r="D909" s="8">
        <v>-53.75</v>
      </c>
      <c r="E909" s="8">
        <f>E908+(0-53.75)</f>
        <v>12855719.579999944</v>
      </c>
    </row>
    <row r="910" spans="1:5" x14ac:dyDescent="0.25">
      <c r="A910" s="2" t="s">
        <v>38</v>
      </c>
      <c r="B910" s="6">
        <v>44622</v>
      </c>
      <c r="C910" s="2" t="s">
        <v>174</v>
      </c>
      <c r="D910" s="8">
        <v>-53.75</v>
      </c>
      <c r="E910" s="8">
        <f>E909+(0-53.75)</f>
        <v>12855665.829999944</v>
      </c>
    </row>
    <row r="911" spans="1:5" x14ac:dyDescent="0.25">
      <c r="A911" s="2" t="s">
        <v>38</v>
      </c>
      <c r="B911" s="6">
        <v>44622</v>
      </c>
      <c r="C911" s="2" t="s">
        <v>16</v>
      </c>
      <c r="D911" s="8">
        <v>-50</v>
      </c>
      <c r="E911" s="8">
        <f>E910+(0-50)</f>
        <v>12855615.829999944</v>
      </c>
    </row>
    <row r="912" spans="1:5" x14ac:dyDescent="0.25">
      <c r="A912" s="2" t="s">
        <v>38</v>
      </c>
      <c r="B912" s="6">
        <v>44622</v>
      </c>
      <c r="C912" s="2" t="s">
        <v>16</v>
      </c>
      <c r="D912" s="8">
        <v>-50</v>
      </c>
      <c r="E912" s="8">
        <f>E911+(0-50)</f>
        <v>12855565.829999944</v>
      </c>
    </row>
    <row r="913" spans="1:5" x14ac:dyDescent="0.25">
      <c r="A913" s="2" t="s">
        <v>38</v>
      </c>
      <c r="B913" s="6">
        <v>44622</v>
      </c>
      <c r="C913" s="2" t="s">
        <v>16</v>
      </c>
      <c r="D913" s="8">
        <v>-350</v>
      </c>
      <c r="E913" s="8">
        <f>E912+(0-350)</f>
        <v>12855215.829999944</v>
      </c>
    </row>
    <row r="914" spans="1:5" x14ac:dyDescent="0.25">
      <c r="A914" s="2" t="s">
        <v>38</v>
      </c>
      <c r="B914" s="6">
        <v>44623</v>
      </c>
      <c r="C914" s="2" t="s">
        <v>19</v>
      </c>
      <c r="D914" s="8">
        <v>-48</v>
      </c>
      <c r="E914" s="8">
        <f>E913+(0-48)</f>
        <v>12855167.829999944</v>
      </c>
    </row>
    <row r="915" spans="1:5" x14ac:dyDescent="0.25">
      <c r="A915" s="2" t="s">
        <v>38</v>
      </c>
      <c r="B915" s="6">
        <v>44623</v>
      </c>
      <c r="C915" s="2" t="s">
        <v>174</v>
      </c>
      <c r="D915" s="8">
        <v>-53.75</v>
      </c>
      <c r="E915" s="8">
        <f>E914+(0-53.75)</f>
        <v>12855114.079999944</v>
      </c>
    </row>
    <row r="916" spans="1:5" x14ac:dyDescent="0.25">
      <c r="A916" s="2" t="s">
        <v>38</v>
      </c>
      <c r="B916" s="6">
        <v>44623</v>
      </c>
      <c r="C916" s="2" t="s">
        <v>16</v>
      </c>
      <c r="D916" s="8">
        <v>-50</v>
      </c>
      <c r="E916" s="8">
        <f>E915+(0-50)</f>
        <v>12855064.079999944</v>
      </c>
    </row>
    <row r="917" spans="1:5" x14ac:dyDescent="0.25">
      <c r="A917" s="2" t="s">
        <v>38</v>
      </c>
      <c r="B917" s="6">
        <v>44623</v>
      </c>
      <c r="C917" s="2" t="s">
        <v>16</v>
      </c>
      <c r="D917" s="8">
        <v>-50</v>
      </c>
      <c r="E917" s="8">
        <f>E916+(0-50)</f>
        <v>12855014.079999944</v>
      </c>
    </row>
    <row r="918" spans="1:5" x14ac:dyDescent="0.25">
      <c r="A918" s="2" t="s">
        <v>38</v>
      </c>
      <c r="B918" s="6">
        <v>44623</v>
      </c>
      <c r="C918" s="2" t="s">
        <v>19</v>
      </c>
      <c r="D918" s="8">
        <v>-64</v>
      </c>
      <c r="E918" s="8">
        <f>E917+(0-64)</f>
        <v>12854950.079999944</v>
      </c>
    </row>
    <row r="919" spans="1:5" x14ac:dyDescent="0.25">
      <c r="A919" s="2" t="s">
        <v>38</v>
      </c>
      <c r="B919" s="6">
        <v>44623</v>
      </c>
      <c r="C919" s="2" t="s">
        <v>16</v>
      </c>
      <c r="D919" s="8">
        <v>-150</v>
      </c>
      <c r="E919" s="8">
        <f>E918+(0-150)</f>
        <v>12854800.079999944</v>
      </c>
    </row>
    <row r="920" spans="1:5" x14ac:dyDescent="0.25">
      <c r="A920" s="2" t="s">
        <v>38</v>
      </c>
      <c r="B920" s="6">
        <v>44624</v>
      </c>
      <c r="C920" s="2" t="s">
        <v>16</v>
      </c>
      <c r="D920" s="8">
        <v>-50</v>
      </c>
      <c r="E920" s="8">
        <f>E919+(0-50)</f>
        <v>12854750.079999944</v>
      </c>
    </row>
    <row r="921" spans="1:5" x14ac:dyDescent="0.25">
      <c r="A921" s="2" t="s">
        <v>38</v>
      </c>
      <c r="B921" s="6">
        <v>44624</v>
      </c>
      <c r="C921" s="2" t="s">
        <v>16</v>
      </c>
      <c r="D921" s="8">
        <v>-50</v>
      </c>
      <c r="E921" s="8">
        <f>E920+(0-50)</f>
        <v>12854700.079999944</v>
      </c>
    </row>
    <row r="922" spans="1:5" x14ac:dyDescent="0.25">
      <c r="A922" s="2" t="s">
        <v>38</v>
      </c>
      <c r="B922" s="6">
        <v>44624</v>
      </c>
      <c r="C922" s="2" t="s">
        <v>16</v>
      </c>
      <c r="D922" s="8">
        <v>-250</v>
      </c>
      <c r="E922" s="8">
        <f>E921+(0-250)</f>
        <v>12854450.079999944</v>
      </c>
    </row>
    <row r="923" spans="1:5" x14ac:dyDescent="0.25">
      <c r="A923" s="2" t="s">
        <v>38</v>
      </c>
      <c r="B923" s="6">
        <v>44627</v>
      </c>
      <c r="C923" s="2" t="s">
        <v>174</v>
      </c>
      <c r="D923" s="8">
        <v>-26.88</v>
      </c>
      <c r="E923" s="8">
        <f>E922+(0-26.88)</f>
        <v>12854423.199999943</v>
      </c>
    </row>
    <row r="924" spans="1:5" x14ac:dyDescent="0.25">
      <c r="A924" s="2" t="s">
        <v>38</v>
      </c>
      <c r="B924" s="6">
        <v>44627</v>
      </c>
      <c r="C924" s="2" t="s">
        <v>16</v>
      </c>
      <c r="D924" s="8">
        <v>-450</v>
      </c>
      <c r="E924" s="8">
        <f>E923+(0-450)</f>
        <v>12853973.199999943</v>
      </c>
    </row>
    <row r="925" spans="1:5" x14ac:dyDescent="0.25">
      <c r="A925" s="2" t="s">
        <v>38</v>
      </c>
      <c r="B925" s="6">
        <v>44628</v>
      </c>
      <c r="C925" s="2" t="s">
        <v>16</v>
      </c>
      <c r="D925" s="8">
        <v>-50</v>
      </c>
      <c r="E925" s="8">
        <f>E924+(0-50)</f>
        <v>12853923.199999943</v>
      </c>
    </row>
    <row r="926" spans="1:5" x14ac:dyDescent="0.25">
      <c r="A926" s="2" t="s">
        <v>38</v>
      </c>
      <c r="B926" s="6">
        <v>44628</v>
      </c>
      <c r="C926" s="2" t="s">
        <v>16</v>
      </c>
      <c r="D926" s="8">
        <v>-250</v>
      </c>
      <c r="E926" s="8">
        <f>E925+(0-250)</f>
        <v>12853673.199999943</v>
      </c>
    </row>
    <row r="927" spans="1:5" x14ac:dyDescent="0.25">
      <c r="A927" s="2" t="s">
        <v>38</v>
      </c>
      <c r="B927" s="6">
        <v>44629</v>
      </c>
      <c r="C927" s="2" t="s">
        <v>16</v>
      </c>
      <c r="D927" s="8">
        <v>-200</v>
      </c>
      <c r="E927" s="8">
        <f>E926+(0-200)</f>
        <v>12853473.199999943</v>
      </c>
    </row>
    <row r="928" spans="1:5" x14ac:dyDescent="0.25">
      <c r="A928" s="2" t="s">
        <v>38</v>
      </c>
      <c r="B928" s="6">
        <v>44629</v>
      </c>
      <c r="C928" s="2" t="s">
        <v>16</v>
      </c>
      <c r="D928" s="8">
        <v>-50</v>
      </c>
      <c r="E928" s="8">
        <f>E927+(0-50)</f>
        <v>12853423.199999943</v>
      </c>
    </row>
    <row r="929" spans="1:5" x14ac:dyDescent="0.25">
      <c r="A929" s="2" t="s">
        <v>38</v>
      </c>
      <c r="B929" s="6">
        <v>44630</v>
      </c>
      <c r="C929" s="2" t="s">
        <v>16</v>
      </c>
      <c r="D929" s="8">
        <v>-50</v>
      </c>
      <c r="E929" s="8">
        <f>E928+(0-50)</f>
        <v>12853373.199999943</v>
      </c>
    </row>
    <row r="930" spans="1:5" x14ac:dyDescent="0.25">
      <c r="A930" s="2" t="s">
        <v>38</v>
      </c>
      <c r="B930" s="6">
        <v>44630</v>
      </c>
      <c r="C930" s="2" t="s">
        <v>16</v>
      </c>
      <c r="D930" s="8">
        <v>-50</v>
      </c>
      <c r="E930" s="8">
        <f>E929+(0-50)</f>
        <v>12853323.199999943</v>
      </c>
    </row>
    <row r="931" spans="1:5" x14ac:dyDescent="0.25">
      <c r="A931" s="2" t="s">
        <v>38</v>
      </c>
      <c r="B931" s="6">
        <v>44630</v>
      </c>
      <c r="C931" s="2" t="s">
        <v>16</v>
      </c>
      <c r="D931" s="8">
        <v>-200</v>
      </c>
      <c r="E931" s="8">
        <f>E930+(0-200)</f>
        <v>12853123.199999943</v>
      </c>
    </row>
    <row r="932" spans="1:5" x14ac:dyDescent="0.25">
      <c r="A932" s="2" t="s">
        <v>38</v>
      </c>
      <c r="B932" s="6">
        <v>44631</v>
      </c>
      <c r="C932" s="2" t="s">
        <v>16</v>
      </c>
      <c r="D932" s="8">
        <v>-50</v>
      </c>
      <c r="E932" s="8">
        <f>E931+(0-50)</f>
        <v>12853073.199999943</v>
      </c>
    </row>
    <row r="933" spans="1:5" x14ac:dyDescent="0.25">
      <c r="A933" s="2" t="s">
        <v>38</v>
      </c>
      <c r="B933" s="6">
        <v>44631</v>
      </c>
      <c r="C933" s="2" t="s">
        <v>174</v>
      </c>
      <c r="D933" s="8">
        <v>-53.75</v>
      </c>
      <c r="E933" s="8">
        <f>E932+(0-53.75)</f>
        <v>12853019.449999943</v>
      </c>
    </row>
    <row r="934" spans="1:5" x14ac:dyDescent="0.25">
      <c r="A934" s="2" t="s">
        <v>38</v>
      </c>
      <c r="B934" s="6">
        <v>44631</v>
      </c>
      <c r="C934" s="2" t="s">
        <v>16</v>
      </c>
      <c r="D934" s="8">
        <v>-200</v>
      </c>
      <c r="E934" s="8">
        <f>E933+(0-200)</f>
        <v>12852819.449999943</v>
      </c>
    </row>
    <row r="935" spans="1:5" x14ac:dyDescent="0.25">
      <c r="A935" s="2" t="s">
        <v>38</v>
      </c>
      <c r="B935" s="6">
        <v>44634</v>
      </c>
      <c r="C935" s="2" t="s">
        <v>16</v>
      </c>
      <c r="D935" s="8">
        <v>-50</v>
      </c>
      <c r="E935" s="8">
        <f>E934+(0-50)</f>
        <v>12852769.449999943</v>
      </c>
    </row>
    <row r="936" spans="1:5" x14ac:dyDescent="0.25">
      <c r="A936" s="2" t="s">
        <v>38</v>
      </c>
      <c r="B936" s="6">
        <v>44634</v>
      </c>
      <c r="C936" s="2" t="s">
        <v>16</v>
      </c>
      <c r="D936" s="8">
        <v>-350</v>
      </c>
      <c r="E936" s="8">
        <f>E935+(0-350)</f>
        <v>12852419.449999943</v>
      </c>
    </row>
    <row r="937" spans="1:5" x14ac:dyDescent="0.25">
      <c r="A937" s="2" t="s">
        <v>38</v>
      </c>
      <c r="B937" s="6">
        <v>44635</v>
      </c>
      <c r="C937" s="2" t="s">
        <v>19</v>
      </c>
      <c r="D937" s="8">
        <v>-24</v>
      </c>
      <c r="E937" s="8">
        <f>E936+(0-24)</f>
        <v>12852395.449999943</v>
      </c>
    </row>
    <row r="938" spans="1:5" x14ac:dyDescent="0.25">
      <c r="A938" s="2" t="s">
        <v>38</v>
      </c>
      <c r="B938" s="6">
        <v>44635</v>
      </c>
      <c r="C938" s="2" t="s">
        <v>19</v>
      </c>
      <c r="D938" s="8">
        <v>-44</v>
      </c>
      <c r="E938" s="8">
        <f>E937+(0-44)</f>
        <v>12852351.449999943</v>
      </c>
    </row>
    <row r="939" spans="1:5" x14ac:dyDescent="0.25">
      <c r="A939" s="2" t="s">
        <v>38</v>
      </c>
      <c r="B939" s="6">
        <v>44635</v>
      </c>
      <c r="C939" s="2" t="s">
        <v>19</v>
      </c>
      <c r="D939" s="8">
        <v>-8</v>
      </c>
      <c r="E939" s="8">
        <f>E938+(0-8)</f>
        <v>12852343.449999943</v>
      </c>
    </row>
    <row r="940" spans="1:5" x14ac:dyDescent="0.25">
      <c r="A940" s="2" t="s">
        <v>38</v>
      </c>
      <c r="B940" s="6">
        <v>44635</v>
      </c>
      <c r="C940" s="2" t="s">
        <v>16</v>
      </c>
      <c r="D940" s="8">
        <v>-200</v>
      </c>
      <c r="E940" s="8">
        <f>E939+(0-200)</f>
        <v>12852143.449999943</v>
      </c>
    </row>
    <row r="941" spans="1:5" x14ac:dyDescent="0.25">
      <c r="A941" s="2" t="s">
        <v>38</v>
      </c>
      <c r="B941" s="6">
        <v>44635</v>
      </c>
      <c r="C941" s="2" t="s">
        <v>16</v>
      </c>
      <c r="D941" s="8">
        <v>-100</v>
      </c>
      <c r="E941" s="8">
        <f>E940+(0-100)</f>
        <v>12852043.449999943</v>
      </c>
    </row>
    <row r="942" spans="1:5" x14ac:dyDescent="0.25">
      <c r="A942" s="2" t="s">
        <v>38</v>
      </c>
      <c r="B942" s="6">
        <v>44635</v>
      </c>
      <c r="C942" s="2" t="s">
        <v>19</v>
      </c>
      <c r="D942" s="8">
        <v>-24</v>
      </c>
      <c r="E942" s="8">
        <f>E941+(0-24)</f>
        <v>12852019.449999943</v>
      </c>
    </row>
    <row r="943" spans="1:5" x14ac:dyDescent="0.25">
      <c r="A943" s="2" t="s">
        <v>38</v>
      </c>
      <c r="B943" s="6">
        <v>44636</v>
      </c>
      <c r="C943" s="2" t="s">
        <v>17</v>
      </c>
      <c r="D943" s="8">
        <v>-12</v>
      </c>
      <c r="E943" s="8">
        <f>E942+(0-12)</f>
        <v>12852007.449999943</v>
      </c>
    </row>
    <row r="944" spans="1:5" x14ac:dyDescent="0.25">
      <c r="A944" s="2" t="s">
        <v>38</v>
      </c>
      <c r="B944" s="6">
        <v>44636</v>
      </c>
      <c r="C944" s="2" t="s">
        <v>19</v>
      </c>
      <c r="D944" s="8">
        <v>-64</v>
      </c>
      <c r="E944" s="8">
        <f>E943+(0-64)</f>
        <v>12851943.449999943</v>
      </c>
    </row>
    <row r="945" spans="1:5" x14ac:dyDescent="0.25">
      <c r="A945" s="2" t="s">
        <v>38</v>
      </c>
      <c r="B945" s="6">
        <v>44636</v>
      </c>
      <c r="C945" s="2" t="s">
        <v>17</v>
      </c>
      <c r="D945" s="8">
        <v>-24</v>
      </c>
      <c r="E945" s="8">
        <f>E944+(0-24)</f>
        <v>12851919.449999943</v>
      </c>
    </row>
    <row r="946" spans="1:5" x14ac:dyDescent="0.25">
      <c r="A946" s="2" t="s">
        <v>38</v>
      </c>
      <c r="B946" s="6">
        <v>44636</v>
      </c>
      <c r="C946" s="2" t="s">
        <v>17</v>
      </c>
      <c r="D946" s="8">
        <v>-28</v>
      </c>
      <c r="E946" s="8">
        <f>E945+(0-28)</f>
        <v>12851891.449999943</v>
      </c>
    </row>
    <row r="947" spans="1:5" x14ac:dyDescent="0.25">
      <c r="A947" s="2" t="s">
        <v>38</v>
      </c>
      <c r="B947" s="6">
        <v>44636</v>
      </c>
      <c r="C947" s="2" t="s">
        <v>17</v>
      </c>
      <c r="D947" s="8">
        <v>-56</v>
      </c>
      <c r="E947" s="8">
        <f>E946+(0-56)</f>
        <v>12851835.449999943</v>
      </c>
    </row>
    <row r="948" spans="1:5" x14ac:dyDescent="0.25">
      <c r="A948" s="2" t="s">
        <v>38</v>
      </c>
      <c r="B948" s="6">
        <v>44636</v>
      </c>
      <c r="C948" s="2" t="s">
        <v>174</v>
      </c>
      <c r="D948" s="8">
        <v>-53.75</v>
      </c>
      <c r="E948" s="8">
        <f>E947+(0-53.75)</f>
        <v>12851781.699999943</v>
      </c>
    </row>
    <row r="949" spans="1:5" x14ac:dyDescent="0.25">
      <c r="A949" s="2" t="s">
        <v>38</v>
      </c>
      <c r="B949" s="6">
        <v>44636</v>
      </c>
      <c r="C949" s="2" t="s">
        <v>174</v>
      </c>
      <c r="D949" s="8">
        <v>-53.75</v>
      </c>
      <c r="E949" s="8">
        <f>E948+(0-53.75)</f>
        <v>12851727.949999943</v>
      </c>
    </row>
    <row r="950" spans="1:5" x14ac:dyDescent="0.25">
      <c r="A950" s="2" t="s">
        <v>38</v>
      </c>
      <c r="B950" s="6">
        <v>44636</v>
      </c>
      <c r="C950" s="2" t="s">
        <v>174</v>
      </c>
      <c r="D950" s="8">
        <v>-26.88</v>
      </c>
      <c r="E950" s="8">
        <f>E949+(0-26.88)</f>
        <v>12851701.069999943</v>
      </c>
    </row>
    <row r="951" spans="1:5" x14ac:dyDescent="0.25">
      <c r="A951" s="2" t="s">
        <v>38</v>
      </c>
      <c r="B951" s="6">
        <v>44636</v>
      </c>
      <c r="C951" s="2" t="s">
        <v>16</v>
      </c>
      <c r="D951" s="8">
        <v>-50</v>
      </c>
      <c r="E951" s="8">
        <f>E950+(0-50)</f>
        <v>12851651.069999943</v>
      </c>
    </row>
    <row r="952" spans="1:5" x14ac:dyDescent="0.25">
      <c r="A952" s="2" t="s">
        <v>38</v>
      </c>
      <c r="B952" s="6">
        <v>44636</v>
      </c>
      <c r="C952" s="2" t="s">
        <v>16</v>
      </c>
      <c r="D952" s="8">
        <v>-50</v>
      </c>
      <c r="E952" s="8">
        <f>E951+(0-50)</f>
        <v>12851601.069999943</v>
      </c>
    </row>
    <row r="953" spans="1:5" x14ac:dyDescent="0.25">
      <c r="A953" s="2" t="s">
        <v>38</v>
      </c>
      <c r="B953" s="6">
        <v>44636</v>
      </c>
      <c r="C953" s="2" t="s">
        <v>16</v>
      </c>
      <c r="D953" s="8">
        <v>-150</v>
      </c>
      <c r="E953" s="8">
        <f>E952+(0-150)</f>
        <v>12851451.069999943</v>
      </c>
    </row>
    <row r="954" spans="1:5" x14ac:dyDescent="0.25">
      <c r="A954" s="2" t="s">
        <v>38</v>
      </c>
      <c r="B954" s="6">
        <v>44637</v>
      </c>
      <c r="C954" s="2" t="s">
        <v>16</v>
      </c>
      <c r="D954" s="8">
        <v>-50</v>
      </c>
      <c r="E954" s="8">
        <f>E953+(0-50)</f>
        <v>12851401.069999943</v>
      </c>
    </row>
    <row r="955" spans="1:5" x14ac:dyDescent="0.25">
      <c r="A955" s="2" t="s">
        <v>38</v>
      </c>
      <c r="B955" s="6">
        <v>44637</v>
      </c>
      <c r="C955" s="2" t="s">
        <v>16</v>
      </c>
      <c r="D955" s="8">
        <v>-50</v>
      </c>
      <c r="E955" s="8">
        <f>E954+(0-50)</f>
        <v>12851351.069999943</v>
      </c>
    </row>
    <row r="956" spans="1:5" x14ac:dyDescent="0.25">
      <c r="A956" s="2" t="s">
        <v>38</v>
      </c>
      <c r="B956" s="6">
        <v>44637</v>
      </c>
      <c r="C956" s="2" t="s">
        <v>16</v>
      </c>
      <c r="D956" s="8">
        <v>-300</v>
      </c>
      <c r="E956" s="8">
        <f>E955+(0-300)</f>
        <v>12851051.069999943</v>
      </c>
    </row>
    <row r="957" spans="1:5" x14ac:dyDescent="0.25">
      <c r="A957" s="2" t="s">
        <v>38</v>
      </c>
      <c r="B957" s="6">
        <v>44637</v>
      </c>
      <c r="C957" s="2" t="s">
        <v>16</v>
      </c>
      <c r="D957" s="8">
        <v>-50</v>
      </c>
      <c r="E957" s="8">
        <f>E956+(0-50)</f>
        <v>12851001.069999943</v>
      </c>
    </row>
    <row r="958" spans="1:5" x14ac:dyDescent="0.25">
      <c r="A958" s="2" t="s">
        <v>38</v>
      </c>
      <c r="B958" s="6">
        <v>44638</v>
      </c>
      <c r="C958" s="2" t="s">
        <v>16</v>
      </c>
      <c r="D958" s="8">
        <v>-250</v>
      </c>
      <c r="E958" s="8">
        <f>E957+(0-250)</f>
        <v>12850751.069999943</v>
      </c>
    </row>
    <row r="959" spans="1:5" x14ac:dyDescent="0.25">
      <c r="A959" s="2" t="s">
        <v>38</v>
      </c>
      <c r="B959" s="6">
        <v>44641</v>
      </c>
      <c r="C959" s="2" t="s">
        <v>19</v>
      </c>
      <c r="D959" s="8">
        <v>-56</v>
      </c>
      <c r="E959" s="8">
        <f>E958+(0-56)</f>
        <v>12850695.069999943</v>
      </c>
    </row>
    <row r="960" spans="1:5" x14ac:dyDescent="0.25">
      <c r="A960" s="2" t="s">
        <v>38</v>
      </c>
      <c r="B960" s="6">
        <v>44641</v>
      </c>
      <c r="C960" s="2" t="s">
        <v>19</v>
      </c>
      <c r="D960" s="8">
        <v>-20</v>
      </c>
      <c r="E960" s="8">
        <f>E959+(0-20)</f>
        <v>12850675.069999943</v>
      </c>
    </row>
    <row r="961" spans="1:5" x14ac:dyDescent="0.25">
      <c r="A961" s="2" t="s">
        <v>38</v>
      </c>
      <c r="B961" s="6">
        <v>44641</v>
      </c>
      <c r="C961" s="2" t="s">
        <v>19</v>
      </c>
      <c r="D961" s="8">
        <v>-56</v>
      </c>
      <c r="E961" s="8">
        <f>E960+(0-56)</f>
        <v>12850619.069999943</v>
      </c>
    </row>
    <row r="962" spans="1:5" x14ac:dyDescent="0.25">
      <c r="A962" s="2" t="s">
        <v>38</v>
      </c>
      <c r="B962" s="6">
        <v>44641</v>
      </c>
      <c r="C962" s="2" t="s">
        <v>19</v>
      </c>
      <c r="D962" s="8">
        <v>-40</v>
      </c>
      <c r="E962" s="8">
        <f>E961+(0-40)</f>
        <v>12850579.069999943</v>
      </c>
    </row>
    <row r="963" spans="1:5" x14ac:dyDescent="0.25">
      <c r="A963" s="2" t="s">
        <v>38</v>
      </c>
      <c r="B963" s="6">
        <v>44641</v>
      </c>
      <c r="C963" s="2" t="s">
        <v>16</v>
      </c>
      <c r="D963" s="8">
        <v>-50</v>
      </c>
      <c r="E963" s="8">
        <f>E962+(0-50)</f>
        <v>12850529.069999943</v>
      </c>
    </row>
    <row r="964" spans="1:5" x14ac:dyDescent="0.25">
      <c r="A964" s="2" t="s">
        <v>38</v>
      </c>
      <c r="B964" s="6">
        <v>44641</v>
      </c>
      <c r="C964" s="2" t="s">
        <v>175</v>
      </c>
      <c r="D964" s="8">
        <v>-50</v>
      </c>
      <c r="E964" s="8">
        <f>E963+(0-50)</f>
        <v>12850479.069999943</v>
      </c>
    </row>
    <row r="965" spans="1:5" x14ac:dyDescent="0.25">
      <c r="A965" s="2" t="s">
        <v>38</v>
      </c>
      <c r="B965" s="6">
        <v>44641</v>
      </c>
      <c r="C965" s="2" t="s">
        <v>16</v>
      </c>
      <c r="D965" s="8">
        <v>-150</v>
      </c>
      <c r="E965" s="8">
        <f>E964+(0-150)</f>
        <v>12850329.069999943</v>
      </c>
    </row>
    <row r="966" spans="1:5" x14ac:dyDescent="0.25">
      <c r="A966" s="2" t="s">
        <v>38</v>
      </c>
      <c r="B966" s="6">
        <v>44642</v>
      </c>
      <c r="C966" s="2" t="s">
        <v>19</v>
      </c>
      <c r="D966" s="8">
        <v>-52</v>
      </c>
      <c r="E966" s="8">
        <f>E965+(0-52)</f>
        <v>12850277.069999943</v>
      </c>
    </row>
    <row r="967" spans="1:5" x14ac:dyDescent="0.25">
      <c r="A967" s="2" t="s">
        <v>38</v>
      </c>
      <c r="B967" s="6">
        <v>44642</v>
      </c>
      <c r="C967" s="2" t="s">
        <v>174</v>
      </c>
      <c r="D967" s="8">
        <v>-53.75</v>
      </c>
      <c r="E967" s="8">
        <f>E966+(0-53.75)</f>
        <v>12850223.319999943</v>
      </c>
    </row>
    <row r="968" spans="1:5" x14ac:dyDescent="0.25">
      <c r="A968" s="2" t="s">
        <v>38</v>
      </c>
      <c r="B968" s="6">
        <v>44642</v>
      </c>
      <c r="C968" s="2" t="s">
        <v>16</v>
      </c>
      <c r="D968" s="8">
        <v>-350</v>
      </c>
      <c r="E968" s="8">
        <f>E967+(0-350)</f>
        <v>12849873.319999943</v>
      </c>
    </row>
    <row r="969" spans="1:5" x14ac:dyDescent="0.25">
      <c r="A969" s="2" t="s">
        <v>38</v>
      </c>
      <c r="B969" s="6">
        <v>44643</v>
      </c>
      <c r="C969" s="2" t="s">
        <v>174</v>
      </c>
      <c r="D969" s="8">
        <v>-53.75</v>
      </c>
      <c r="E969" s="8">
        <f>E968+(0-53.75)</f>
        <v>12849819.569999943</v>
      </c>
    </row>
    <row r="970" spans="1:5" x14ac:dyDescent="0.25">
      <c r="A970" s="2" t="s">
        <v>38</v>
      </c>
      <c r="B970" s="6">
        <v>44643</v>
      </c>
      <c r="C970" s="2" t="s">
        <v>174</v>
      </c>
      <c r="D970" s="8">
        <v>-26.88</v>
      </c>
      <c r="E970" s="8">
        <f>E969+(0-26.88)</f>
        <v>12849792.689999942</v>
      </c>
    </row>
    <row r="971" spans="1:5" x14ac:dyDescent="0.25">
      <c r="A971" s="2" t="s">
        <v>38</v>
      </c>
      <c r="B971" s="6">
        <v>44643</v>
      </c>
      <c r="C971" s="2" t="s">
        <v>174</v>
      </c>
      <c r="D971" s="8">
        <v>-53.75</v>
      </c>
      <c r="E971" s="8">
        <f>E970+(0-53.75)</f>
        <v>12849738.939999942</v>
      </c>
    </row>
    <row r="972" spans="1:5" x14ac:dyDescent="0.25">
      <c r="A972" s="2" t="s">
        <v>38</v>
      </c>
      <c r="B972" s="6">
        <v>44643</v>
      </c>
      <c r="C972" s="2" t="s">
        <v>19</v>
      </c>
      <c r="D972" s="8">
        <v>-8</v>
      </c>
      <c r="E972" s="8">
        <f>E971+(0-8)</f>
        <v>12849730.939999942</v>
      </c>
    </row>
    <row r="973" spans="1:5" x14ac:dyDescent="0.25">
      <c r="A973" s="2" t="s">
        <v>38</v>
      </c>
      <c r="B973" s="6">
        <v>44643</v>
      </c>
      <c r="C973" s="2" t="s">
        <v>16</v>
      </c>
      <c r="D973" s="8">
        <v>-50</v>
      </c>
      <c r="E973" s="8">
        <f>E972+(0-50)</f>
        <v>12849680.939999942</v>
      </c>
    </row>
    <row r="974" spans="1:5" x14ac:dyDescent="0.25">
      <c r="A974" s="2" t="s">
        <v>38</v>
      </c>
      <c r="B974" s="6">
        <v>44643</v>
      </c>
      <c r="C974" s="2" t="s">
        <v>174</v>
      </c>
      <c r="D974" s="8">
        <v>-26.88</v>
      </c>
      <c r="E974" s="8">
        <f>E973+(0-26.88)</f>
        <v>12849654.059999941</v>
      </c>
    </row>
    <row r="975" spans="1:5" x14ac:dyDescent="0.25">
      <c r="A975" s="2" t="s">
        <v>38</v>
      </c>
      <c r="B975" s="6">
        <v>44643</v>
      </c>
      <c r="C975" s="2" t="s">
        <v>174</v>
      </c>
      <c r="D975" s="8">
        <v>-26.88</v>
      </c>
      <c r="E975" s="8">
        <f>E974+(0-26.88)</f>
        <v>12849627.17999994</v>
      </c>
    </row>
    <row r="976" spans="1:5" x14ac:dyDescent="0.25">
      <c r="A976" s="2" t="s">
        <v>38</v>
      </c>
      <c r="B976" s="6">
        <v>44643</v>
      </c>
      <c r="C976" s="2" t="s">
        <v>16</v>
      </c>
      <c r="D976" s="8">
        <v>-250</v>
      </c>
      <c r="E976" s="8">
        <f>E975+(0-250)</f>
        <v>12849377.17999994</v>
      </c>
    </row>
    <row r="977" spans="1:5" x14ac:dyDescent="0.25">
      <c r="A977" s="2" t="s">
        <v>38</v>
      </c>
      <c r="B977" s="6">
        <v>44644</v>
      </c>
      <c r="C977" s="2" t="s">
        <v>16</v>
      </c>
      <c r="D977" s="8">
        <v>-50</v>
      </c>
      <c r="E977" s="8">
        <f>E976+(0-50)</f>
        <v>12849327.17999994</v>
      </c>
    </row>
    <row r="978" spans="1:5" x14ac:dyDescent="0.25">
      <c r="A978" s="2" t="s">
        <v>38</v>
      </c>
      <c r="B978" s="6">
        <v>44644</v>
      </c>
      <c r="C978" s="2" t="s">
        <v>16</v>
      </c>
      <c r="D978" s="8">
        <v>-50</v>
      </c>
      <c r="E978" s="8">
        <f>E977+(0-50)</f>
        <v>12849277.17999994</v>
      </c>
    </row>
    <row r="979" spans="1:5" x14ac:dyDescent="0.25">
      <c r="A979" s="2" t="s">
        <v>38</v>
      </c>
      <c r="B979" s="6">
        <v>44644</v>
      </c>
      <c r="C979" s="2" t="s">
        <v>16</v>
      </c>
      <c r="D979" s="8">
        <v>-50</v>
      </c>
      <c r="E979" s="8">
        <f>E978+(0-50)</f>
        <v>12849227.17999994</v>
      </c>
    </row>
    <row r="980" spans="1:5" x14ac:dyDescent="0.25">
      <c r="A980" s="2" t="s">
        <v>38</v>
      </c>
      <c r="B980" s="6">
        <v>44644</v>
      </c>
      <c r="C980" s="2" t="s">
        <v>19</v>
      </c>
      <c r="D980" s="8">
        <v>-4</v>
      </c>
      <c r="E980" s="8">
        <f>E979+(0-4)</f>
        <v>12849223.17999994</v>
      </c>
    </row>
    <row r="981" spans="1:5" x14ac:dyDescent="0.25">
      <c r="A981" s="2" t="s">
        <v>38</v>
      </c>
      <c r="B981" s="6">
        <v>44644</v>
      </c>
      <c r="C981" s="2" t="s">
        <v>16</v>
      </c>
      <c r="D981" s="8">
        <v>-500</v>
      </c>
      <c r="E981" s="8">
        <f>E980+(0-500)</f>
        <v>12848723.17999994</v>
      </c>
    </row>
    <row r="982" spans="1:5" x14ac:dyDescent="0.25">
      <c r="A982" s="2" t="s">
        <v>38</v>
      </c>
      <c r="B982" s="6">
        <v>44645</v>
      </c>
      <c r="C982" s="2" t="s">
        <v>16</v>
      </c>
      <c r="D982" s="8">
        <v>-50</v>
      </c>
      <c r="E982" s="8">
        <f>E981+(0-50)</f>
        <v>12848673.17999994</v>
      </c>
    </row>
    <row r="983" spans="1:5" x14ac:dyDescent="0.25">
      <c r="A983" s="2" t="s">
        <v>38</v>
      </c>
      <c r="B983" s="6">
        <v>44645</v>
      </c>
      <c r="C983" s="2" t="s">
        <v>174</v>
      </c>
      <c r="D983" s="8">
        <v>-26.88</v>
      </c>
      <c r="E983" s="8">
        <f>E982+(0-26.88)</f>
        <v>12848646.299999939</v>
      </c>
    </row>
    <row r="984" spans="1:5" x14ac:dyDescent="0.25">
      <c r="A984" s="2" t="s">
        <v>38</v>
      </c>
      <c r="B984" s="6">
        <v>44645</v>
      </c>
      <c r="C984" s="2" t="s">
        <v>19</v>
      </c>
      <c r="D984" s="8">
        <v>-36</v>
      </c>
      <c r="E984" s="8">
        <f>E983+(0-36)</f>
        <v>12848610.299999939</v>
      </c>
    </row>
    <row r="985" spans="1:5" x14ac:dyDescent="0.25">
      <c r="A985" s="2" t="s">
        <v>38</v>
      </c>
      <c r="B985" s="6">
        <v>44645</v>
      </c>
      <c r="C985" s="2" t="s">
        <v>16</v>
      </c>
      <c r="D985" s="8">
        <v>-50</v>
      </c>
      <c r="E985" s="8">
        <f>E984+(0-50)</f>
        <v>12848560.299999939</v>
      </c>
    </row>
    <row r="986" spans="1:5" x14ac:dyDescent="0.25">
      <c r="A986" s="2" t="s">
        <v>38</v>
      </c>
      <c r="B986" s="6">
        <v>44645</v>
      </c>
      <c r="C986" s="2" t="s">
        <v>16</v>
      </c>
      <c r="D986" s="8">
        <v>-50</v>
      </c>
      <c r="E986" s="8">
        <f>E985+(0-50)</f>
        <v>12848510.299999939</v>
      </c>
    </row>
    <row r="987" spans="1:5" x14ac:dyDescent="0.25">
      <c r="A987" s="2" t="s">
        <v>38</v>
      </c>
      <c r="B987" s="6">
        <v>44648</v>
      </c>
      <c r="C987" s="2" t="s">
        <v>174</v>
      </c>
      <c r="D987" s="8">
        <v>-10.75</v>
      </c>
      <c r="E987" s="8">
        <f>E986+(0-10.75)</f>
        <v>12848499.549999939</v>
      </c>
    </row>
    <row r="988" spans="1:5" x14ac:dyDescent="0.25">
      <c r="A988" s="2" t="s">
        <v>38</v>
      </c>
      <c r="B988" s="6">
        <v>44648</v>
      </c>
      <c r="C988" s="2" t="s">
        <v>174</v>
      </c>
      <c r="D988" s="8">
        <v>-53.75</v>
      </c>
      <c r="E988" s="8">
        <f>E987+(0-53.75)</f>
        <v>12848445.799999939</v>
      </c>
    </row>
    <row r="989" spans="1:5" x14ac:dyDescent="0.25">
      <c r="A989" s="2" t="s">
        <v>38</v>
      </c>
      <c r="B989" s="6">
        <v>44648</v>
      </c>
      <c r="C989" s="2" t="s">
        <v>19</v>
      </c>
      <c r="D989" s="8">
        <v>-84</v>
      </c>
      <c r="E989" s="8">
        <f>E988+(0-84)</f>
        <v>12848361.799999939</v>
      </c>
    </row>
    <row r="990" spans="1:5" x14ac:dyDescent="0.25">
      <c r="A990" s="2" t="s">
        <v>38</v>
      </c>
      <c r="B990" s="6">
        <v>44648</v>
      </c>
      <c r="C990" s="2" t="s">
        <v>19</v>
      </c>
      <c r="D990" s="8">
        <v>-44</v>
      </c>
      <c r="E990" s="8">
        <f>E989+(0-44)</f>
        <v>12848317.799999939</v>
      </c>
    </row>
    <row r="991" spans="1:5" x14ac:dyDescent="0.25">
      <c r="A991" s="2" t="s">
        <v>38</v>
      </c>
      <c r="B991" s="6">
        <v>44648</v>
      </c>
      <c r="C991" s="2" t="s">
        <v>19</v>
      </c>
      <c r="D991" s="8">
        <v>-76</v>
      </c>
      <c r="E991" s="8">
        <f>E990+(0-76)</f>
        <v>12848241.799999939</v>
      </c>
    </row>
    <row r="992" spans="1:5" x14ac:dyDescent="0.25">
      <c r="A992" s="2" t="s">
        <v>38</v>
      </c>
      <c r="B992" s="6">
        <v>44648</v>
      </c>
      <c r="C992" s="2" t="s">
        <v>16</v>
      </c>
      <c r="D992" s="8">
        <v>-50</v>
      </c>
      <c r="E992" s="8">
        <f>E991+(0-50)</f>
        <v>12848191.799999939</v>
      </c>
    </row>
    <row r="993" spans="1:5" x14ac:dyDescent="0.25">
      <c r="A993" s="2" t="s">
        <v>38</v>
      </c>
      <c r="B993" s="6">
        <v>44648</v>
      </c>
      <c r="C993" s="2" t="s">
        <v>16</v>
      </c>
      <c r="D993" s="8">
        <v>-50</v>
      </c>
      <c r="E993" s="8">
        <f>E992+(0-50)</f>
        <v>12848141.799999939</v>
      </c>
    </row>
    <row r="994" spans="1:5" x14ac:dyDescent="0.25">
      <c r="A994" s="2" t="s">
        <v>38</v>
      </c>
      <c r="B994" s="6">
        <v>44648</v>
      </c>
      <c r="C994" s="2" t="s">
        <v>16</v>
      </c>
      <c r="D994" s="8">
        <v>-200</v>
      </c>
      <c r="E994" s="8">
        <f>E993+(0-200)</f>
        <v>12847941.799999939</v>
      </c>
    </row>
    <row r="995" spans="1:5" x14ac:dyDescent="0.25">
      <c r="A995" s="2" t="s">
        <v>38</v>
      </c>
      <c r="B995" s="6">
        <v>44649</v>
      </c>
      <c r="C995" s="2" t="s">
        <v>19</v>
      </c>
      <c r="D995" s="8">
        <v>-24</v>
      </c>
      <c r="E995" s="8">
        <f>E994+(0-24)</f>
        <v>12847917.799999939</v>
      </c>
    </row>
    <row r="996" spans="1:5" x14ac:dyDescent="0.25">
      <c r="A996" s="2" t="s">
        <v>38</v>
      </c>
      <c r="B996" s="6">
        <v>44649</v>
      </c>
      <c r="C996" s="2" t="s">
        <v>174</v>
      </c>
      <c r="D996" s="8">
        <v>-26.88</v>
      </c>
      <c r="E996" s="8">
        <f>E995+(0-26.88)</f>
        <v>12847890.919999938</v>
      </c>
    </row>
    <row r="997" spans="1:5" x14ac:dyDescent="0.25">
      <c r="A997" s="2" t="s">
        <v>38</v>
      </c>
      <c r="B997" s="6">
        <v>44649</v>
      </c>
      <c r="C997" s="2" t="s">
        <v>174</v>
      </c>
      <c r="D997" s="8">
        <v>-53.75</v>
      </c>
      <c r="E997" s="8">
        <f>E996+(0-53.75)</f>
        <v>12847837.169999938</v>
      </c>
    </row>
    <row r="998" spans="1:5" x14ac:dyDescent="0.25">
      <c r="A998" s="2" t="s">
        <v>38</v>
      </c>
      <c r="B998" s="6">
        <v>44649</v>
      </c>
      <c r="C998" s="2" t="s">
        <v>19</v>
      </c>
      <c r="D998" s="8">
        <v>-16</v>
      </c>
      <c r="E998" s="8">
        <f>E997+(0-16)</f>
        <v>12847821.169999938</v>
      </c>
    </row>
    <row r="999" spans="1:5" x14ac:dyDescent="0.25">
      <c r="A999" s="2" t="s">
        <v>38</v>
      </c>
      <c r="B999" s="6">
        <v>44649</v>
      </c>
      <c r="C999" s="2" t="s">
        <v>174</v>
      </c>
      <c r="D999" s="8">
        <v>-430</v>
      </c>
      <c r="E999" s="8">
        <f>E998+(0-430)</f>
        <v>12847391.169999938</v>
      </c>
    </row>
    <row r="1000" spans="1:5" x14ac:dyDescent="0.25">
      <c r="A1000" s="2" t="s">
        <v>38</v>
      </c>
      <c r="B1000" s="6">
        <v>44649</v>
      </c>
      <c r="C1000" s="2" t="s">
        <v>19</v>
      </c>
      <c r="D1000" s="8">
        <v>-4</v>
      </c>
      <c r="E1000" s="8">
        <f>E999+(0-4)</f>
        <v>12847387.169999938</v>
      </c>
    </row>
    <row r="1001" spans="1:5" x14ac:dyDescent="0.25">
      <c r="A1001" s="2" t="s">
        <v>38</v>
      </c>
      <c r="B1001" s="6">
        <v>44649</v>
      </c>
      <c r="C1001" s="2" t="s">
        <v>16</v>
      </c>
      <c r="D1001" s="8">
        <v>-300</v>
      </c>
      <c r="E1001" s="8">
        <f>E1000+(0-300)</f>
        <v>12847087.169999938</v>
      </c>
    </row>
    <row r="1002" spans="1:5" x14ac:dyDescent="0.25">
      <c r="A1002" s="2" t="s">
        <v>38</v>
      </c>
      <c r="B1002" s="6">
        <v>44650</v>
      </c>
      <c r="C1002" s="2" t="s">
        <v>19</v>
      </c>
      <c r="D1002" s="8">
        <v>-24</v>
      </c>
      <c r="E1002" s="8">
        <f>E1001+(0-24)</f>
        <v>12847063.169999938</v>
      </c>
    </row>
    <row r="1003" spans="1:5" x14ac:dyDescent="0.25">
      <c r="A1003" s="2" t="s">
        <v>38</v>
      </c>
      <c r="B1003" s="6">
        <v>44650</v>
      </c>
      <c r="C1003" s="2" t="s">
        <v>19</v>
      </c>
      <c r="D1003" s="8">
        <v>-60</v>
      </c>
      <c r="E1003" s="8">
        <f>E1002+(0-60)</f>
        <v>12847003.169999938</v>
      </c>
    </row>
    <row r="1004" spans="1:5" x14ac:dyDescent="0.25">
      <c r="A1004" s="2" t="s">
        <v>38</v>
      </c>
      <c r="B1004" s="6">
        <v>44650</v>
      </c>
      <c r="C1004" s="2" t="s">
        <v>16</v>
      </c>
      <c r="D1004" s="8">
        <v>-50</v>
      </c>
      <c r="E1004" s="8">
        <f>E1003+(0-50)</f>
        <v>12846953.169999938</v>
      </c>
    </row>
    <row r="1005" spans="1:5" x14ac:dyDescent="0.25">
      <c r="A1005" s="2" t="s">
        <v>38</v>
      </c>
      <c r="B1005" s="6">
        <v>44650</v>
      </c>
      <c r="C1005" s="2" t="s">
        <v>16</v>
      </c>
      <c r="D1005" s="8">
        <v>-100</v>
      </c>
      <c r="E1005" s="8">
        <f>E1004+(0-100)</f>
        <v>12846853.169999938</v>
      </c>
    </row>
    <row r="1006" spans="1:5" x14ac:dyDescent="0.25">
      <c r="A1006" s="2" t="s">
        <v>38</v>
      </c>
      <c r="B1006" s="6">
        <v>44651</v>
      </c>
      <c r="C1006" s="2" t="s">
        <v>174</v>
      </c>
      <c r="D1006" s="8">
        <v>-53.75</v>
      </c>
      <c r="E1006" s="8">
        <f>E1005+(0-53.75)</f>
        <v>12846799.419999938</v>
      </c>
    </row>
    <row r="1007" spans="1:5" x14ac:dyDescent="0.25">
      <c r="A1007" s="2" t="s">
        <v>38</v>
      </c>
      <c r="B1007" s="6">
        <v>44651</v>
      </c>
      <c r="C1007" s="2" t="s">
        <v>17</v>
      </c>
      <c r="D1007" s="8">
        <v>-12</v>
      </c>
      <c r="E1007" s="8">
        <f>E1006+(0-12)</f>
        <v>12846787.419999938</v>
      </c>
    </row>
    <row r="1008" spans="1:5" x14ac:dyDescent="0.25">
      <c r="A1008" s="2" t="s">
        <v>38</v>
      </c>
      <c r="B1008" s="6">
        <v>44651</v>
      </c>
      <c r="C1008" s="2" t="s">
        <v>16</v>
      </c>
      <c r="D1008" s="8">
        <v>-50</v>
      </c>
      <c r="E1008" s="8">
        <f>E1007+(0-50)</f>
        <v>12846737.419999938</v>
      </c>
    </row>
    <row r="1009" spans="1:5" x14ac:dyDescent="0.25">
      <c r="A1009" s="2" t="s">
        <v>38</v>
      </c>
      <c r="B1009" s="6">
        <v>44651</v>
      </c>
      <c r="C1009" s="2" t="s">
        <v>16</v>
      </c>
      <c r="D1009" s="8">
        <v>-50</v>
      </c>
      <c r="E1009" s="8">
        <f>E1008+(0-50)</f>
        <v>12846687.419999938</v>
      </c>
    </row>
    <row r="1010" spans="1:5" x14ac:dyDescent="0.25">
      <c r="A1010" s="2" t="s">
        <v>38</v>
      </c>
      <c r="B1010" s="6">
        <v>44651</v>
      </c>
      <c r="C1010" s="2" t="s">
        <v>16</v>
      </c>
      <c r="D1010" s="8">
        <v>-50</v>
      </c>
      <c r="E1010" s="8">
        <f>E1009+(0-50)</f>
        <v>12846637.419999938</v>
      </c>
    </row>
    <row r="1011" spans="1:5" x14ac:dyDescent="0.25">
      <c r="A1011" s="2" t="s">
        <v>38</v>
      </c>
      <c r="B1011" s="6">
        <v>44651</v>
      </c>
      <c r="C1011" s="2" t="s">
        <v>16</v>
      </c>
      <c r="D1011" s="8">
        <v>-50</v>
      </c>
      <c r="E1011" s="8">
        <f>E1010+(0-50)</f>
        <v>12846587.419999938</v>
      </c>
    </row>
    <row r="1012" spans="1:5" x14ac:dyDescent="0.25">
      <c r="A1012" s="2" t="s">
        <v>38</v>
      </c>
      <c r="B1012" s="6">
        <v>44651</v>
      </c>
      <c r="C1012" s="2" t="s">
        <v>16</v>
      </c>
      <c r="D1012" s="8">
        <v>-50</v>
      </c>
      <c r="E1012" s="8">
        <f>E1011+(0-50)</f>
        <v>12846537.419999938</v>
      </c>
    </row>
    <row r="1013" spans="1:5" x14ac:dyDescent="0.25">
      <c r="A1013" s="2" t="s">
        <v>38</v>
      </c>
      <c r="B1013" s="6">
        <v>44651</v>
      </c>
      <c r="C1013" s="2" t="s">
        <v>16</v>
      </c>
      <c r="D1013" s="8">
        <v>-350</v>
      </c>
      <c r="E1013" s="8">
        <f>E1012+(0-350)</f>
        <v>12846187.419999938</v>
      </c>
    </row>
    <row r="1014" spans="1:5" x14ac:dyDescent="0.25">
      <c r="A1014" s="2" t="s">
        <v>38</v>
      </c>
      <c r="B1014" s="6">
        <v>44652</v>
      </c>
      <c r="C1014" s="2" t="s">
        <v>19</v>
      </c>
      <c r="D1014" s="8">
        <v>-56</v>
      </c>
      <c r="E1014" s="8">
        <f>E1013+(0-56)</f>
        <v>12846131.419999938</v>
      </c>
    </row>
    <row r="1015" spans="1:5" x14ac:dyDescent="0.25">
      <c r="A1015" s="2" t="s">
        <v>38</v>
      </c>
      <c r="B1015" s="6">
        <v>44652</v>
      </c>
      <c r="C1015" s="2" t="s">
        <v>174</v>
      </c>
      <c r="D1015" s="8">
        <v>-53.75</v>
      </c>
      <c r="E1015" s="8">
        <f>E1014+(0-53.75)</f>
        <v>12846077.669999938</v>
      </c>
    </row>
    <row r="1016" spans="1:5" x14ac:dyDescent="0.25">
      <c r="A1016" s="2" t="s">
        <v>38</v>
      </c>
      <c r="B1016" s="6">
        <v>44652</v>
      </c>
      <c r="C1016" s="2" t="s">
        <v>16</v>
      </c>
      <c r="D1016" s="8">
        <v>-100</v>
      </c>
      <c r="E1016" s="8">
        <f>E1015+(0-100)</f>
        <v>12845977.669999938</v>
      </c>
    </row>
    <row r="1017" spans="1:5" x14ac:dyDescent="0.25">
      <c r="A1017" s="2" t="s">
        <v>38</v>
      </c>
      <c r="B1017" s="6">
        <v>44652</v>
      </c>
      <c r="C1017" s="2" t="s">
        <v>16</v>
      </c>
      <c r="D1017" s="8">
        <v>-150</v>
      </c>
      <c r="E1017" s="8">
        <f>E1016+(0-150)</f>
        <v>12845827.669999938</v>
      </c>
    </row>
    <row r="1018" spans="1:5" x14ac:dyDescent="0.25">
      <c r="A1018" s="2" t="s">
        <v>38</v>
      </c>
      <c r="B1018" s="6">
        <v>44655</v>
      </c>
      <c r="C1018" s="2" t="s">
        <v>19</v>
      </c>
      <c r="D1018" s="8">
        <v>-36</v>
      </c>
      <c r="E1018" s="8">
        <f>E1017+(0-36)</f>
        <v>12845791.669999938</v>
      </c>
    </row>
    <row r="1019" spans="1:5" x14ac:dyDescent="0.25">
      <c r="A1019" s="2" t="s">
        <v>38</v>
      </c>
      <c r="B1019" s="6">
        <v>44655</v>
      </c>
      <c r="C1019" s="2" t="s">
        <v>174</v>
      </c>
      <c r="D1019" s="8">
        <v>-53.75</v>
      </c>
      <c r="E1019" s="8">
        <f>E1018+(0-53.75)</f>
        <v>12845737.919999938</v>
      </c>
    </row>
    <row r="1020" spans="1:5" x14ac:dyDescent="0.25">
      <c r="A1020" s="2" t="s">
        <v>38</v>
      </c>
      <c r="B1020" s="6">
        <v>44655</v>
      </c>
      <c r="C1020" s="2" t="s">
        <v>19</v>
      </c>
      <c r="D1020" s="8">
        <v>-12</v>
      </c>
      <c r="E1020" s="8">
        <f>E1019+(0-12)</f>
        <v>12845725.919999938</v>
      </c>
    </row>
    <row r="1021" spans="1:5" x14ac:dyDescent="0.25">
      <c r="A1021" s="2" t="s">
        <v>38</v>
      </c>
      <c r="B1021" s="6">
        <v>44655</v>
      </c>
      <c r="C1021" s="2" t="s">
        <v>17</v>
      </c>
      <c r="D1021" s="8">
        <v>-4</v>
      </c>
      <c r="E1021" s="8">
        <f>E1020+(0-4)</f>
        <v>12845721.919999938</v>
      </c>
    </row>
    <row r="1022" spans="1:5" x14ac:dyDescent="0.25">
      <c r="A1022" s="2" t="s">
        <v>38</v>
      </c>
      <c r="B1022" s="6">
        <v>44655</v>
      </c>
      <c r="C1022" s="2" t="s">
        <v>16</v>
      </c>
      <c r="D1022" s="8">
        <v>-50</v>
      </c>
      <c r="E1022" s="8">
        <f>E1021+(0-50)</f>
        <v>12845671.919999938</v>
      </c>
    </row>
    <row r="1023" spans="1:5" x14ac:dyDescent="0.25">
      <c r="A1023" s="2" t="s">
        <v>38</v>
      </c>
      <c r="B1023" s="6">
        <v>44655</v>
      </c>
      <c r="C1023" s="2" t="s">
        <v>16</v>
      </c>
      <c r="D1023" s="8">
        <v>-200</v>
      </c>
      <c r="E1023" s="8">
        <f>E1022+(0-200)</f>
        <v>12845471.919999938</v>
      </c>
    </row>
    <row r="1024" spans="1:5" x14ac:dyDescent="0.25">
      <c r="A1024" s="2" t="s">
        <v>38</v>
      </c>
      <c r="B1024" s="6">
        <v>44656</v>
      </c>
      <c r="C1024" s="2" t="s">
        <v>19</v>
      </c>
      <c r="D1024" s="8">
        <v>-16</v>
      </c>
      <c r="E1024" s="8">
        <f>E1023+(0-16)</f>
        <v>12845455.919999938</v>
      </c>
    </row>
    <row r="1025" spans="1:5" x14ac:dyDescent="0.25">
      <c r="A1025" s="2" t="s">
        <v>38</v>
      </c>
      <c r="B1025" s="6">
        <v>44656</v>
      </c>
      <c r="C1025" s="2" t="s">
        <v>16</v>
      </c>
      <c r="D1025" s="8">
        <v>-350</v>
      </c>
      <c r="E1025" s="8">
        <f>E1024+(0-350)</f>
        <v>12845105.919999938</v>
      </c>
    </row>
    <row r="1026" spans="1:5" x14ac:dyDescent="0.25">
      <c r="A1026" s="2" t="s">
        <v>38</v>
      </c>
      <c r="B1026" s="6">
        <v>44656</v>
      </c>
      <c r="C1026" s="2" t="s">
        <v>16</v>
      </c>
      <c r="D1026" s="8">
        <v>-50</v>
      </c>
      <c r="E1026" s="8">
        <f>E1025+(0-50)</f>
        <v>12845055.919999938</v>
      </c>
    </row>
    <row r="1027" spans="1:5" x14ac:dyDescent="0.25">
      <c r="A1027" s="2" t="s">
        <v>38</v>
      </c>
      <c r="B1027" s="6">
        <v>44657</v>
      </c>
      <c r="C1027" s="2" t="s">
        <v>16</v>
      </c>
      <c r="D1027" s="8">
        <v>-150</v>
      </c>
      <c r="E1027" s="8">
        <f>E1026+(0-150)</f>
        <v>12844905.919999938</v>
      </c>
    </row>
    <row r="1028" spans="1:5" x14ac:dyDescent="0.25">
      <c r="A1028" s="2" t="s">
        <v>38</v>
      </c>
      <c r="B1028" s="6">
        <v>44658</v>
      </c>
      <c r="C1028" s="2" t="s">
        <v>16</v>
      </c>
      <c r="D1028" s="8">
        <v>-300</v>
      </c>
      <c r="E1028" s="8">
        <f>E1027+(0-300)</f>
        <v>12844605.919999938</v>
      </c>
    </row>
    <row r="1029" spans="1:5" x14ac:dyDescent="0.25">
      <c r="A1029" s="2" t="s">
        <v>38</v>
      </c>
      <c r="B1029" s="6">
        <v>44659</v>
      </c>
      <c r="C1029" s="2" t="s">
        <v>17</v>
      </c>
      <c r="D1029" s="8">
        <v>-40</v>
      </c>
      <c r="E1029" s="8">
        <f>E1028+(0-40)</f>
        <v>12844565.919999938</v>
      </c>
    </row>
    <row r="1030" spans="1:5" x14ac:dyDescent="0.25">
      <c r="A1030" s="2" t="s">
        <v>38</v>
      </c>
      <c r="B1030" s="6">
        <v>44659</v>
      </c>
      <c r="C1030" s="2" t="s">
        <v>174</v>
      </c>
      <c r="D1030" s="8">
        <v>-26.88</v>
      </c>
      <c r="E1030" s="8">
        <f>E1029+(0-26.88)</f>
        <v>12844539.039999938</v>
      </c>
    </row>
    <row r="1031" spans="1:5" x14ac:dyDescent="0.25">
      <c r="A1031" s="2" t="s">
        <v>38</v>
      </c>
      <c r="B1031" s="6">
        <v>44659</v>
      </c>
      <c r="C1031" s="2" t="s">
        <v>16</v>
      </c>
      <c r="D1031" s="8">
        <v>-350</v>
      </c>
      <c r="E1031" s="8">
        <f>E1030+(0-350)</f>
        <v>12844189.039999938</v>
      </c>
    </row>
    <row r="1032" spans="1:5" x14ac:dyDescent="0.25">
      <c r="A1032" s="2" t="s">
        <v>38</v>
      </c>
      <c r="B1032" s="6">
        <v>44662</v>
      </c>
      <c r="C1032" s="2" t="s">
        <v>19</v>
      </c>
      <c r="D1032" s="8">
        <v>-32</v>
      </c>
      <c r="E1032" s="8">
        <f>E1031+(0-32)</f>
        <v>12844157.039999938</v>
      </c>
    </row>
    <row r="1033" spans="1:5" x14ac:dyDescent="0.25">
      <c r="A1033" s="2" t="s">
        <v>38</v>
      </c>
      <c r="B1033" s="6">
        <v>44662</v>
      </c>
      <c r="C1033" s="2" t="s">
        <v>174</v>
      </c>
      <c r="D1033" s="8">
        <v>-53.75</v>
      </c>
      <c r="E1033" s="8">
        <f>E1032+(0-53.75)</f>
        <v>12844103.289999938</v>
      </c>
    </row>
    <row r="1034" spans="1:5" x14ac:dyDescent="0.25">
      <c r="A1034" s="2" t="s">
        <v>38</v>
      </c>
      <c r="B1034" s="6">
        <v>44662</v>
      </c>
      <c r="C1034" s="2" t="s">
        <v>19</v>
      </c>
      <c r="D1034" s="8">
        <v>-40</v>
      </c>
      <c r="E1034" s="8">
        <f>E1033+(0-40)</f>
        <v>12844063.289999938</v>
      </c>
    </row>
    <row r="1035" spans="1:5" x14ac:dyDescent="0.25">
      <c r="A1035" s="2" t="s">
        <v>38</v>
      </c>
      <c r="B1035" s="6">
        <v>44662</v>
      </c>
      <c r="C1035" s="2" t="s">
        <v>19</v>
      </c>
      <c r="D1035" s="8">
        <v>-72</v>
      </c>
      <c r="E1035" s="8">
        <f>E1034+(0-72)</f>
        <v>12843991.289999938</v>
      </c>
    </row>
    <row r="1036" spans="1:5" x14ac:dyDescent="0.25">
      <c r="A1036" s="2" t="s">
        <v>38</v>
      </c>
      <c r="B1036" s="6">
        <v>44662</v>
      </c>
      <c r="C1036" s="2" t="s">
        <v>174</v>
      </c>
      <c r="D1036" s="8">
        <v>-53.75</v>
      </c>
      <c r="E1036" s="8">
        <f>E1035+(0-53.75)</f>
        <v>12843937.539999938</v>
      </c>
    </row>
    <row r="1037" spans="1:5" x14ac:dyDescent="0.25">
      <c r="A1037" s="2" t="s">
        <v>38</v>
      </c>
      <c r="B1037" s="6">
        <v>44662</v>
      </c>
      <c r="C1037" s="2" t="s">
        <v>16</v>
      </c>
      <c r="D1037" s="8">
        <v>-50</v>
      </c>
      <c r="E1037" s="8">
        <f>E1036+(0-50)</f>
        <v>12843887.539999938</v>
      </c>
    </row>
    <row r="1038" spans="1:5" x14ac:dyDescent="0.25">
      <c r="A1038" s="2" t="s">
        <v>38</v>
      </c>
      <c r="B1038" s="6">
        <v>44662</v>
      </c>
      <c r="C1038" s="2" t="s">
        <v>16</v>
      </c>
      <c r="D1038" s="8">
        <v>-400</v>
      </c>
      <c r="E1038" s="8">
        <f>E1037+(0-400)</f>
        <v>12843487.539999938</v>
      </c>
    </row>
    <row r="1039" spans="1:5" x14ac:dyDescent="0.25">
      <c r="A1039" s="2" t="s">
        <v>38</v>
      </c>
      <c r="B1039" s="6">
        <v>44662</v>
      </c>
      <c r="C1039" s="2" t="s">
        <v>16</v>
      </c>
      <c r="D1039" s="8">
        <v>-50</v>
      </c>
      <c r="E1039" s="8">
        <f>E1038+(0-50)</f>
        <v>12843437.539999938</v>
      </c>
    </row>
    <row r="1040" spans="1:5" x14ac:dyDescent="0.25">
      <c r="A1040" s="2" t="s">
        <v>38</v>
      </c>
      <c r="B1040" s="6">
        <v>44663</v>
      </c>
      <c r="C1040" s="2" t="s">
        <v>174</v>
      </c>
      <c r="D1040" s="8">
        <v>-26.88</v>
      </c>
      <c r="E1040" s="8">
        <f>E1039+(0-26.88)</f>
        <v>12843410.659999937</v>
      </c>
    </row>
    <row r="1041" spans="1:5" x14ac:dyDescent="0.25">
      <c r="A1041" s="2" t="s">
        <v>38</v>
      </c>
      <c r="B1041" s="6">
        <v>44663</v>
      </c>
      <c r="C1041" s="2" t="s">
        <v>16</v>
      </c>
      <c r="D1041" s="8">
        <v>-50</v>
      </c>
      <c r="E1041" s="8">
        <f>E1040+(0-50)</f>
        <v>12843360.659999937</v>
      </c>
    </row>
    <row r="1042" spans="1:5" x14ac:dyDescent="0.25">
      <c r="A1042" s="2" t="s">
        <v>38</v>
      </c>
      <c r="B1042" s="6">
        <v>44663</v>
      </c>
      <c r="C1042" s="2" t="s">
        <v>16</v>
      </c>
      <c r="D1042" s="8">
        <v>-250</v>
      </c>
      <c r="E1042" s="8">
        <f>E1041+(0-250)</f>
        <v>12843110.659999937</v>
      </c>
    </row>
    <row r="1043" spans="1:5" x14ac:dyDescent="0.25">
      <c r="A1043" s="2" t="s">
        <v>38</v>
      </c>
      <c r="B1043" s="6">
        <v>44663</v>
      </c>
      <c r="C1043" s="2" t="s">
        <v>19</v>
      </c>
      <c r="D1043" s="8">
        <v>-12</v>
      </c>
      <c r="E1043" s="8">
        <f>E1042+(0-12)</f>
        <v>12843098.659999937</v>
      </c>
    </row>
    <row r="1044" spans="1:5" x14ac:dyDescent="0.25">
      <c r="A1044" s="2" t="s">
        <v>38</v>
      </c>
      <c r="B1044" s="6">
        <v>44664</v>
      </c>
      <c r="C1044" s="2" t="s">
        <v>16</v>
      </c>
      <c r="D1044" s="8">
        <v>-250</v>
      </c>
      <c r="E1044" s="8">
        <f>E1043+(0-250)</f>
        <v>12842848.659999937</v>
      </c>
    </row>
    <row r="1045" spans="1:5" x14ac:dyDescent="0.25">
      <c r="A1045" s="2" t="s">
        <v>38</v>
      </c>
      <c r="B1045" s="6">
        <v>44664</v>
      </c>
      <c r="C1045" s="2" t="s">
        <v>19</v>
      </c>
      <c r="D1045" s="8">
        <v>-40</v>
      </c>
      <c r="E1045" s="8">
        <f>E1044+(0-40)</f>
        <v>12842808.659999937</v>
      </c>
    </row>
    <row r="1046" spans="1:5" x14ac:dyDescent="0.25">
      <c r="A1046" s="2" t="s">
        <v>38</v>
      </c>
      <c r="B1046" s="6">
        <v>44665</v>
      </c>
      <c r="C1046" s="2" t="s">
        <v>174</v>
      </c>
      <c r="D1046" s="8">
        <v>-53.75</v>
      </c>
      <c r="E1046" s="8">
        <f>E1045+(0-53.75)</f>
        <v>12842754.909999937</v>
      </c>
    </row>
    <row r="1047" spans="1:5" x14ac:dyDescent="0.25">
      <c r="A1047" s="2" t="s">
        <v>38</v>
      </c>
      <c r="B1047" s="6">
        <v>44665</v>
      </c>
      <c r="C1047" s="2" t="s">
        <v>16</v>
      </c>
      <c r="D1047" s="8">
        <v>-400</v>
      </c>
      <c r="E1047" s="8">
        <f>E1046+(0-400)</f>
        <v>12842354.909999937</v>
      </c>
    </row>
    <row r="1048" spans="1:5" x14ac:dyDescent="0.25">
      <c r="A1048" s="2" t="s">
        <v>38</v>
      </c>
      <c r="B1048" s="6">
        <v>44665</v>
      </c>
      <c r="C1048" s="2" t="s">
        <v>19</v>
      </c>
      <c r="D1048" s="8">
        <v>-48</v>
      </c>
      <c r="E1048" s="8">
        <f>E1047+(0-48)</f>
        <v>12842306.909999937</v>
      </c>
    </row>
    <row r="1049" spans="1:5" x14ac:dyDescent="0.25">
      <c r="A1049" s="2" t="s">
        <v>38</v>
      </c>
      <c r="B1049" s="6">
        <v>44665</v>
      </c>
      <c r="C1049" s="2" t="s">
        <v>19</v>
      </c>
      <c r="D1049" s="8">
        <v>-32</v>
      </c>
      <c r="E1049" s="8">
        <f>E1048+(0-32)</f>
        <v>12842274.909999937</v>
      </c>
    </row>
    <row r="1050" spans="1:5" x14ac:dyDescent="0.25">
      <c r="A1050" s="2" t="s">
        <v>38</v>
      </c>
      <c r="B1050" s="6">
        <v>44670</v>
      </c>
      <c r="C1050" s="2" t="s">
        <v>19</v>
      </c>
      <c r="D1050" s="8">
        <v>-44</v>
      </c>
      <c r="E1050" s="8">
        <f>E1049+(0-44)</f>
        <v>12842230.909999937</v>
      </c>
    </row>
    <row r="1051" spans="1:5" x14ac:dyDescent="0.25">
      <c r="A1051" s="2" t="s">
        <v>38</v>
      </c>
      <c r="B1051" s="6">
        <v>44670</v>
      </c>
      <c r="C1051" s="2" t="s">
        <v>19</v>
      </c>
      <c r="D1051" s="8">
        <v>-12</v>
      </c>
      <c r="E1051" s="8">
        <f>E1050+(0-12)</f>
        <v>12842218.909999937</v>
      </c>
    </row>
    <row r="1052" spans="1:5" x14ac:dyDescent="0.25">
      <c r="A1052" s="2" t="s">
        <v>38</v>
      </c>
      <c r="B1052" s="6">
        <v>44670</v>
      </c>
      <c r="C1052" s="2" t="s">
        <v>16</v>
      </c>
      <c r="D1052" s="8">
        <v>-50</v>
      </c>
      <c r="E1052" s="8">
        <f>E1051+(0-50)</f>
        <v>12842168.909999937</v>
      </c>
    </row>
    <row r="1053" spans="1:5" x14ac:dyDescent="0.25">
      <c r="A1053" s="2" t="s">
        <v>38</v>
      </c>
      <c r="B1053" s="6">
        <v>44670</v>
      </c>
      <c r="C1053" s="2" t="s">
        <v>16</v>
      </c>
      <c r="D1053" s="8">
        <v>-50</v>
      </c>
      <c r="E1053" s="8">
        <f>E1052+(0-50)</f>
        <v>12842118.909999937</v>
      </c>
    </row>
    <row r="1054" spans="1:5" x14ac:dyDescent="0.25">
      <c r="A1054" s="2" t="s">
        <v>38</v>
      </c>
      <c r="B1054" s="6">
        <v>44670</v>
      </c>
      <c r="C1054" s="2" t="s">
        <v>16</v>
      </c>
      <c r="D1054" s="8">
        <v>-300</v>
      </c>
      <c r="E1054" s="8">
        <f>E1053+(0-300)</f>
        <v>12841818.909999937</v>
      </c>
    </row>
    <row r="1055" spans="1:5" x14ac:dyDescent="0.25">
      <c r="A1055" s="2" t="s">
        <v>38</v>
      </c>
      <c r="B1055" s="6">
        <v>44671</v>
      </c>
      <c r="C1055" s="2" t="s">
        <v>174</v>
      </c>
      <c r="D1055" s="8">
        <v>-53.75</v>
      </c>
      <c r="E1055" s="8">
        <f>E1054+(0-53.75)</f>
        <v>12841765.159999937</v>
      </c>
    </row>
    <row r="1056" spans="1:5" x14ac:dyDescent="0.25">
      <c r="A1056" s="2" t="s">
        <v>38</v>
      </c>
      <c r="B1056" s="6">
        <v>44671</v>
      </c>
      <c r="C1056" s="2" t="s">
        <v>16</v>
      </c>
      <c r="D1056" s="8">
        <v>-50</v>
      </c>
      <c r="E1056" s="8">
        <f>E1055+(0-50)</f>
        <v>12841715.159999937</v>
      </c>
    </row>
    <row r="1057" spans="1:5" x14ac:dyDescent="0.25">
      <c r="A1057" s="2" t="s">
        <v>38</v>
      </c>
      <c r="B1057" s="6">
        <v>44671</v>
      </c>
      <c r="C1057" s="2" t="s">
        <v>16</v>
      </c>
      <c r="D1057" s="8">
        <v>-150</v>
      </c>
      <c r="E1057" s="8">
        <f>E1056+(0-150)</f>
        <v>12841565.159999937</v>
      </c>
    </row>
    <row r="1058" spans="1:5" x14ac:dyDescent="0.25">
      <c r="A1058" s="2" t="s">
        <v>38</v>
      </c>
      <c r="B1058" s="6">
        <v>44671</v>
      </c>
      <c r="C1058" s="2" t="s">
        <v>16</v>
      </c>
      <c r="D1058" s="8">
        <v>-50</v>
      </c>
      <c r="E1058" s="8">
        <f>E1057+(0-50)</f>
        <v>12841515.159999937</v>
      </c>
    </row>
    <row r="1059" spans="1:5" x14ac:dyDescent="0.25">
      <c r="A1059" s="2" t="s">
        <v>38</v>
      </c>
      <c r="B1059" s="6">
        <v>44672</v>
      </c>
      <c r="C1059" s="2" t="s">
        <v>16</v>
      </c>
      <c r="D1059" s="8">
        <v>-200</v>
      </c>
      <c r="E1059" s="8">
        <f>E1058+(0-200)</f>
        <v>12841315.159999937</v>
      </c>
    </row>
    <row r="1060" spans="1:5" x14ac:dyDescent="0.25">
      <c r="A1060" s="2" t="s">
        <v>38</v>
      </c>
      <c r="B1060" s="6">
        <v>44673</v>
      </c>
      <c r="C1060" s="2" t="s">
        <v>19</v>
      </c>
      <c r="D1060" s="8">
        <v>-4</v>
      </c>
      <c r="E1060" s="8">
        <f>E1059+(0-4)</f>
        <v>12841311.159999937</v>
      </c>
    </row>
    <row r="1061" spans="1:5" x14ac:dyDescent="0.25">
      <c r="A1061" s="2" t="s">
        <v>38</v>
      </c>
      <c r="B1061" s="6">
        <v>44673</v>
      </c>
      <c r="C1061" s="2" t="s">
        <v>19</v>
      </c>
      <c r="D1061" s="8">
        <v>-44</v>
      </c>
      <c r="E1061" s="8">
        <f>E1060+(0-44)</f>
        <v>12841267.159999937</v>
      </c>
    </row>
    <row r="1062" spans="1:5" x14ac:dyDescent="0.25">
      <c r="A1062" s="2" t="s">
        <v>38</v>
      </c>
      <c r="B1062" s="6">
        <v>44673</v>
      </c>
      <c r="C1062" s="2" t="s">
        <v>16</v>
      </c>
      <c r="D1062" s="8">
        <v>-50</v>
      </c>
      <c r="E1062" s="8">
        <f>E1061+(0-50)</f>
        <v>12841217.159999937</v>
      </c>
    </row>
    <row r="1063" spans="1:5" x14ac:dyDescent="0.25">
      <c r="A1063" s="2" t="s">
        <v>38</v>
      </c>
      <c r="B1063" s="6">
        <v>44673</v>
      </c>
      <c r="C1063" s="2" t="s">
        <v>16</v>
      </c>
      <c r="D1063" s="8">
        <v>-450</v>
      </c>
      <c r="E1063" s="8">
        <f>E1062+(0-450)</f>
        <v>12840767.159999937</v>
      </c>
    </row>
    <row r="1064" spans="1:5" x14ac:dyDescent="0.25">
      <c r="A1064" s="2" t="s">
        <v>38</v>
      </c>
      <c r="B1064" s="6">
        <v>44676</v>
      </c>
      <c r="C1064" s="2" t="s">
        <v>19</v>
      </c>
      <c r="D1064" s="8">
        <v>-4</v>
      </c>
      <c r="E1064" s="8">
        <f>E1063+(0-4)</f>
        <v>12840763.159999937</v>
      </c>
    </row>
    <row r="1065" spans="1:5" x14ac:dyDescent="0.25">
      <c r="A1065" s="2" t="s">
        <v>38</v>
      </c>
      <c r="B1065" s="6">
        <v>44676</v>
      </c>
      <c r="C1065" s="2" t="s">
        <v>19</v>
      </c>
      <c r="D1065" s="8">
        <v>-48</v>
      </c>
      <c r="E1065" s="8">
        <f>E1064+(0-48)</f>
        <v>12840715.159999937</v>
      </c>
    </row>
    <row r="1066" spans="1:5" x14ac:dyDescent="0.25">
      <c r="A1066" s="2" t="s">
        <v>38</v>
      </c>
      <c r="B1066" s="6">
        <v>44676</v>
      </c>
      <c r="C1066" s="2" t="s">
        <v>19</v>
      </c>
      <c r="D1066" s="8">
        <v>-56</v>
      </c>
      <c r="E1066" s="8">
        <f>E1065+(0-56)</f>
        <v>12840659.159999937</v>
      </c>
    </row>
    <row r="1067" spans="1:5" x14ac:dyDescent="0.25">
      <c r="A1067" s="2" t="s">
        <v>38</v>
      </c>
      <c r="B1067" s="6">
        <v>44676</v>
      </c>
      <c r="C1067" s="2" t="s">
        <v>19</v>
      </c>
      <c r="D1067" s="8">
        <v>-60</v>
      </c>
      <c r="E1067" s="8">
        <f>E1066+(0-60)</f>
        <v>12840599.159999937</v>
      </c>
    </row>
    <row r="1068" spans="1:5" x14ac:dyDescent="0.25">
      <c r="A1068" s="2" t="s">
        <v>38</v>
      </c>
      <c r="B1068" s="6">
        <v>44676</v>
      </c>
      <c r="C1068" s="2" t="s">
        <v>16</v>
      </c>
      <c r="D1068" s="8">
        <v>-50</v>
      </c>
      <c r="E1068" s="8">
        <f>E1067+(0-50)</f>
        <v>12840549.159999937</v>
      </c>
    </row>
    <row r="1069" spans="1:5" x14ac:dyDescent="0.25">
      <c r="A1069" s="2" t="s">
        <v>38</v>
      </c>
      <c r="B1069" s="6">
        <v>44676</v>
      </c>
      <c r="C1069" s="2" t="s">
        <v>16</v>
      </c>
      <c r="D1069" s="8">
        <v>-100</v>
      </c>
      <c r="E1069" s="8">
        <f>E1068+(0-100)</f>
        <v>12840449.159999937</v>
      </c>
    </row>
    <row r="1070" spans="1:5" x14ac:dyDescent="0.25">
      <c r="A1070" s="2" t="s">
        <v>38</v>
      </c>
      <c r="B1070" s="6">
        <v>44677</v>
      </c>
      <c r="C1070" s="2" t="s">
        <v>16</v>
      </c>
      <c r="D1070" s="8">
        <v>-150</v>
      </c>
      <c r="E1070" s="8">
        <f>E1069+(0-150)</f>
        <v>12840299.159999937</v>
      </c>
    </row>
    <row r="1071" spans="1:5" x14ac:dyDescent="0.25">
      <c r="A1071" s="2" t="s">
        <v>38</v>
      </c>
      <c r="B1071" s="6">
        <v>44678</v>
      </c>
      <c r="C1071" s="2" t="s">
        <v>174</v>
      </c>
      <c r="D1071" s="8">
        <v>-53.75</v>
      </c>
      <c r="E1071" s="8">
        <f>E1070+(0-53.75)</f>
        <v>12840245.409999937</v>
      </c>
    </row>
    <row r="1072" spans="1:5" x14ac:dyDescent="0.25">
      <c r="A1072" s="2" t="s">
        <v>38</v>
      </c>
      <c r="B1072" s="6">
        <v>44678</v>
      </c>
      <c r="C1072" s="2" t="s">
        <v>16</v>
      </c>
      <c r="D1072" s="8">
        <v>-50</v>
      </c>
      <c r="E1072" s="8">
        <f>E1071+(0-50)</f>
        <v>12840195.409999937</v>
      </c>
    </row>
    <row r="1073" spans="1:5" x14ac:dyDescent="0.25">
      <c r="A1073" s="2" t="s">
        <v>38</v>
      </c>
      <c r="B1073" s="6">
        <v>44678</v>
      </c>
      <c r="C1073" s="2" t="s">
        <v>16</v>
      </c>
      <c r="D1073" s="8">
        <v>-50</v>
      </c>
      <c r="E1073" s="8">
        <f>E1072+(0-50)</f>
        <v>12840145.409999937</v>
      </c>
    </row>
    <row r="1074" spans="1:5" x14ac:dyDescent="0.25">
      <c r="A1074" s="2" t="s">
        <v>38</v>
      </c>
      <c r="B1074" s="6">
        <v>44678</v>
      </c>
      <c r="C1074" s="2" t="s">
        <v>19</v>
      </c>
      <c r="D1074" s="8">
        <v>-8</v>
      </c>
      <c r="E1074" s="8">
        <f>E1073+(0-8)</f>
        <v>12840137.409999937</v>
      </c>
    </row>
    <row r="1075" spans="1:5" x14ac:dyDescent="0.25">
      <c r="A1075" s="2" t="s">
        <v>38</v>
      </c>
      <c r="B1075" s="6">
        <v>44678</v>
      </c>
      <c r="C1075" s="2" t="s">
        <v>16</v>
      </c>
      <c r="D1075" s="8">
        <v>-350</v>
      </c>
      <c r="E1075" s="8">
        <f>E1074+(0-350)</f>
        <v>12839787.409999937</v>
      </c>
    </row>
    <row r="1076" spans="1:5" x14ac:dyDescent="0.25">
      <c r="A1076" s="2" t="s">
        <v>38</v>
      </c>
      <c r="B1076" s="6">
        <v>44678</v>
      </c>
      <c r="C1076" s="2" t="s">
        <v>176</v>
      </c>
      <c r="D1076" s="8">
        <v>-100000</v>
      </c>
      <c r="E1076" s="8">
        <f>E1075+(0-100000)</f>
        <v>12739787.409999937</v>
      </c>
    </row>
    <row r="1077" spans="1:5" x14ac:dyDescent="0.25">
      <c r="A1077" s="2" t="s">
        <v>38</v>
      </c>
      <c r="B1077" s="6">
        <v>44678</v>
      </c>
      <c r="C1077" s="2" t="s">
        <v>177</v>
      </c>
      <c r="D1077" s="8">
        <v>-7500</v>
      </c>
      <c r="E1077" s="8">
        <f>E1076+(0-7500)</f>
        <v>12732287.409999937</v>
      </c>
    </row>
    <row r="1078" spans="1:5" x14ac:dyDescent="0.25">
      <c r="A1078" s="2" t="s">
        <v>38</v>
      </c>
      <c r="B1078" s="6">
        <v>44679</v>
      </c>
      <c r="C1078" s="2" t="s">
        <v>19</v>
      </c>
      <c r="D1078" s="8">
        <v>-12</v>
      </c>
      <c r="E1078" s="8">
        <f>E1077+(0-12)</f>
        <v>12732275.409999937</v>
      </c>
    </row>
    <row r="1079" spans="1:5" x14ac:dyDescent="0.25">
      <c r="A1079" s="2" t="s">
        <v>38</v>
      </c>
      <c r="B1079" s="6">
        <v>44679</v>
      </c>
      <c r="C1079" s="2" t="s">
        <v>174</v>
      </c>
      <c r="D1079" s="8">
        <v>-53.75</v>
      </c>
      <c r="E1079" s="8">
        <f>E1078+(0-53.75)</f>
        <v>12732221.659999937</v>
      </c>
    </row>
    <row r="1080" spans="1:5" x14ac:dyDescent="0.25">
      <c r="A1080" s="2" t="s">
        <v>38</v>
      </c>
      <c r="B1080" s="6">
        <v>44679</v>
      </c>
      <c r="C1080" s="2" t="s">
        <v>174</v>
      </c>
      <c r="D1080" s="8">
        <v>-26.88</v>
      </c>
      <c r="E1080" s="8">
        <f>E1079+(0-26.88)</f>
        <v>12732194.779999936</v>
      </c>
    </row>
    <row r="1081" spans="1:5" x14ac:dyDescent="0.25">
      <c r="A1081" s="2" t="s">
        <v>38</v>
      </c>
      <c r="B1081" s="6">
        <v>44679</v>
      </c>
      <c r="C1081" s="2" t="s">
        <v>174</v>
      </c>
      <c r="D1081" s="8">
        <v>-53.75</v>
      </c>
      <c r="E1081" s="8">
        <f>E1080+(0-53.75)</f>
        <v>12732141.029999936</v>
      </c>
    </row>
    <row r="1082" spans="1:5" x14ac:dyDescent="0.25">
      <c r="A1082" s="2" t="s">
        <v>38</v>
      </c>
      <c r="B1082" s="6">
        <v>44679</v>
      </c>
      <c r="C1082" s="2" t="s">
        <v>16</v>
      </c>
      <c r="D1082" s="8">
        <v>-350</v>
      </c>
      <c r="E1082" s="8">
        <f>E1081+(0-350)</f>
        <v>12731791.029999936</v>
      </c>
    </row>
    <row r="1083" spans="1:5" x14ac:dyDescent="0.25">
      <c r="A1083" s="2" t="s">
        <v>38</v>
      </c>
      <c r="B1083" s="6">
        <v>44679</v>
      </c>
      <c r="C1083" s="2" t="s">
        <v>19</v>
      </c>
      <c r="D1083" s="8">
        <v>-28</v>
      </c>
      <c r="E1083" s="8">
        <f>E1082+(0-28)</f>
        <v>12731763.029999936</v>
      </c>
    </row>
    <row r="1084" spans="1:5" x14ac:dyDescent="0.25">
      <c r="A1084" s="2" t="s">
        <v>38</v>
      </c>
      <c r="B1084" s="6">
        <v>44680</v>
      </c>
      <c r="C1084" s="2" t="s">
        <v>174</v>
      </c>
      <c r="D1084" s="8">
        <v>-53.75</v>
      </c>
      <c r="E1084" s="8">
        <f>E1083+(0-53.75)</f>
        <v>12731709.279999936</v>
      </c>
    </row>
    <row r="1085" spans="1:5" x14ac:dyDescent="0.25">
      <c r="A1085" s="2" t="s">
        <v>38</v>
      </c>
      <c r="B1085" s="6">
        <v>44680</v>
      </c>
      <c r="C1085" s="2" t="s">
        <v>16</v>
      </c>
      <c r="D1085" s="8">
        <v>-250</v>
      </c>
      <c r="E1085" s="8">
        <f>E1084+(0-250)</f>
        <v>12731459.279999936</v>
      </c>
    </row>
    <row r="1086" spans="1:5" x14ac:dyDescent="0.25">
      <c r="A1086" s="2" t="s">
        <v>38</v>
      </c>
      <c r="B1086" s="6">
        <v>44680</v>
      </c>
      <c r="C1086" s="2" t="s">
        <v>16</v>
      </c>
      <c r="D1086" s="8">
        <v>-50</v>
      </c>
      <c r="E1086" s="8">
        <f>E1085+(0-50)</f>
        <v>12731409.279999936</v>
      </c>
    </row>
    <row r="1087" spans="1:5" x14ac:dyDescent="0.25">
      <c r="A1087" s="2" t="s">
        <v>38</v>
      </c>
      <c r="B1087" s="6">
        <v>44685</v>
      </c>
      <c r="C1087" s="2" t="s">
        <v>174</v>
      </c>
      <c r="D1087" s="8">
        <v>-53.75</v>
      </c>
      <c r="E1087" s="8">
        <f>E1086+(0-53.75)</f>
        <v>12731355.529999936</v>
      </c>
    </row>
    <row r="1088" spans="1:5" x14ac:dyDescent="0.25">
      <c r="A1088" s="2" t="s">
        <v>38</v>
      </c>
      <c r="B1088" s="6">
        <v>44685</v>
      </c>
      <c r="C1088" s="2" t="s">
        <v>19</v>
      </c>
      <c r="D1088" s="8">
        <v>-76</v>
      </c>
      <c r="E1088" s="8">
        <f>E1087+(0-76)</f>
        <v>12731279.529999936</v>
      </c>
    </row>
    <row r="1089" spans="1:5" x14ac:dyDescent="0.25">
      <c r="A1089" s="2" t="s">
        <v>38</v>
      </c>
      <c r="B1089" s="6">
        <v>44685</v>
      </c>
      <c r="C1089" s="2" t="s">
        <v>19</v>
      </c>
      <c r="D1089" s="8">
        <v>-68</v>
      </c>
      <c r="E1089" s="8">
        <f>E1088+(0-68)</f>
        <v>12731211.529999936</v>
      </c>
    </row>
    <row r="1090" spans="1:5" x14ac:dyDescent="0.25">
      <c r="A1090" s="2" t="s">
        <v>38</v>
      </c>
      <c r="B1090" s="6">
        <v>44685</v>
      </c>
      <c r="C1090" s="2" t="s">
        <v>19</v>
      </c>
      <c r="D1090" s="8">
        <v>-36</v>
      </c>
      <c r="E1090" s="8">
        <f>E1089+(0-36)</f>
        <v>12731175.529999936</v>
      </c>
    </row>
    <row r="1091" spans="1:5" x14ac:dyDescent="0.25">
      <c r="A1091" s="2" t="s">
        <v>38</v>
      </c>
      <c r="B1091" s="6">
        <v>44685</v>
      </c>
      <c r="C1091" s="2" t="s">
        <v>19</v>
      </c>
      <c r="D1091" s="8">
        <v>-16</v>
      </c>
      <c r="E1091" s="8">
        <f>E1090+(0-16)</f>
        <v>12731159.529999936</v>
      </c>
    </row>
    <row r="1092" spans="1:5" x14ac:dyDescent="0.25">
      <c r="A1092" s="2" t="s">
        <v>38</v>
      </c>
      <c r="B1092" s="6">
        <v>44685</v>
      </c>
      <c r="C1092" s="2" t="s">
        <v>19</v>
      </c>
      <c r="D1092" s="8">
        <v>-8</v>
      </c>
      <c r="E1092" s="8">
        <f>E1091+(0-8)</f>
        <v>12731151.529999936</v>
      </c>
    </row>
    <row r="1093" spans="1:5" x14ac:dyDescent="0.25">
      <c r="A1093" s="2" t="s">
        <v>38</v>
      </c>
      <c r="B1093" s="6">
        <v>44685</v>
      </c>
      <c r="C1093" s="2" t="s">
        <v>16</v>
      </c>
      <c r="D1093" s="8">
        <v>-550</v>
      </c>
      <c r="E1093" s="8">
        <f>E1092+(0-550)</f>
        <v>12730601.529999936</v>
      </c>
    </row>
    <row r="1094" spans="1:5" x14ac:dyDescent="0.25">
      <c r="A1094" s="2" t="s">
        <v>38</v>
      </c>
      <c r="B1094" s="6">
        <v>44686</v>
      </c>
      <c r="C1094" s="2" t="s">
        <v>16</v>
      </c>
      <c r="D1094" s="8">
        <v>-250</v>
      </c>
      <c r="E1094" s="8">
        <f>E1093+(0-250)</f>
        <v>12730351.529999936</v>
      </c>
    </row>
    <row r="1095" spans="1:5" x14ac:dyDescent="0.25">
      <c r="A1095" s="2" t="s">
        <v>38</v>
      </c>
      <c r="B1095" s="6">
        <v>44686</v>
      </c>
      <c r="C1095" s="2" t="s">
        <v>19</v>
      </c>
      <c r="D1095" s="8">
        <v>-12</v>
      </c>
      <c r="E1095" s="8">
        <f>E1094+(0-12)</f>
        <v>12730339.529999936</v>
      </c>
    </row>
    <row r="1096" spans="1:5" x14ac:dyDescent="0.25">
      <c r="A1096" s="2" t="s">
        <v>38</v>
      </c>
      <c r="B1096" s="6">
        <v>44687</v>
      </c>
      <c r="C1096" s="2" t="s">
        <v>16</v>
      </c>
      <c r="D1096" s="8">
        <v>-50</v>
      </c>
      <c r="E1096" s="8">
        <f>E1095+(0-50)</f>
        <v>12730289.529999936</v>
      </c>
    </row>
    <row r="1097" spans="1:5" x14ac:dyDescent="0.25">
      <c r="A1097" s="2" t="s">
        <v>38</v>
      </c>
      <c r="B1097" s="6">
        <v>44687</v>
      </c>
      <c r="C1097" s="2" t="s">
        <v>16</v>
      </c>
      <c r="D1097" s="8">
        <v>-350</v>
      </c>
      <c r="E1097" s="8">
        <f>E1096+(0-350)</f>
        <v>12729939.529999936</v>
      </c>
    </row>
    <row r="1098" spans="1:5" x14ac:dyDescent="0.25">
      <c r="A1098" s="2" t="s">
        <v>38</v>
      </c>
      <c r="B1098" s="6">
        <v>44690</v>
      </c>
      <c r="C1098" s="2" t="s">
        <v>16</v>
      </c>
      <c r="D1098" s="8">
        <v>-300</v>
      </c>
      <c r="E1098" s="8">
        <f>E1097+(0-300)</f>
        <v>12729639.529999936</v>
      </c>
    </row>
    <row r="1099" spans="1:5" x14ac:dyDescent="0.25">
      <c r="A1099" s="2" t="s">
        <v>38</v>
      </c>
      <c r="B1099" s="6">
        <v>44691</v>
      </c>
      <c r="C1099" s="2" t="s">
        <v>16</v>
      </c>
      <c r="D1099" s="8">
        <v>-50</v>
      </c>
      <c r="E1099" s="8">
        <f>E1098+(0-50)</f>
        <v>12729589.529999936</v>
      </c>
    </row>
    <row r="1100" spans="1:5" x14ac:dyDescent="0.25">
      <c r="A1100" s="2" t="s">
        <v>38</v>
      </c>
      <c r="B1100" s="6">
        <v>44691</v>
      </c>
      <c r="C1100" s="2" t="s">
        <v>174</v>
      </c>
      <c r="D1100" s="8">
        <v>-53.75</v>
      </c>
      <c r="E1100" s="8">
        <f>E1099+(0-53.75)</f>
        <v>12729535.779999936</v>
      </c>
    </row>
    <row r="1101" spans="1:5" x14ac:dyDescent="0.25">
      <c r="A1101" s="2" t="s">
        <v>38</v>
      </c>
      <c r="B1101" s="6">
        <v>44691</v>
      </c>
      <c r="C1101" s="2" t="s">
        <v>16</v>
      </c>
      <c r="D1101" s="8">
        <v>-300</v>
      </c>
      <c r="E1101" s="8">
        <f>E1100+(0-300)</f>
        <v>12729235.779999936</v>
      </c>
    </row>
    <row r="1102" spans="1:5" x14ac:dyDescent="0.25">
      <c r="A1102" s="2" t="s">
        <v>38</v>
      </c>
      <c r="B1102" s="6">
        <v>44692</v>
      </c>
      <c r="C1102" s="2" t="s">
        <v>16</v>
      </c>
      <c r="D1102" s="8">
        <v>-50</v>
      </c>
      <c r="E1102" s="8">
        <f>E1101+(0-50)</f>
        <v>12729185.779999936</v>
      </c>
    </row>
    <row r="1103" spans="1:5" x14ac:dyDescent="0.25">
      <c r="A1103" s="2" t="s">
        <v>38</v>
      </c>
      <c r="B1103" s="6">
        <v>44692</v>
      </c>
      <c r="C1103" s="2" t="s">
        <v>16</v>
      </c>
      <c r="D1103" s="8">
        <v>-150</v>
      </c>
      <c r="E1103" s="8">
        <f>E1102+(0-150)</f>
        <v>12729035.779999936</v>
      </c>
    </row>
    <row r="1104" spans="1:5" x14ac:dyDescent="0.25">
      <c r="A1104" s="2" t="s">
        <v>38</v>
      </c>
      <c r="B1104" s="6">
        <v>44693</v>
      </c>
      <c r="C1104" s="2" t="s">
        <v>16</v>
      </c>
      <c r="D1104" s="8">
        <v>-50</v>
      </c>
      <c r="E1104" s="8">
        <f>E1103+(0-50)</f>
        <v>12728985.779999936</v>
      </c>
    </row>
    <row r="1105" spans="1:5" x14ac:dyDescent="0.25">
      <c r="A1105" s="2" t="s">
        <v>38</v>
      </c>
      <c r="B1105" s="6">
        <v>44693</v>
      </c>
      <c r="C1105" s="2" t="s">
        <v>16</v>
      </c>
      <c r="D1105" s="8">
        <v>-50</v>
      </c>
      <c r="E1105" s="8">
        <f>E1104+(0-50)</f>
        <v>12728935.779999936</v>
      </c>
    </row>
    <row r="1106" spans="1:5" x14ac:dyDescent="0.25">
      <c r="A1106" s="2" t="s">
        <v>38</v>
      </c>
      <c r="B1106" s="6">
        <v>44693</v>
      </c>
      <c r="C1106" s="2" t="s">
        <v>16</v>
      </c>
      <c r="D1106" s="8">
        <v>-350</v>
      </c>
      <c r="E1106" s="8">
        <f>E1105+(0-350)</f>
        <v>12728585.779999936</v>
      </c>
    </row>
    <row r="1107" spans="1:5" x14ac:dyDescent="0.25">
      <c r="A1107" s="2" t="s">
        <v>38</v>
      </c>
      <c r="B1107" s="6">
        <v>44694</v>
      </c>
      <c r="C1107" s="2" t="s">
        <v>16</v>
      </c>
      <c r="D1107" s="8">
        <v>-50</v>
      </c>
      <c r="E1107" s="8">
        <f>E1106+(0-50)</f>
        <v>12728535.779999936</v>
      </c>
    </row>
    <row r="1108" spans="1:5" x14ac:dyDescent="0.25">
      <c r="A1108" s="2" t="s">
        <v>38</v>
      </c>
      <c r="B1108" s="6">
        <v>44694</v>
      </c>
      <c r="C1108" s="2" t="s">
        <v>16</v>
      </c>
      <c r="D1108" s="8">
        <v>-300</v>
      </c>
      <c r="E1108" s="8">
        <f>E1107+(0-300)</f>
        <v>12728235.779999936</v>
      </c>
    </row>
    <row r="1109" spans="1:5" x14ac:dyDescent="0.25">
      <c r="A1109" s="2" t="s">
        <v>38</v>
      </c>
      <c r="B1109" s="6">
        <v>44697</v>
      </c>
      <c r="C1109" s="2" t="s">
        <v>16</v>
      </c>
      <c r="D1109" s="8">
        <v>-50</v>
      </c>
      <c r="E1109" s="8">
        <f>E1108+(0-50)</f>
        <v>12728185.779999936</v>
      </c>
    </row>
    <row r="1110" spans="1:5" x14ac:dyDescent="0.25">
      <c r="A1110" s="2" t="s">
        <v>38</v>
      </c>
      <c r="B1110" s="6">
        <v>44697</v>
      </c>
      <c r="C1110" s="2" t="s">
        <v>16</v>
      </c>
      <c r="D1110" s="8">
        <v>-250</v>
      </c>
      <c r="E1110" s="8">
        <f>E1109+(0-250)</f>
        <v>12727935.779999936</v>
      </c>
    </row>
    <row r="1111" spans="1:5" x14ac:dyDescent="0.25">
      <c r="A1111" s="2" t="s">
        <v>38</v>
      </c>
      <c r="B1111" s="6">
        <v>44698</v>
      </c>
      <c r="C1111" s="2" t="s">
        <v>19</v>
      </c>
      <c r="D1111" s="8">
        <v>-40</v>
      </c>
      <c r="E1111" s="8">
        <f>E1110+(0-40)</f>
        <v>12727895.779999936</v>
      </c>
    </row>
    <row r="1112" spans="1:5" x14ac:dyDescent="0.25">
      <c r="A1112" s="2" t="s">
        <v>38</v>
      </c>
      <c r="B1112" s="6">
        <v>44698</v>
      </c>
      <c r="C1112" s="2" t="s">
        <v>19</v>
      </c>
      <c r="D1112" s="8">
        <v>-28</v>
      </c>
      <c r="E1112" s="8">
        <f>E1111+(0-28)</f>
        <v>12727867.779999936</v>
      </c>
    </row>
    <row r="1113" spans="1:5" x14ac:dyDescent="0.25">
      <c r="A1113" s="2" t="s">
        <v>38</v>
      </c>
      <c r="B1113" s="6">
        <v>44698</v>
      </c>
      <c r="C1113" s="2" t="s">
        <v>16</v>
      </c>
      <c r="D1113" s="8">
        <v>-200</v>
      </c>
      <c r="E1113" s="8">
        <f>E1112+(0-200)</f>
        <v>12727667.779999936</v>
      </c>
    </row>
    <row r="1114" spans="1:5" x14ac:dyDescent="0.25">
      <c r="A1114" s="2" t="s">
        <v>38</v>
      </c>
      <c r="B1114" s="6">
        <v>44699</v>
      </c>
      <c r="C1114" s="2" t="s">
        <v>19</v>
      </c>
      <c r="D1114" s="8">
        <v>-40</v>
      </c>
      <c r="E1114" s="8">
        <f>E1113+(0-40)</f>
        <v>12727627.779999936</v>
      </c>
    </row>
    <row r="1115" spans="1:5" x14ac:dyDescent="0.25">
      <c r="A1115" s="2" t="s">
        <v>38</v>
      </c>
      <c r="B1115" s="6">
        <v>44699</v>
      </c>
      <c r="C1115" s="2" t="s">
        <v>16</v>
      </c>
      <c r="D1115" s="8">
        <v>-100</v>
      </c>
      <c r="E1115" s="8">
        <f>E1114+(0-100)</f>
        <v>12727527.779999936</v>
      </c>
    </row>
    <row r="1116" spans="1:5" x14ac:dyDescent="0.25">
      <c r="A1116" s="2" t="s">
        <v>38</v>
      </c>
      <c r="B1116" s="6">
        <v>44700</v>
      </c>
      <c r="C1116" s="2" t="s">
        <v>16</v>
      </c>
      <c r="D1116" s="8">
        <v>-200</v>
      </c>
      <c r="E1116" s="8">
        <f>E1115+(0-200)</f>
        <v>12727327.779999936</v>
      </c>
    </row>
    <row r="1117" spans="1:5" x14ac:dyDescent="0.25">
      <c r="A1117" s="2" t="s">
        <v>38</v>
      </c>
      <c r="B1117" s="6">
        <v>44700</v>
      </c>
      <c r="C1117" s="2" t="s">
        <v>16</v>
      </c>
      <c r="D1117" s="8">
        <v>-50</v>
      </c>
      <c r="E1117" s="8">
        <f>E1116+(0-50)</f>
        <v>12727277.779999936</v>
      </c>
    </row>
    <row r="1118" spans="1:5" x14ac:dyDescent="0.25">
      <c r="A1118" s="2" t="s">
        <v>38</v>
      </c>
      <c r="B1118" s="6">
        <v>44701</v>
      </c>
      <c r="C1118" s="2" t="s">
        <v>16</v>
      </c>
      <c r="D1118" s="8">
        <v>-50</v>
      </c>
      <c r="E1118" s="8">
        <f>E1117+(0-50)</f>
        <v>12727227.779999936</v>
      </c>
    </row>
    <row r="1119" spans="1:5" x14ac:dyDescent="0.25">
      <c r="A1119" s="2" t="s">
        <v>38</v>
      </c>
      <c r="B1119" s="6">
        <v>44701</v>
      </c>
      <c r="C1119" s="2" t="s">
        <v>16</v>
      </c>
      <c r="D1119" s="8">
        <v>-50</v>
      </c>
      <c r="E1119" s="8">
        <f>E1118+(0-50)</f>
        <v>12727177.779999936</v>
      </c>
    </row>
    <row r="1120" spans="1:5" x14ac:dyDescent="0.25">
      <c r="A1120" s="2" t="s">
        <v>38</v>
      </c>
      <c r="B1120" s="6">
        <v>44701</v>
      </c>
      <c r="C1120" s="2" t="s">
        <v>16</v>
      </c>
      <c r="D1120" s="8">
        <v>-50</v>
      </c>
      <c r="E1120" s="8">
        <f>E1119+(0-50)</f>
        <v>12727127.779999936</v>
      </c>
    </row>
    <row r="1121" spans="1:5" x14ac:dyDescent="0.25">
      <c r="A1121" s="2" t="s">
        <v>38</v>
      </c>
      <c r="B1121" s="6">
        <v>44701</v>
      </c>
      <c r="C1121" s="2" t="s">
        <v>16</v>
      </c>
      <c r="D1121" s="8">
        <v>-50</v>
      </c>
      <c r="E1121" s="8">
        <f>E1120+(0-50)</f>
        <v>12727077.779999936</v>
      </c>
    </row>
    <row r="1122" spans="1:5" x14ac:dyDescent="0.25">
      <c r="A1122" s="2" t="s">
        <v>38</v>
      </c>
      <c r="B1122" s="6">
        <v>44701</v>
      </c>
      <c r="C1122" s="2" t="s">
        <v>16</v>
      </c>
      <c r="D1122" s="8">
        <v>-450</v>
      </c>
      <c r="E1122" s="8">
        <f>E1121+(0-450)</f>
        <v>12726627.779999936</v>
      </c>
    </row>
    <row r="1123" spans="1:5" x14ac:dyDescent="0.25">
      <c r="A1123" s="2" t="s">
        <v>38</v>
      </c>
      <c r="B1123" s="6">
        <v>44701</v>
      </c>
      <c r="C1123" s="2" t="s">
        <v>19</v>
      </c>
      <c r="D1123" s="8">
        <v>-12</v>
      </c>
      <c r="E1123" s="8">
        <f>E1122+(0-12)</f>
        <v>12726615.779999936</v>
      </c>
    </row>
    <row r="1124" spans="1:5" x14ac:dyDescent="0.25">
      <c r="A1124" s="2" t="s">
        <v>38</v>
      </c>
      <c r="B1124" s="6">
        <v>44704</v>
      </c>
      <c r="C1124" s="2" t="s">
        <v>178</v>
      </c>
      <c r="D1124" s="8">
        <v>-28</v>
      </c>
      <c r="E1124" s="8">
        <f>E1123+(0-28)</f>
        <v>12726587.779999936</v>
      </c>
    </row>
    <row r="1125" spans="1:5" x14ac:dyDescent="0.25">
      <c r="A1125" s="2" t="s">
        <v>38</v>
      </c>
      <c r="B1125" s="6">
        <v>44704</v>
      </c>
      <c r="C1125" s="2" t="s">
        <v>16</v>
      </c>
      <c r="D1125" s="8">
        <v>-50</v>
      </c>
      <c r="E1125" s="8">
        <f>E1124+(0-50)</f>
        <v>12726537.779999936</v>
      </c>
    </row>
    <row r="1126" spans="1:5" x14ac:dyDescent="0.25">
      <c r="A1126" s="2" t="s">
        <v>38</v>
      </c>
      <c r="B1126" s="6">
        <v>44704</v>
      </c>
      <c r="C1126" s="2" t="s">
        <v>16</v>
      </c>
      <c r="D1126" s="8">
        <v>-50</v>
      </c>
      <c r="E1126" s="8">
        <f>E1125+(0-50)</f>
        <v>12726487.779999936</v>
      </c>
    </row>
    <row r="1127" spans="1:5" x14ac:dyDescent="0.25">
      <c r="A1127" s="2" t="s">
        <v>38</v>
      </c>
      <c r="B1127" s="6">
        <v>44704</v>
      </c>
      <c r="C1127" s="2" t="s">
        <v>16</v>
      </c>
      <c r="D1127" s="8">
        <v>-50</v>
      </c>
      <c r="E1127" s="8">
        <f>E1126+(0-50)</f>
        <v>12726437.779999936</v>
      </c>
    </row>
    <row r="1128" spans="1:5" x14ac:dyDescent="0.25">
      <c r="A1128" s="2" t="s">
        <v>38</v>
      </c>
      <c r="B1128" s="6">
        <v>44704</v>
      </c>
      <c r="C1128" s="2" t="s">
        <v>16</v>
      </c>
      <c r="D1128" s="8">
        <v>-200</v>
      </c>
      <c r="E1128" s="8">
        <f>E1127+(0-200)</f>
        <v>12726237.779999936</v>
      </c>
    </row>
    <row r="1129" spans="1:5" x14ac:dyDescent="0.25">
      <c r="A1129" s="2" t="s">
        <v>38</v>
      </c>
      <c r="B1129" s="6">
        <v>44704</v>
      </c>
      <c r="C1129" s="2" t="s">
        <v>19</v>
      </c>
      <c r="D1129" s="8">
        <v>-120</v>
      </c>
      <c r="E1129" s="8">
        <f>E1128+(0-120)</f>
        <v>12726117.779999936</v>
      </c>
    </row>
    <row r="1130" spans="1:5" x14ac:dyDescent="0.25">
      <c r="A1130" s="2" t="s">
        <v>38</v>
      </c>
      <c r="B1130" s="6">
        <v>44705</v>
      </c>
      <c r="C1130" s="2" t="s">
        <v>16</v>
      </c>
      <c r="D1130" s="8">
        <v>-200</v>
      </c>
      <c r="E1130" s="8">
        <f>E1129+(0-200)</f>
        <v>12725917.779999936</v>
      </c>
    </row>
    <row r="1131" spans="1:5" x14ac:dyDescent="0.25">
      <c r="A1131" s="2" t="s">
        <v>38</v>
      </c>
      <c r="B1131" s="6">
        <v>44706</v>
      </c>
      <c r="C1131" s="2" t="s">
        <v>174</v>
      </c>
      <c r="D1131" s="8">
        <v>-53.75</v>
      </c>
      <c r="E1131" s="8">
        <f>E1130+(0-53.75)</f>
        <v>12725864.029999936</v>
      </c>
    </row>
    <row r="1132" spans="1:5" x14ac:dyDescent="0.25">
      <c r="A1132" s="2" t="s">
        <v>38</v>
      </c>
      <c r="B1132" s="6">
        <v>44706</v>
      </c>
      <c r="C1132" s="2" t="s">
        <v>16</v>
      </c>
      <c r="D1132" s="8">
        <v>-350</v>
      </c>
      <c r="E1132" s="8">
        <f>E1131+(0-350)</f>
        <v>12725514.029999936</v>
      </c>
    </row>
    <row r="1133" spans="1:5" x14ac:dyDescent="0.25">
      <c r="A1133" s="2" t="s">
        <v>38</v>
      </c>
      <c r="B1133" s="6">
        <v>44707</v>
      </c>
      <c r="C1133" s="2" t="s">
        <v>16</v>
      </c>
      <c r="D1133" s="8">
        <v>-50</v>
      </c>
      <c r="E1133" s="8">
        <f>E1132+(0-50)</f>
        <v>12725464.029999936</v>
      </c>
    </row>
    <row r="1134" spans="1:5" x14ac:dyDescent="0.25">
      <c r="A1134" s="2" t="s">
        <v>38</v>
      </c>
      <c r="B1134" s="6">
        <v>44707</v>
      </c>
      <c r="C1134" s="2" t="s">
        <v>16</v>
      </c>
      <c r="D1134" s="8">
        <v>-50</v>
      </c>
      <c r="E1134" s="8">
        <f>E1133+(0-50)</f>
        <v>12725414.029999936</v>
      </c>
    </row>
    <row r="1135" spans="1:5" x14ac:dyDescent="0.25">
      <c r="A1135" s="2" t="s">
        <v>38</v>
      </c>
      <c r="B1135" s="6">
        <v>44707</v>
      </c>
      <c r="C1135" s="2" t="s">
        <v>16</v>
      </c>
      <c r="D1135" s="8">
        <v>-50</v>
      </c>
      <c r="E1135" s="8">
        <f>E1134+(0-50)</f>
        <v>12725364.029999936</v>
      </c>
    </row>
    <row r="1136" spans="1:5" x14ac:dyDescent="0.25">
      <c r="A1136" s="2" t="s">
        <v>38</v>
      </c>
      <c r="B1136" s="6">
        <v>44707</v>
      </c>
      <c r="C1136" s="2" t="s">
        <v>16</v>
      </c>
      <c r="D1136" s="8">
        <v>-50</v>
      </c>
      <c r="E1136" s="8">
        <f>E1135+(0-50)</f>
        <v>12725314.029999936</v>
      </c>
    </row>
    <row r="1137" spans="1:5" x14ac:dyDescent="0.25">
      <c r="A1137" s="2" t="s">
        <v>38</v>
      </c>
      <c r="B1137" s="6">
        <v>44707</v>
      </c>
      <c r="C1137" s="2" t="s">
        <v>174</v>
      </c>
      <c r="D1137" s="8">
        <v>-53.75</v>
      </c>
      <c r="E1137" s="8">
        <f>E1136+(0-53.75)</f>
        <v>12725260.279999936</v>
      </c>
    </row>
    <row r="1138" spans="1:5" x14ac:dyDescent="0.25">
      <c r="A1138" s="2" t="s">
        <v>38</v>
      </c>
      <c r="B1138" s="6">
        <v>44707</v>
      </c>
      <c r="C1138" s="2" t="s">
        <v>174</v>
      </c>
      <c r="D1138" s="8">
        <v>-53.75</v>
      </c>
      <c r="E1138" s="8">
        <f>E1137+(0-53.75)</f>
        <v>12725206.529999936</v>
      </c>
    </row>
    <row r="1139" spans="1:5" x14ac:dyDescent="0.25">
      <c r="A1139" s="2" t="s">
        <v>38</v>
      </c>
      <c r="B1139" s="6">
        <v>44707</v>
      </c>
      <c r="C1139" s="2" t="s">
        <v>174</v>
      </c>
      <c r="D1139" s="8">
        <v>-53.75</v>
      </c>
      <c r="E1139" s="8">
        <f>E1138+(0-53.75)</f>
        <v>12725152.779999936</v>
      </c>
    </row>
    <row r="1140" spans="1:5" x14ac:dyDescent="0.25">
      <c r="A1140" s="2" t="s">
        <v>38</v>
      </c>
      <c r="B1140" s="6">
        <v>44707</v>
      </c>
      <c r="C1140" s="2" t="s">
        <v>174</v>
      </c>
      <c r="D1140" s="8">
        <v>-26.88</v>
      </c>
      <c r="E1140" s="8">
        <f>E1139+(0-26.88)</f>
        <v>12725125.899999935</v>
      </c>
    </row>
    <row r="1141" spans="1:5" x14ac:dyDescent="0.25">
      <c r="A1141" s="2" t="s">
        <v>38</v>
      </c>
      <c r="B1141" s="6">
        <v>44707</v>
      </c>
      <c r="C1141" s="2" t="s">
        <v>16</v>
      </c>
      <c r="D1141" s="8">
        <v>-450</v>
      </c>
      <c r="E1141" s="8">
        <f>E1140+(0-450)</f>
        <v>12724675.899999935</v>
      </c>
    </row>
    <row r="1142" spans="1:5" x14ac:dyDescent="0.25">
      <c r="A1142" s="2" t="s">
        <v>38</v>
      </c>
      <c r="B1142" s="6">
        <v>44707</v>
      </c>
      <c r="C1142" s="2" t="s">
        <v>16</v>
      </c>
      <c r="D1142" s="8">
        <v>-50</v>
      </c>
      <c r="E1142" s="8">
        <f>E1141+(0-50)</f>
        <v>12724625.899999935</v>
      </c>
    </row>
    <row r="1143" spans="1:5" x14ac:dyDescent="0.25">
      <c r="A1143" s="2" t="s">
        <v>38</v>
      </c>
      <c r="B1143" s="6">
        <v>44708</v>
      </c>
      <c r="C1143" s="2" t="s">
        <v>179</v>
      </c>
      <c r="D1143" s="8">
        <v>-483.75</v>
      </c>
      <c r="E1143" s="8">
        <f>E1142+(0-483.75)</f>
        <v>12724142.149999935</v>
      </c>
    </row>
    <row r="1144" spans="1:5" x14ac:dyDescent="0.25">
      <c r="A1144" s="2" t="s">
        <v>38</v>
      </c>
      <c r="B1144" s="6">
        <v>44708</v>
      </c>
      <c r="C1144" s="2" t="s">
        <v>174</v>
      </c>
      <c r="D1144" s="8">
        <v>-26.88</v>
      </c>
      <c r="E1144" s="8">
        <f>E1143+(0-26.88)</f>
        <v>12724115.269999934</v>
      </c>
    </row>
    <row r="1145" spans="1:5" x14ac:dyDescent="0.25">
      <c r="A1145" s="2" t="s">
        <v>38</v>
      </c>
      <c r="B1145" s="6">
        <v>44708</v>
      </c>
      <c r="C1145" s="2" t="s">
        <v>174</v>
      </c>
      <c r="D1145" s="8">
        <v>-26.88</v>
      </c>
      <c r="E1145" s="8">
        <f>E1144+(0-26.88)</f>
        <v>12724088.389999934</v>
      </c>
    </row>
    <row r="1146" spans="1:5" x14ac:dyDescent="0.25">
      <c r="A1146" s="2" t="s">
        <v>38</v>
      </c>
      <c r="B1146" s="6">
        <v>44708</v>
      </c>
      <c r="C1146" s="2" t="s">
        <v>174</v>
      </c>
      <c r="D1146" s="8">
        <v>-53.75</v>
      </c>
      <c r="E1146" s="8">
        <f>E1145+(0-53.75)</f>
        <v>12724034.639999934</v>
      </c>
    </row>
    <row r="1147" spans="1:5" x14ac:dyDescent="0.25">
      <c r="A1147" s="2" t="s">
        <v>38</v>
      </c>
      <c r="B1147" s="6">
        <v>44708</v>
      </c>
      <c r="C1147" s="2" t="s">
        <v>16</v>
      </c>
      <c r="D1147" s="8">
        <v>-400</v>
      </c>
      <c r="E1147" s="8">
        <f>E1146+(0-400)</f>
        <v>12723634.639999934</v>
      </c>
    </row>
    <row r="1148" spans="1:5" x14ac:dyDescent="0.25">
      <c r="A1148" s="2" t="s">
        <v>38</v>
      </c>
      <c r="B1148" s="6">
        <v>44711</v>
      </c>
      <c r="C1148" s="2" t="s">
        <v>174</v>
      </c>
      <c r="D1148" s="8">
        <v>-53.75</v>
      </c>
      <c r="E1148" s="8">
        <f>E1147+(0-53.75)</f>
        <v>12723580.889999934</v>
      </c>
    </row>
    <row r="1149" spans="1:5" x14ac:dyDescent="0.25">
      <c r="A1149" s="2" t="s">
        <v>38</v>
      </c>
      <c r="B1149" s="6">
        <v>44711</v>
      </c>
      <c r="C1149" s="2" t="s">
        <v>19</v>
      </c>
      <c r="D1149" s="8">
        <v>-4</v>
      </c>
      <c r="E1149" s="8">
        <f>E1148+(0-4)</f>
        <v>12723576.889999934</v>
      </c>
    </row>
    <row r="1150" spans="1:5" x14ac:dyDescent="0.25">
      <c r="A1150" s="2" t="s">
        <v>38</v>
      </c>
      <c r="B1150" s="6">
        <v>44711</v>
      </c>
      <c r="C1150" s="2" t="s">
        <v>19</v>
      </c>
      <c r="D1150" s="8">
        <v>-24</v>
      </c>
      <c r="E1150" s="8">
        <f>E1149+(0-24)</f>
        <v>12723552.889999934</v>
      </c>
    </row>
    <row r="1151" spans="1:5" x14ac:dyDescent="0.25">
      <c r="A1151" s="2" t="s">
        <v>38</v>
      </c>
      <c r="B1151" s="6">
        <v>44711</v>
      </c>
      <c r="C1151" s="2" t="s">
        <v>19</v>
      </c>
      <c r="D1151" s="8">
        <v>-20</v>
      </c>
      <c r="E1151" s="8">
        <f>E1150+(0-20)</f>
        <v>12723532.889999934</v>
      </c>
    </row>
    <row r="1152" spans="1:5" x14ac:dyDescent="0.25">
      <c r="A1152" s="2" t="s">
        <v>38</v>
      </c>
      <c r="B1152" s="6">
        <v>44711</v>
      </c>
      <c r="C1152" s="2" t="s">
        <v>19</v>
      </c>
      <c r="D1152" s="8">
        <v>-12</v>
      </c>
      <c r="E1152" s="8">
        <f>E1151+(0-12)</f>
        <v>12723520.889999934</v>
      </c>
    </row>
    <row r="1153" spans="1:5" x14ac:dyDescent="0.25">
      <c r="A1153" s="2" t="s">
        <v>38</v>
      </c>
      <c r="B1153" s="6">
        <v>44711</v>
      </c>
      <c r="C1153" s="2" t="s">
        <v>19</v>
      </c>
      <c r="D1153" s="8">
        <v>-32</v>
      </c>
      <c r="E1153" s="8">
        <f>E1152+(0-32)</f>
        <v>12723488.889999934</v>
      </c>
    </row>
    <row r="1154" spans="1:5" x14ac:dyDescent="0.25">
      <c r="A1154" s="2" t="s">
        <v>38</v>
      </c>
      <c r="B1154" s="6">
        <v>44711</v>
      </c>
      <c r="C1154" s="2" t="s">
        <v>19</v>
      </c>
      <c r="D1154" s="8">
        <v>-68</v>
      </c>
      <c r="E1154" s="8">
        <f>E1153+(0-68)</f>
        <v>12723420.889999934</v>
      </c>
    </row>
    <row r="1155" spans="1:5" x14ac:dyDescent="0.25">
      <c r="A1155" s="2" t="s">
        <v>38</v>
      </c>
      <c r="B1155" s="6">
        <v>44711</v>
      </c>
      <c r="C1155" s="2" t="s">
        <v>16</v>
      </c>
      <c r="D1155" s="8">
        <v>-200</v>
      </c>
      <c r="E1155" s="8">
        <f>E1154+(0-200)</f>
        <v>12723220.889999934</v>
      </c>
    </row>
    <row r="1156" spans="1:5" x14ac:dyDescent="0.25">
      <c r="A1156" s="2" t="s">
        <v>38</v>
      </c>
      <c r="B1156" s="6">
        <v>44712</v>
      </c>
      <c r="C1156" s="2" t="s">
        <v>16</v>
      </c>
      <c r="D1156" s="8">
        <v>-50</v>
      </c>
      <c r="E1156" s="8">
        <f>E1155+(0-50)</f>
        <v>12723170.889999934</v>
      </c>
    </row>
    <row r="1157" spans="1:5" x14ac:dyDescent="0.25">
      <c r="A1157" s="2" t="s">
        <v>38</v>
      </c>
      <c r="B1157" s="6">
        <v>44712</v>
      </c>
      <c r="C1157" s="2" t="s">
        <v>16</v>
      </c>
      <c r="D1157" s="8">
        <v>-100</v>
      </c>
      <c r="E1157" s="8">
        <f>E1156+(0-100)</f>
        <v>12723070.889999934</v>
      </c>
    </row>
    <row r="1158" spans="1:5" x14ac:dyDescent="0.25">
      <c r="A1158" s="2" t="s">
        <v>38</v>
      </c>
      <c r="B1158" s="6">
        <v>44712</v>
      </c>
      <c r="C1158" s="2" t="s">
        <v>174</v>
      </c>
      <c r="D1158" s="8">
        <v>-53.75</v>
      </c>
      <c r="E1158" s="8">
        <f>E1157+(0-53.75)</f>
        <v>12723017.139999934</v>
      </c>
    </row>
    <row r="1159" spans="1:5" x14ac:dyDescent="0.25">
      <c r="A1159" s="2" t="s">
        <v>38</v>
      </c>
      <c r="B1159" s="6">
        <v>44714</v>
      </c>
      <c r="C1159" s="2" t="s">
        <v>16</v>
      </c>
      <c r="D1159" s="8">
        <v>-350</v>
      </c>
      <c r="E1159" s="8">
        <f>E1158+(0-350)</f>
        <v>12722667.139999934</v>
      </c>
    </row>
    <row r="1160" spans="1:5" x14ac:dyDescent="0.25">
      <c r="A1160" s="2" t="s">
        <v>38</v>
      </c>
      <c r="B1160" s="6">
        <v>44715</v>
      </c>
      <c r="C1160" s="2" t="s">
        <v>19</v>
      </c>
      <c r="D1160" s="8">
        <v>-28</v>
      </c>
      <c r="E1160" s="8">
        <f>E1159+(0-28)</f>
        <v>12722639.139999934</v>
      </c>
    </row>
    <row r="1161" spans="1:5" x14ac:dyDescent="0.25">
      <c r="A1161" s="2" t="s">
        <v>38</v>
      </c>
      <c r="B1161" s="6">
        <v>44715</v>
      </c>
      <c r="C1161" s="2" t="s">
        <v>174</v>
      </c>
      <c r="D1161" s="8">
        <v>-26.88</v>
      </c>
      <c r="E1161" s="8">
        <f>E1160+(0-26.88)</f>
        <v>12722612.259999933</v>
      </c>
    </row>
    <row r="1162" spans="1:5" x14ac:dyDescent="0.25">
      <c r="A1162" s="2" t="s">
        <v>38</v>
      </c>
      <c r="B1162" s="6">
        <v>44715</v>
      </c>
      <c r="C1162" s="2" t="s">
        <v>19</v>
      </c>
      <c r="D1162" s="8">
        <v>-24</v>
      </c>
      <c r="E1162" s="8">
        <f>E1161+(0-24)</f>
        <v>12722588.259999933</v>
      </c>
    </row>
    <row r="1163" spans="1:5" x14ac:dyDescent="0.25">
      <c r="A1163" s="2" t="s">
        <v>38</v>
      </c>
      <c r="B1163" s="6">
        <v>44715</v>
      </c>
      <c r="C1163" s="2" t="s">
        <v>174</v>
      </c>
      <c r="D1163" s="8">
        <v>-26.88</v>
      </c>
      <c r="E1163" s="8">
        <f>E1162+(0-26.88)</f>
        <v>12722561.379999932</v>
      </c>
    </row>
    <row r="1164" spans="1:5" x14ac:dyDescent="0.25">
      <c r="A1164" s="2" t="s">
        <v>38</v>
      </c>
      <c r="B1164" s="6">
        <v>44715</v>
      </c>
      <c r="C1164" s="2" t="s">
        <v>16</v>
      </c>
      <c r="D1164" s="8">
        <v>-300</v>
      </c>
      <c r="E1164" s="8">
        <f>E1163+(0-300)</f>
        <v>12722261.379999932</v>
      </c>
    </row>
    <row r="1165" spans="1:5" x14ac:dyDescent="0.25">
      <c r="A1165" s="2" t="s">
        <v>38</v>
      </c>
      <c r="B1165" s="6">
        <v>44715</v>
      </c>
      <c r="C1165" s="2" t="s">
        <v>16</v>
      </c>
      <c r="D1165" s="8">
        <v>-50</v>
      </c>
      <c r="E1165" s="8">
        <f>E1164+(0-50)</f>
        <v>12722211.379999932</v>
      </c>
    </row>
    <row r="1166" spans="1:5" x14ac:dyDescent="0.25">
      <c r="A1166" s="2" t="s">
        <v>38</v>
      </c>
      <c r="B1166" s="6">
        <v>44715</v>
      </c>
      <c r="C1166" s="2" t="s">
        <v>16</v>
      </c>
      <c r="D1166" s="8">
        <v>-100</v>
      </c>
      <c r="E1166" s="8">
        <f>E1165+(0-100)</f>
        <v>12722111.379999932</v>
      </c>
    </row>
    <row r="1167" spans="1:5" x14ac:dyDescent="0.25">
      <c r="A1167" s="2" t="s">
        <v>38</v>
      </c>
      <c r="B1167" s="6">
        <v>44715</v>
      </c>
      <c r="C1167" s="2" t="s">
        <v>19</v>
      </c>
      <c r="D1167" s="8">
        <v>-52</v>
      </c>
      <c r="E1167" s="8">
        <f>E1166+(0-52)</f>
        <v>12722059.379999932</v>
      </c>
    </row>
    <row r="1168" spans="1:5" x14ac:dyDescent="0.25">
      <c r="A1168" s="2" t="s">
        <v>38</v>
      </c>
      <c r="B1168" s="6">
        <v>44715</v>
      </c>
      <c r="C1168" s="2" t="s">
        <v>19</v>
      </c>
      <c r="D1168" s="8">
        <v>-92</v>
      </c>
      <c r="E1168" s="8">
        <f>E1167+(0-92)</f>
        <v>12721967.379999932</v>
      </c>
    </row>
    <row r="1169" spans="1:5" x14ac:dyDescent="0.25">
      <c r="A1169" s="2" t="s">
        <v>38</v>
      </c>
      <c r="B1169" s="6">
        <v>44718</v>
      </c>
      <c r="C1169" s="2" t="s">
        <v>19</v>
      </c>
      <c r="D1169" s="8">
        <v>-80</v>
      </c>
      <c r="E1169" s="8">
        <f>E1168+(0-80)</f>
        <v>12721887.379999932</v>
      </c>
    </row>
    <row r="1170" spans="1:5" x14ac:dyDescent="0.25">
      <c r="A1170" s="2" t="s">
        <v>38</v>
      </c>
      <c r="B1170" s="6">
        <v>44718</v>
      </c>
      <c r="C1170" s="2" t="s">
        <v>53</v>
      </c>
      <c r="D1170" s="8">
        <v>-53.75</v>
      </c>
      <c r="E1170" s="8">
        <f>E1169+(0-53.75)</f>
        <v>12721833.629999932</v>
      </c>
    </row>
    <row r="1171" spans="1:5" x14ac:dyDescent="0.25">
      <c r="A1171" s="2" t="s">
        <v>38</v>
      </c>
      <c r="B1171" s="6">
        <v>44718</v>
      </c>
      <c r="C1171" s="2" t="s">
        <v>16</v>
      </c>
      <c r="D1171" s="8">
        <v>-200</v>
      </c>
      <c r="E1171" s="8">
        <f>E1170+(0-200)</f>
        <v>12721633.629999932</v>
      </c>
    </row>
    <row r="1172" spans="1:5" x14ac:dyDescent="0.25">
      <c r="A1172" s="2" t="s">
        <v>38</v>
      </c>
      <c r="B1172" s="6">
        <v>44719</v>
      </c>
      <c r="C1172" s="2" t="s">
        <v>174</v>
      </c>
      <c r="D1172" s="8">
        <v>-26.88</v>
      </c>
      <c r="E1172" s="8">
        <f>E1171+(0-26.88)</f>
        <v>12721606.749999931</v>
      </c>
    </row>
    <row r="1173" spans="1:5" x14ac:dyDescent="0.25">
      <c r="A1173" s="2" t="s">
        <v>38</v>
      </c>
      <c r="B1173" s="6">
        <v>44719</v>
      </c>
      <c r="C1173" s="2" t="s">
        <v>16</v>
      </c>
      <c r="D1173" s="8">
        <v>-250</v>
      </c>
      <c r="E1173" s="8">
        <f>E1172+(0-250)</f>
        <v>12721356.749999931</v>
      </c>
    </row>
    <row r="1174" spans="1:5" x14ac:dyDescent="0.25">
      <c r="A1174" s="2" t="s">
        <v>38</v>
      </c>
      <c r="B1174" s="6">
        <v>44720</v>
      </c>
      <c r="C1174" s="2" t="s">
        <v>174</v>
      </c>
      <c r="D1174" s="8">
        <v>-26.88</v>
      </c>
      <c r="E1174" s="8">
        <f>E1173+(0-26.88)</f>
        <v>12721329.86999993</v>
      </c>
    </row>
    <row r="1175" spans="1:5" x14ac:dyDescent="0.25">
      <c r="A1175" s="2" t="s">
        <v>38</v>
      </c>
      <c r="B1175" s="6">
        <v>44720</v>
      </c>
      <c r="C1175" s="2" t="s">
        <v>16</v>
      </c>
      <c r="D1175" s="8">
        <v>-350</v>
      </c>
      <c r="E1175" s="8">
        <f>E1174+(0-350)</f>
        <v>12720979.86999993</v>
      </c>
    </row>
    <row r="1176" spans="1:5" x14ac:dyDescent="0.25">
      <c r="A1176" s="2" t="s">
        <v>38</v>
      </c>
      <c r="B1176" s="6">
        <v>44721</v>
      </c>
      <c r="C1176" s="2" t="s">
        <v>16</v>
      </c>
      <c r="D1176" s="8">
        <v>-500</v>
      </c>
      <c r="E1176" s="8">
        <f>E1175+(0-500)</f>
        <v>12720479.86999993</v>
      </c>
    </row>
    <row r="1177" spans="1:5" x14ac:dyDescent="0.25">
      <c r="A1177" s="2" t="s">
        <v>38</v>
      </c>
      <c r="B1177" s="6">
        <v>44721</v>
      </c>
      <c r="C1177" s="2" t="s">
        <v>16</v>
      </c>
      <c r="D1177" s="8">
        <v>-50</v>
      </c>
      <c r="E1177" s="8">
        <f>E1176+(0-50)</f>
        <v>12720429.86999993</v>
      </c>
    </row>
    <row r="1178" spans="1:5" x14ac:dyDescent="0.25">
      <c r="A1178" s="2" t="s">
        <v>38</v>
      </c>
      <c r="B1178" s="6">
        <v>44721</v>
      </c>
      <c r="C1178" s="2" t="s">
        <v>174</v>
      </c>
      <c r="D1178" s="8">
        <v>-26.88</v>
      </c>
      <c r="E1178" s="8">
        <f>E1177+(0-26.88)</f>
        <v>12720402.989999929</v>
      </c>
    </row>
    <row r="1179" spans="1:5" x14ac:dyDescent="0.25">
      <c r="A1179" s="2" t="s">
        <v>38</v>
      </c>
      <c r="B1179" s="6">
        <v>44721</v>
      </c>
      <c r="C1179" s="2" t="s">
        <v>16</v>
      </c>
      <c r="D1179" s="8">
        <v>-50</v>
      </c>
      <c r="E1179" s="8">
        <f>E1178+(0-50)</f>
        <v>12720352.989999929</v>
      </c>
    </row>
    <row r="1180" spans="1:5" x14ac:dyDescent="0.25">
      <c r="A1180" s="2" t="s">
        <v>38</v>
      </c>
      <c r="B1180" s="6">
        <v>44722</v>
      </c>
      <c r="C1180" s="2" t="s">
        <v>174</v>
      </c>
      <c r="D1180" s="8">
        <v>-26.88</v>
      </c>
      <c r="E1180" s="8">
        <f>E1179+(0-26.88)</f>
        <v>12720326.109999929</v>
      </c>
    </row>
    <row r="1181" spans="1:5" x14ac:dyDescent="0.25">
      <c r="A1181" s="2" t="s">
        <v>38</v>
      </c>
      <c r="B1181" s="6">
        <v>44722</v>
      </c>
      <c r="C1181" s="2" t="s">
        <v>16</v>
      </c>
      <c r="D1181" s="8">
        <v>-200</v>
      </c>
      <c r="E1181" s="8">
        <f>E1180+(0-200)</f>
        <v>12720126.109999929</v>
      </c>
    </row>
    <row r="1182" spans="1:5" x14ac:dyDescent="0.25">
      <c r="A1182" s="2" t="s">
        <v>38</v>
      </c>
      <c r="B1182" s="6">
        <v>44722</v>
      </c>
      <c r="C1182" s="2" t="s">
        <v>16</v>
      </c>
      <c r="D1182" s="8">
        <v>-50</v>
      </c>
      <c r="E1182" s="8">
        <f>E1181+(0-50)</f>
        <v>12720076.109999929</v>
      </c>
    </row>
    <row r="1183" spans="1:5" x14ac:dyDescent="0.25">
      <c r="A1183" s="2" t="s">
        <v>38</v>
      </c>
      <c r="B1183" s="6">
        <v>44726</v>
      </c>
      <c r="C1183" s="2" t="s">
        <v>16</v>
      </c>
      <c r="D1183" s="8">
        <v>-50</v>
      </c>
      <c r="E1183" s="8">
        <f>E1182+(0-50)</f>
        <v>12720026.109999929</v>
      </c>
    </row>
    <row r="1184" spans="1:5" x14ac:dyDescent="0.25">
      <c r="A1184" s="2" t="s">
        <v>38</v>
      </c>
      <c r="B1184" s="6">
        <v>44726</v>
      </c>
      <c r="C1184" s="2" t="s">
        <v>16</v>
      </c>
      <c r="D1184" s="8">
        <v>-450</v>
      </c>
      <c r="E1184" s="8">
        <f>E1183+(0-450)</f>
        <v>12719576.109999929</v>
      </c>
    </row>
    <row r="1185" spans="1:5" x14ac:dyDescent="0.25">
      <c r="A1185" s="2" t="s">
        <v>38</v>
      </c>
      <c r="B1185" s="6">
        <v>44726</v>
      </c>
      <c r="C1185" s="2" t="s">
        <v>19</v>
      </c>
      <c r="D1185" s="8">
        <v>-8</v>
      </c>
      <c r="E1185" s="8">
        <f>E1184+(0-8)</f>
        <v>12719568.109999929</v>
      </c>
    </row>
    <row r="1186" spans="1:5" x14ac:dyDescent="0.25">
      <c r="A1186" s="2" t="s">
        <v>38</v>
      </c>
      <c r="B1186" s="6">
        <v>44726</v>
      </c>
      <c r="C1186" s="2" t="s">
        <v>19</v>
      </c>
      <c r="D1186" s="8">
        <v>-36</v>
      </c>
      <c r="E1186" s="8">
        <f>E1185+(0-36)</f>
        <v>12719532.109999929</v>
      </c>
    </row>
    <row r="1187" spans="1:5" x14ac:dyDescent="0.25">
      <c r="A1187" s="2" t="s">
        <v>38</v>
      </c>
      <c r="B1187" s="6">
        <v>44726</v>
      </c>
      <c r="C1187" s="2" t="s">
        <v>19</v>
      </c>
      <c r="D1187" s="8">
        <v>-64</v>
      </c>
      <c r="E1187" s="8">
        <f>E1186+(0-64)</f>
        <v>12719468.109999929</v>
      </c>
    </row>
    <row r="1188" spans="1:5" x14ac:dyDescent="0.25">
      <c r="A1188" s="2" t="s">
        <v>38</v>
      </c>
      <c r="B1188" s="6">
        <v>44726</v>
      </c>
      <c r="C1188" s="2" t="s">
        <v>19</v>
      </c>
      <c r="D1188" s="8">
        <v>-76</v>
      </c>
      <c r="E1188" s="8">
        <f>E1187+(0-76)</f>
        <v>12719392.109999929</v>
      </c>
    </row>
    <row r="1189" spans="1:5" x14ac:dyDescent="0.25">
      <c r="A1189" s="2" t="s">
        <v>38</v>
      </c>
      <c r="B1189" s="6">
        <v>44726</v>
      </c>
      <c r="C1189" s="2" t="s">
        <v>19</v>
      </c>
      <c r="D1189" s="8">
        <v>-24</v>
      </c>
      <c r="E1189" s="8">
        <f>E1188+(0-24)</f>
        <v>12719368.109999929</v>
      </c>
    </row>
    <row r="1190" spans="1:5" x14ac:dyDescent="0.25">
      <c r="A1190" s="2" t="s">
        <v>38</v>
      </c>
      <c r="B1190" s="6">
        <v>44727</v>
      </c>
      <c r="C1190" s="2" t="s">
        <v>174</v>
      </c>
      <c r="D1190" s="8">
        <v>-53.75</v>
      </c>
      <c r="E1190" s="8">
        <f>E1189+(0-53.75)</f>
        <v>12719314.359999929</v>
      </c>
    </row>
    <row r="1191" spans="1:5" x14ac:dyDescent="0.25">
      <c r="A1191" s="2" t="s">
        <v>38</v>
      </c>
      <c r="B1191" s="6">
        <v>44727</v>
      </c>
      <c r="C1191" s="2" t="s">
        <v>174</v>
      </c>
      <c r="D1191" s="8">
        <v>-53.75</v>
      </c>
      <c r="E1191" s="8">
        <f>E1190+(0-53.75)</f>
        <v>12719260.609999929</v>
      </c>
    </row>
    <row r="1192" spans="1:5" x14ac:dyDescent="0.25">
      <c r="A1192" s="2" t="s">
        <v>38</v>
      </c>
      <c r="B1192" s="6">
        <v>44727</v>
      </c>
      <c r="C1192" s="2" t="s">
        <v>16</v>
      </c>
      <c r="D1192" s="8">
        <v>-150</v>
      </c>
      <c r="E1192" s="8">
        <f>E1191+(0-150)</f>
        <v>12719110.609999929</v>
      </c>
    </row>
    <row r="1193" spans="1:5" x14ac:dyDescent="0.25">
      <c r="A1193" s="2" t="s">
        <v>38</v>
      </c>
      <c r="B1193" s="6">
        <v>44728</v>
      </c>
      <c r="C1193" s="2" t="s">
        <v>16</v>
      </c>
      <c r="D1193" s="8">
        <v>-500</v>
      </c>
      <c r="E1193" s="8">
        <f>E1192+(0-500)</f>
        <v>12718610.609999929</v>
      </c>
    </row>
    <row r="1194" spans="1:5" x14ac:dyDescent="0.25">
      <c r="A1194" s="2" t="s">
        <v>38</v>
      </c>
      <c r="B1194" s="6">
        <v>44728</v>
      </c>
      <c r="C1194" s="2" t="s">
        <v>16</v>
      </c>
      <c r="D1194" s="8">
        <v>-50</v>
      </c>
      <c r="E1194" s="8">
        <f>E1193+(0-50)</f>
        <v>12718560.609999929</v>
      </c>
    </row>
    <row r="1195" spans="1:5" x14ac:dyDescent="0.25">
      <c r="A1195" s="2" t="s">
        <v>38</v>
      </c>
      <c r="B1195" s="6">
        <v>44729</v>
      </c>
      <c r="C1195" s="2" t="s">
        <v>16</v>
      </c>
      <c r="D1195" s="8">
        <v>-50</v>
      </c>
      <c r="E1195" s="8">
        <f>E1194+(0-50)</f>
        <v>12718510.609999929</v>
      </c>
    </row>
    <row r="1196" spans="1:5" x14ac:dyDescent="0.25">
      <c r="A1196" s="2" t="s">
        <v>38</v>
      </c>
      <c r="B1196" s="6">
        <v>44729</v>
      </c>
      <c r="C1196" s="2" t="s">
        <v>16</v>
      </c>
      <c r="D1196" s="8">
        <v>-250</v>
      </c>
      <c r="E1196" s="8">
        <f>E1195+(0-250)</f>
        <v>12718260.609999929</v>
      </c>
    </row>
    <row r="1197" spans="1:5" x14ac:dyDescent="0.25">
      <c r="A1197" s="2" t="s">
        <v>38</v>
      </c>
      <c r="B1197" s="6">
        <v>44732</v>
      </c>
      <c r="C1197" s="2" t="s">
        <v>16</v>
      </c>
      <c r="D1197" s="8">
        <v>-250</v>
      </c>
      <c r="E1197" s="8">
        <f>E1196+(0-250)</f>
        <v>12718010.609999929</v>
      </c>
    </row>
    <row r="1198" spans="1:5" x14ac:dyDescent="0.25">
      <c r="A1198" s="2" t="s">
        <v>38</v>
      </c>
      <c r="B1198" s="6">
        <v>44732</v>
      </c>
      <c r="C1198" s="2" t="s">
        <v>16</v>
      </c>
      <c r="D1198" s="8">
        <v>-50</v>
      </c>
      <c r="E1198" s="8">
        <f>E1197+(0-50)</f>
        <v>12717960.609999929</v>
      </c>
    </row>
    <row r="1199" spans="1:5" x14ac:dyDescent="0.25">
      <c r="A1199" s="2" t="s">
        <v>38</v>
      </c>
      <c r="B1199" s="6">
        <v>44732</v>
      </c>
      <c r="C1199" s="2" t="s">
        <v>16</v>
      </c>
      <c r="D1199" s="8">
        <v>-50</v>
      </c>
      <c r="E1199" s="8">
        <f>E1198+(0-50)</f>
        <v>12717910.609999929</v>
      </c>
    </row>
    <row r="1200" spans="1:5" x14ac:dyDescent="0.25">
      <c r="A1200" s="2" t="s">
        <v>38</v>
      </c>
      <c r="B1200" s="6">
        <v>44732</v>
      </c>
      <c r="C1200" s="2" t="s">
        <v>19</v>
      </c>
      <c r="D1200" s="8">
        <v>-8</v>
      </c>
      <c r="E1200" s="8">
        <f>E1199+(0-8)</f>
        <v>12717902.609999929</v>
      </c>
    </row>
    <row r="1201" spans="1:5" x14ac:dyDescent="0.25">
      <c r="A1201" s="2" t="s">
        <v>38</v>
      </c>
      <c r="B1201" s="6">
        <v>44732</v>
      </c>
      <c r="C1201" s="2" t="s">
        <v>19</v>
      </c>
      <c r="D1201" s="8">
        <v>-44</v>
      </c>
      <c r="E1201" s="8">
        <f>E1200+(0-44)</f>
        <v>12717858.609999929</v>
      </c>
    </row>
    <row r="1202" spans="1:5" x14ac:dyDescent="0.25">
      <c r="A1202" s="2" t="s">
        <v>38</v>
      </c>
      <c r="B1202" s="6">
        <v>44732</v>
      </c>
      <c r="C1202" s="2" t="s">
        <v>19</v>
      </c>
      <c r="D1202" s="8">
        <v>-12</v>
      </c>
      <c r="E1202" s="8">
        <f>E1201+(0-12)</f>
        <v>12717846.609999929</v>
      </c>
    </row>
    <row r="1203" spans="1:5" x14ac:dyDescent="0.25">
      <c r="A1203" s="2" t="s">
        <v>38</v>
      </c>
      <c r="B1203" s="6">
        <v>44732</v>
      </c>
      <c r="C1203" s="2" t="s">
        <v>19</v>
      </c>
      <c r="D1203" s="8">
        <v>-76</v>
      </c>
      <c r="E1203" s="8">
        <f>E1202+(0-76)</f>
        <v>12717770.609999929</v>
      </c>
    </row>
    <row r="1204" spans="1:5" x14ac:dyDescent="0.25">
      <c r="A1204" s="2" t="s">
        <v>38</v>
      </c>
      <c r="B1204" s="6">
        <v>44732</v>
      </c>
      <c r="C1204" s="2" t="s">
        <v>19</v>
      </c>
      <c r="D1204" s="8">
        <v>-44</v>
      </c>
      <c r="E1204" s="8">
        <f>E1203+(0-44)</f>
        <v>12717726.609999929</v>
      </c>
    </row>
    <row r="1205" spans="1:5" x14ac:dyDescent="0.25">
      <c r="A1205" s="2" t="s">
        <v>38</v>
      </c>
      <c r="B1205" s="6">
        <v>44733</v>
      </c>
      <c r="C1205" s="2" t="s">
        <v>16</v>
      </c>
      <c r="D1205" s="8">
        <v>-50</v>
      </c>
      <c r="E1205" s="8">
        <f>E1204+(0-50)</f>
        <v>12717676.609999929</v>
      </c>
    </row>
    <row r="1206" spans="1:5" x14ac:dyDescent="0.25">
      <c r="A1206" s="2" t="s">
        <v>38</v>
      </c>
      <c r="B1206" s="6">
        <v>44733</v>
      </c>
      <c r="C1206" s="2" t="s">
        <v>19</v>
      </c>
      <c r="D1206" s="8">
        <v>-40</v>
      </c>
      <c r="E1206" s="8">
        <f>E1205+(0-40)</f>
        <v>12717636.609999929</v>
      </c>
    </row>
    <row r="1207" spans="1:5" x14ac:dyDescent="0.25">
      <c r="A1207" s="2" t="s">
        <v>38</v>
      </c>
      <c r="B1207" s="6">
        <v>44733</v>
      </c>
      <c r="C1207" s="2" t="s">
        <v>19</v>
      </c>
      <c r="D1207" s="8">
        <v>-52</v>
      </c>
      <c r="E1207" s="8">
        <f>E1206+(0-52)</f>
        <v>12717584.609999929</v>
      </c>
    </row>
    <row r="1208" spans="1:5" x14ac:dyDescent="0.25">
      <c r="A1208" s="2" t="s">
        <v>38</v>
      </c>
      <c r="B1208" s="6">
        <v>44733</v>
      </c>
      <c r="C1208" s="2" t="s">
        <v>19</v>
      </c>
      <c r="D1208" s="8">
        <v>-56</v>
      </c>
      <c r="E1208" s="8">
        <f>E1207+(0-56)</f>
        <v>12717528.609999929</v>
      </c>
    </row>
    <row r="1209" spans="1:5" x14ac:dyDescent="0.25">
      <c r="A1209" s="2" t="s">
        <v>38</v>
      </c>
      <c r="B1209" s="6">
        <v>44733</v>
      </c>
      <c r="C1209" s="2" t="s">
        <v>19</v>
      </c>
      <c r="D1209" s="8">
        <v>-36</v>
      </c>
      <c r="E1209" s="8">
        <f>E1208+(0-36)</f>
        <v>12717492.609999929</v>
      </c>
    </row>
    <row r="1210" spans="1:5" x14ac:dyDescent="0.25">
      <c r="A1210" s="2" t="s">
        <v>38</v>
      </c>
      <c r="B1210" s="6">
        <v>44733</v>
      </c>
      <c r="C1210" s="2" t="s">
        <v>19</v>
      </c>
      <c r="D1210" s="8">
        <v>-8</v>
      </c>
      <c r="E1210" s="8">
        <f>E1209+(0-8)</f>
        <v>12717484.609999929</v>
      </c>
    </row>
    <row r="1211" spans="1:5" x14ac:dyDescent="0.25">
      <c r="A1211" s="2" t="s">
        <v>38</v>
      </c>
      <c r="B1211" s="6">
        <v>44733</v>
      </c>
      <c r="C1211" s="2" t="s">
        <v>16</v>
      </c>
      <c r="D1211" s="8">
        <v>-50</v>
      </c>
      <c r="E1211" s="8">
        <f>E1210+(0-50)</f>
        <v>12717434.609999929</v>
      </c>
    </row>
    <row r="1212" spans="1:5" x14ac:dyDescent="0.25">
      <c r="A1212" s="2" t="s">
        <v>38</v>
      </c>
      <c r="B1212" s="6">
        <v>44734</v>
      </c>
      <c r="C1212" s="2" t="s">
        <v>19</v>
      </c>
      <c r="D1212" s="8">
        <v>-24</v>
      </c>
      <c r="E1212" s="8">
        <f>E1211+(0-24)</f>
        <v>12717410.609999929</v>
      </c>
    </row>
    <row r="1213" spans="1:5" x14ac:dyDescent="0.25">
      <c r="A1213" s="2" t="s">
        <v>38</v>
      </c>
      <c r="B1213" s="6">
        <v>44734</v>
      </c>
      <c r="C1213" s="2" t="s">
        <v>16</v>
      </c>
      <c r="D1213" s="8">
        <v>-50</v>
      </c>
      <c r="E1213" s="8">
        <f>E1212+(0-50)</f>
        <v>12717360.609999929</v>
      </c>
    </row>
    <row r="1214" spans="1:5" x14ac:dyDescent="0.25">
      <c r="A1214" s="2" t="s">
        <v>38</v>
      </c>
      <c r="B1214" s="6">
        <v>44734</v>
      </c>
      <c r="C1214" s="2" t="s">
        <v>16</v>
      </c>
      <c r="D1214" s="8">
        <v>-50</v>
      </c>
      <c r="E1214" s="8">
        <f>E1213+(0-50)</f>
        <v>12717310.609999929</v>
      </c>
    </row>
    <row r="1215" spans="1:5" x14ac:dyDescent="0.25">
      <c r="A1215" s="2" t="s">
        <v>38</v>
      </c>
      <c r="B1215" s="6">
        <v>44734</v>
      </c>
      <c r="C1215" s="2" t="s">
        <v>16</v>
      </c>
      <c r="D1215" s="8">
        <v>-50</v>
      </c>
      <c r="E1215" s="8">
        <f>E1214+(0-50)</f>
        <v>12717260.609999929</v>
      </c>
    </row>
    <row r="1216" spans="1:5" x14ac:dyDescent="0.25">
      <c r="A1216" s="2" t="s">
        <v>38</v>
      </c>
      <c r="B1216" s="6">
        <v>44734</v>
      </c>
      <c r="C1216" s="2" t="s">
        <v>16</v>
      </c>
      <c r="D1216" s="8">
        <v>-200</v>
      </c>
      <c r="E1216" s="8">
        <f>E1215+(0-200)</f>
        <v>12717060.609999929</v>
      </c>
    </row>
    <row r="1217" spans="1:5" x14ac:dyDescent="0.25">
      <c r="A1217" s="2" t="s">
        <v>38</v>
      </c>
      <c r="B1217" s="6">
        <v>44735</v>
      </c>
      <c r="C1217" s="2" t="s">
        <v>16</v>
      </c>
      <c r="D1217" s="8">
        <v>-50</v>
      </c>
      <c r="E1217" s="8">
        <f>E1216+(0-50)</f>
        <v>12717010.609999929</v>
      </c>
    </row>
    <row r="1218" spans="1:5" x14ac:dyDescent="0.25">
      <c r="A1218" s="2" t="s">
        <v>38</v>
      </c>
      <c r="B1218" s="6">
        <v>44735</v>
      </c>
      <c r="C1218" s="2" t="s">
        <v>16</v>
      </c>
      <c r="D1218" s="8">
        <v>-50</v>
      </c>
      <c r="E1218" s="8">
        <f>E1217+(0-50)</f>
        <v>12716960.609999929</v>
      </c>
    </row>
    <row r="1219" spans="1:5" x14ac:dyDescent="0.25">
      <c r="A1219" s="2" t="s">
        <v>38</v>
      </c>
      <c r="B1219" s="6">
        <v>44735</v>
      </c>
      <c r="C1219" s="2" t="s">
        <v>16</v>
      </c>
      <c r="D1219" s="8">
        <v>-50</v>
      </c>
      <c r="E1219" s="8">
        <f>E1218+(0-50)</f>
        <v>12716910.609999929</v>
      </c>
    </row>
    <row r="1220" spans="1:5" x14ac:dyDescent="0.25">
      <c r="A1220" s="2" t="s">
        <v>38</v>
      </c>
      <c r="B1220" s="6">
        <v>44735</v>
      </c>
      <c r="C1220" s="2" t="s">
        <v>19</v>
      </c>
      <c r="D1220" s="8">
        <v>-24</v>
      </c>
      <c r="E1220" s="8">
        <f>E1219+(0-24)</f>
        <v>12716886.609999929</v>
      </c>
    </row>
    <row r="1221" spans="1:5" x14ac:dyDescent="0.25">
      <c r="A1221" s="2" t="s">
        <v>38</v>
      </c>
      <c r="B1221" s="6">
        <v>44735</v>
      </c>
      <c r="C1221" s="2" t="s">
        <v>16</v>
      </c>
      <c r="D1221" s="8">
        <v>-650</v>
      </c>
      <c r="E1221" s="8">
        <f>E1220+(0-650)</f>
        <v>12716236.609999929</v>
      </c>
    </row>
    <row r="1222" spans="1:5" x14ac:dyDescent="0.25">
      <c r="A1222" s="2" t="s">
        <v>38</v>
      </c>
      <c r="B1222" s="6">
        <v>44735</v>
      </c>
      <c r="C1222" s="2" t="s">
        <v>16</v>
      </c>
      <c r="D1222" s="8">
        <v>-50</v>
      </c>
      <c r="E1222" s="8">
        <f>E1221+(0-50)</f>
        <v>12716186.609999929</v>
      </c>
    </row>
    <row r="1223" spans="1:5" x14ac:dyDescent="0.25">
      <c r="A1223" s="2" t="s">
        <v>38</v>
      </c>
      <c r="B1223" s="6">
        <v>44735</v>
      </c>
      <c r="C1223" s="2" t="s">
        <v>16</v>
      </c>
      <c r="D1223" s="8">
        <v>-50</v>
      </c>
      <c r="E1223" s="8">
        <f>E1222+(0-50)</f>
        <v>12716136.609999929</v>
      </c>
    </row>
    <row r="1224" spans="1:5" x14ac:dyDescent="0.25">
      <c r="A1224" s="2" t="s">
        <v>38</v>
      </c>
      <c r="B1224" s="6">
        <v>44735</v>
      </c>
      <c r="C1224" s="2" t="s">
        <v>16</v>
      </c>
      <c r="D1224" s="8">
        <v>-50</v>
      </c>
      <c r="E1224" s="8">
        <f>E1223+(0-50)</f>
        <v>12716086.609999929</v>
      </c>
    </row>
    <row r="1225" spans="1:5" x14ac:dyDescent="0.25">
      <c r="A1225" s="2" t="s">
        <v>38</v>
      </c>
      <c r="B1225" s="6">
        <v>44735</v>
      </c>
      <c r="C1225" s="2" t="s">
        <v>16</v>
      </c>
      <c r="D1225" s="8">
        <v>-50</v>
      </c>
      <c r="E1225" s="8">
        <f>E1224+(0-50)</f>
        <v>12716036.609999929</v>
      </c>
    </row>
    <row r="1226" spans="1:5" x14ac:dyDescent="0.25">
      <c r="A1226" s="2" t="s">
        <v>38</v>
      </c>
      <c r="B1226" s="6">
        <v>44736</v>
      </c>
      <c r="C1226" s="2" t="s">
        <v>19</v>
      </c>
      <c r="D1226" s="8">
        <v>-60</v>
      </c>
      <c r="E1226" s="8">
        <f>E1225+(0-60)</f>
        <v>12715976.609999929</v>
      </c>
    </row>
    <row r="1227" spans="1:5" x14ac:dyDescent="0.25">
      <c r="A1227" s="2" t="s">
        <v>38</v>
      </c>
      <c r="B1227" s="6">
        <v>44736</v>
      </c>
      <c r="C1227" s="2" t="s">
        <v>174</v>
      </c>
      <c r="D1227" s="8">
        <v>-26.88</v>
      </c>
      <c r="E1227" s="8">
        <f>E1226+(0-26.88)</f>
        <v>12715949.729999928</v>
      </c>
    </row>
    <row r="1228" spans="1:5" x14ac:dyDescent="0.25">
      <c r="A1228" s="2" t="s">
        <v>38</v>
      </c>
      <c r="B1228" s="6">
        <v>44736</v>
      </c>
      <c r="C1228" s="2" t="s">
        <v>53</v>
      </c>
      <c r="D1228" s="8">
        <v>-53.75</v>
      </c>
      <c r="E1228" s="8">
        <f>E1227+(0-53.75)</f>
        <v>12715895.979999928</v>
      </c>
    </row>
    <row r="1229" spans="1:5" x14ac:dyDescent="0.25">
      <c r="A1229" s="2" t="s">
        <v>38</v>
      </c>
      <c r="B1229" s="6">
        <v>44736</v>
      </c>
      <c r="C1229" s="2" t="s">
        <v>19</v>
      </c>
      <c r="D1229" s="8">
        <v>-88</v>
      </c>
      <c r="E1229" s="8">
        <f>E1228+(0-88)</f>
        <v>12715807.979999928</v>
      </c>
    </row>
    <row r="1230" spans="1:5" x14ac:dyDescent="0.25">
      <c r="A1230" s="2" t="s">
        <v>38</v>
      </c>
      <c r="B1230" s="6">
        <v>44736</v>
      </c>
      <c r="C1230" s="2" t="s">
        <v>16</v>
      </c>
      <c r="D1230" s="8">
        <v>-200</v>
      </c>
      <c r="E1230" s="8">
        <f>E1229+(0-200)</f>
        <v>12715607.979999928</v>
      </c>
    </row>
    <row r="1231" spans="1:5" x14ac:dyDescent="0.25">
      <c r="A1231" s="2" t="s">
        <v>38</v>
      </c>
      <c r="B1231" s="6">
        <v>44739</v>
      </c>
      <c r="C1231" s="2" t="s">
        <v>19</v>
      </c>
      <c r="D1231" s="8">
        <v>-4</v>
      </c>
      <c r="E1231" s="8">
        <f>E1230+(0-4)</f>
        <v>12715603.979999928</v>
      </c>
    </row>
    <row r="1232" spans="1:5" x14ac:dyDescent="0.25">
      <c r="A1232" s="2" t="s">
        <v>38</v>
      </c>
      <c r="B1232" s="6">
        <v>44739</v>
      </c>
      <c r="C1232" s="2" t="s">
        <v>53</v>
      </c>
      <c r="D1232" s="8">
        <v>-53.75</v>
      </c>
      <c r="E1232" s="8">
        <f>E1231+(0-53.75)</f>
        <v>12715550.229999928</v>
      </c>
    </row>
    <row r="1233" spans="1:5" x14ac:dyDescent="0.25">
      <c r="A1233" s="2" t="s">
        <v>38</v>
      </c>
      <c r="B1233" s="6">
        <v>44739</v>
      </c>
      <c r="C1233" s="2" t="s">
        <v>16</v>
      </c>
      <c r="D1233" s="8">
        <v>-50</v>
      </c>
      <c r="E1233" s="8">
        <f>E1232+(0-50)</f>
        <v>12715500.229999928</v>
      </c>
    </row>
    <row r="1234" spans="1:5" x14ac:dyDescent="0.25">
      <c r="A1234" s="2" t="s">
        <v>38</v>
      </c>
      <c r="B1234" s="6">
        <v>44739</v>
      </c>
      <c r="C1234" s="2" t="s">
        <v>16</v>
      </c>
      <c r="D1234" s="8">
        <v>-350</v>
      </c>
      <c r="E1234" s="8">
        <f>E1233+(0-350)</f>
        <v>12715150.229999928</v>
      </c>
    </row>
    <row r="1235" spans="1:5" x14ac:dyDescent="0.25">
      <c r="A1235" s="2" t="s">
        <v>38</v>
      </c>
      <c r="B1235" s="6">
        <v>44739</v>
      </c>
      <c r="C1235" s="2" t="s">
        <v>16</v>
      </c>
      <c r="D1235" s="8">
        <v>-100</v>
      </c>
      <c r="E1235" s="8">
        <f>E1234+(0-100)</f>
        <v>12715050.229999928</v>
      </c>
    </row>
    <row r="1236" spans="1:5" x14ac:dyDescent="0.25">
      <c r="A1236" s="2" t="s">
        <v>38</v>
      </c>
      <c r="B1236" s="6">
        <v>44741</v>
      </c>
      <c r="C1236" s="2" t="s">
        <v>174</v>
      </c>
      <c r="D1236" s="8">
        <v>-53.75</v>
      </c>
      <c r="E1236" s="8">
        <f>E1235+(0-53.75)</f>
        <v>12714996.479999928</v>
      </c>
    </row>
    <row r="1237" spans="1:5" x14ac:dyDescent="0.25">
      <c r="A1237" s="2" t="s">
        <v>38</v>
      </c>
      <c r="B1237" s="6">
        <v>44741</v>
      </c>
      <c r="C1237" s="2" t="s">
        <v>174</v>
      </c>
      <c r="D1237" s="8">
        <v>-26.88</v>
      </c>
      <c r="E1237" s="8">
        <f>E1236+(0-26.88)</f>
        <v>12714969.599999927</v>
      </c>
    </row>
    <row r="1238" spans="1:5" x14ac:dyDescent="0.25">
      <c r="A1238" s="2" t="s">
        <v>38</v>
      </c>
      <c r="B1238" s="6">
        <v>44741</v>
      </c>
      <c r="C1238" s="2" t="s">
        <v>174</v>
      </c>
      <c r="D1238" s="8">
        <v>-26.88</v>
      </c>
      <c r="E1238" s="8">
        <f>E1237+(0-26.88)</f>
        <v>12714942.719999926</v>
      </c>
    </row>
    <row r="1239" spans="1:5" x14ac:dyDescent="0.25">
      <c r="A1239" s="2" t="s">
        <v>38</v>
      </c>
      <c r="B1239" s="6">
        <v>44741</v>
      </c>
      <c r="C1239" s="2" t="s">
        <v>174</v>
      </c>
      <c r="D1239" s="8">
        <v>-53.75</v>
      </c>
      <c r="E1239" s="8">
        <f>E1238+(0-53.75)</f>
        <v>12714888.969999926</v>
      </c>
    </row>
    <row r="1240" spans="1:5" x14ac:dyDescent="0.25">
      <c r="A1240" s="2" t="s">
        <v>38</v>
      </c>
      <c r="B1240" s="6">
        <v>44741</v>
      </c>
      <c r="C1240" s="2" t="s">
        <v>174</v>
      </c>
      <c r="D1240" s="8">
        <v>-26.88</v>
      </c>
      <c r="E1240" s="8">
        <f>E1239+(0-26.88)</f>
        <v>12714862.089999925</v>
      </c>
    </row>
    <row r="1241" spans="1:5" x14ac:dyDescent="0.25">
      <c r="A1241" s="2" t="s">
        <v>38</v>
      </c>
      <c r="B1241" s="6">
        <v>44741</v>
      </c>
      <c r="C1241" s="2" t="s">
        <v>174</v>
      </c>
      <c r="D1241" s="8">
        <v>-26.88</v>
      </c>
      <c r="E1241" s="8">
        <f>E1240+(0-26.88)</f>
        <v>12714835.209999925</v>
      </c>
    </row>
    <row r="1242" spans="1:5" x14ac:dyDescent="0.25">
      <c r="A1242" s="2" t="s">
        <v>38</v>
      </c>
      <c r="B1242" s="6">
        <v>44741</v>
      </c>
      <c r="C1242" s="2" t="s">
        <v>16</v>
      </c>
      <c r="D1242" s="8">
        <v>-50</v>
      </c>
      <c r="E1242" s="8">
        <f>E1241+(0-50)</f>
        <v>12714785.209999925</v>
      </c>
    </row>
    <row r="1243" spans="1:5" x14ac:dyDescent="0.25">
      <c r="A1243" s="2" t="s">
        <v>38</v>
      </c>
      <c r="B1243" s="6">
        <v>44741</v>
      </c>
      <c r="C1243" s="2" t="s">
        <v>16</v>
      </c>
      <c r="D1243" s="8">
        <v>-200</v>
      </c>
      <c r="E1243" s="8">
        <f>E1242+(0-200)</f>
        <v>12714585.209999925</v>
      </c>
    </row>
    <row r="1244" spans="1:5" x14ac:dyDescent="0.25">
      <c r="A1244" s="2" t="s">
        <v>38</v>
      </c>
      <c r="B1244" s="6">
        <v>44741</v>
      </c>
      <c r="C1244" s="2" t="s">
        <v>174</v>
      </c>
      <c r="D1244" s="8">
        <v>-53.75</v>
      </c>
      <c r="E1244" s="8">
        <f>E1243+(0-53.75)</f>
        <v>12714531.459999925</v>
      </c>
    </row>
    <row r="1245" spans="1:5" x14ac:dyDescent="0.25">
      <c r="A1245" s="2" t="s">
        <v>38</v>
      </c>
      <c r="B1245" s="6">
        <v>44742</v>
      </c>
      <c r="C1245" s="2" t="s">
        <v>19</v>
      </c>
      <c r="D1245" s="8">
        <v>-48</v>
      </c>
      <c r="E1245" s="8">
        <f>E1244+(0-48)</f>
        <v>12714483.459999925</v>
      </c>
    </row>
    <row r="1246" spans="1:5" x14ac:dyDescent="0.25">
      <c r="A1246" s="2" t="s">
        <v>38</v>
      </c>
      <c r="B1246" s="6">
        <v>44742</v>
      </c>
      <c r="C1246" s="2" t="s">
        <v>19</v>
      </c>
      <c r="D1246" s="8">
        <v>-8</v>
      </c>
      <c r="E1246" s="8">
        <f>E1245+(0-8)</f>
        <v>12714475.459999925</v>
      </c>
    </row>
    <row r="1247" spans="1:5" x14ac:dyDescent="0.25">
      <c r="A1247" s="2" t="s">
        <v>38</v>
      </c>
      <c r="B1247" s="6">
        <v>44742</v>
      </c>
      <c r="C1247" s="2" t="s">
        <v>19</v>
      </c>
      <c r="D1247" s="8">
        <v>-4</v>
      </c>
      <c r="E1247" s="8">
        <f>E1246+(0-4)</f>
        <v>12714471.459999925</v>
      </c>
    </row>
    <row r="1248" spans="1:5" x14ac:dyDescent="0.25">
      <c r="A1248" s="2" t="s">
        <v>38</v>
      </c>
      <c r="B1248" s="6">
        <v>44742</v>
      </c>
      <c r="C1248" s="2" t="s">
        <v>19</v>
      </c>
      <c r="D1248" s="8">
        <v>-48</v>
      </c>
      <c r="E1248" s="8">
        <f>E1247+(0-48)</f>
        <v>12714423.459999925</v>
      </c>
    </row>
    <row r="1249" spans="1:5" x14ac:dyDescent="0.25">
      <c r="A1249" s="2" t="s">
        <v>38</v>
      </c>
      <c r="B1249" s="6">
        <v>44742</v>
      </c>
      <c r="C1249" s="2" t="s">
        <v>16</v>
      </c>
      <c r="D1249" s="8">
        <v>-150</v>
      </c>
      <c r="E1249" s="8">
        <f>E1248+(0-150)</f>
        <v>12714273.459999925</v>
      </c>
    </row>
    <row r="1250" spans="1:5" x14ac:dyDescent="0.25">
      <c r="A1250" s="2" t="s">
        <v>38</v>
      </c>
      <c r="B1250" s="6">
        <v>44742</v>
      </c>
      <c r="C1250" s="2" t="s">
        <v>19</v>
      </c>
      <c r="D1250" s="8">
        <v>-12</v>
      </c>
      <c r="E1250" s="8">
        <f>E1249+(0-12)</f>
        <v>12714261.459999925</v>
      </c>
    </row>
    <row r="1251" spans="1:5" x14ac:dyDescent="0.25">
      <c r="A1251" s="2" t="s">
        <v>38</v>
      </c>
      <c r="B1251" s="6">
        <v>44743</v>
      </c>
      <c r="C1251" s="2" t="s">
        <v>19</v>
      </c>
      <c r="D1251" s="8">
        <v>-100</v>
      </c>
      <c r="E1251" s="8">
        <f>E1250+(0-100)</f>
        <v>12714161.459999925</v>
      </c>
    </row>
    <row r="1252" spans="1:5" x14ac:dyDescent="0.25">
      <c r="A1252" s="2" t="s">
        <v>38</v>
      </c>
      <c r="B1252" s="6">
        <v>44743</v>
      </c>
      <c r="C1252" s="2" t="s">
        <v>16</v>
      </c>
      <c r="D1252" s="8">
        <v>-50</v>
      </c>
      <c r="E1252" s="8">
        <f>E1251+(0-50)</f>
        <v>12714111.459999925</v>
      </c>
    </row>
    <row r="1253" spans="1:5" x14ac:dyDescent="0.25">
      <c r="A1253" s="2" t="s">
        <v>38</v>
      </c>
      <c r="B1253" s="6">
        <v>44746</v>
      </c>
      <c r="C1253" s="2" t="s">
        <v>19</v>
      </c>
      <c r="D1253" s="8">
        <v>-4</v>
      </c>
      <c r="E1253" s="8">
        <f>E1252+(0-4)</f>
        <v>12714107.459999925</v>
      </c>
    </row>
    <row r="1254" spans="1:5" x14ac:dyDescent="0.25">
      <c r="A1254" s="2" t="s">
        <v>38</v>
      </c>
      <c r="B1254" s="6">
        <v>44746</v>
      </c>
      <c r="C1254" s="2" t="s">
        <v>19</v>
      </c>
      <c r="D1254" s="8">
        <v>-52</v>
      </c>
      <c r="E1254" s="8">
        <f>E1253+(0-52)</f>
        <v>12714055.459999925</v>
      </c>
    </row>
    <row r="1255" spans="1:5" x14ac:dyDescent="0.25">
      <c r="A1255" s="2" t="s">
        <v>38</v>
      </c>
      <c r="B1255" s="6">
        <v>44746</v>
      </c>
      <c r="C1255" s="2" t="s">
        <v>174</v>
      </c>
      <c r="D1255" s="8">
        <v>-26.88</v>
      </c>
      <c r="E1255" s="8">
        <f>E1254+(0-26.88)</f>
        <v>12714028.579999924</v>
      </c>
    </row>
    <row r="1256" spans="1:5" x14ac:dyDescent="0.25">
      <c r="A1256" s="2" t="s">
        <v>38</v>
      </c>
      <c r="B1256" s="6">
        <v>44746</v>
      </c>
      <c r="C1256" s="2" t="s">
        <v>174</v>
      </c>
      <c r="D1256" s="8">
        <v>-26.88</v>
      </c>
      <c r="E1256" s="8">
        <f>E1255+(0-26.88)</f>
        <v>12714001.699999923</v>
      </c>
    </row>
    <row r="1257" spans="1:5" x14ac:dyDescent="0.25">
      <c r="A1257" s="2" t="s">
        <v>38</v>
      </c>
      <c r="B1257" s="6">
        <v>44746</v>
      </c>
      <c r="C1257" s="2" t="s">
        <v>16</v>
      </c>
      <c r="D1257" s="8">
        <v>-300</v>
      </c>
      <c r="E1257" s="8">
        <f>E1256+(0-300)</f>
        <v>12713701.699999923</v>
      </c>
    </row>
    <row r="1258" spans="1:5" x14ac:dyDescent="0.25">
      <c r="A1258" s="2" t="s">
        <v>38</v>
      </c>
      <c r="B1258" s="6">
        <v>44747</v>
      </c>
      <c r="C1258" s="2" t="s">
        <v>174</v>
      </c>
      <c r="D1258" s="8">
        <v>-53.75</v>
      </c>
      <c r="E1258" s="8">
        <f>E1257+(0-53.75)</f>
        <v>12713647.949999923</v>
      </c>
    </row>
    <row r="1259" spans="1:5" x14ac:dyDescent="0.25">
      <c r="A1259" s="2" t="s">
        <v>38</v>
      </c>
      <c r="B1259" s="6">
        <v>44747</v>
      </c>
      <c r="C1259" s="2" t="s">
        <v>16</v>
      </c>
      <c r="D1259" s="8">
        <v>-50</v>
      </c>
      <c r="E1259" s="8">
        <f>E1258+(0-50)</f>
        <v>12713597.949999923</v>
      </c>
    </row>
    <row r="1260" spans="1:5" x14ac:dyDescent="0.25">
      <c r="A1260" s="2" t="s">
        <v>38</v>
      </c>
      <c r="B1260" s="6">
        <v>44747</v>
      </c>
      <c r="C1260" s="2" t="s">
        <v>19</v>
      </c>
      <c r="D1260" s="8">
        <v>-8</v>
      </c>
      <c r="E1260" s="8">
        <f>E1259+(0-8)</f>
        <v>12713589.949999923</v>
      </c>
    </row>
    <row r="1261" spans="1:5" x14ac:dyDescent="0.25">
      <c r="A1261" s="2" t="s">
        <v>38</v>
      </c>
      <c r="B1261" s="6">
        <v>44747</v>
      </c>
      <c r="C1261" s="2" t="s">
        <v>16</v>
      </c>
      <c r="D1261" s="8">
        <v>-50</v>
      </c>
      <c r="E1261" s="8">
        <f>E1260+(0-50)</f>
        <v>12713539.949999923</v>
      </c>
    </row>
    <row r="1262" spans="1:5" x14ac:dyDescent="0.25">
      <c r="A1262" s="2" t="s">
        <v>38</v>
      </c>
      <c r="B1262" s="6">
        <v>44747</v>
      </c>
      <c r="C1262" s="2" t="s">
        <v>16</v>
      </c>
      <c r="D1262" s="8">
        <v>-150</v>
      </c>
      <c r="E1262" s="8">
        <f>E1261+(0-150)</f>
        <v>12713389.949999923</v>
      </c>
    </row>
    <row r="1263" spans="1:5" x14ac:dyDescent="0.25">
      <c r="A1263" s="2" t="s">
        <v>38</v>
      </c>
      <c r="B1263" s="6">
        <v>44747</v>
      </c>
      <c r="C1263" s="2" t="s">
        <v>16</v>
      </c>
      <c r="D1263" s="8">
        <v>-50</v>
      </c>
      <c r="E1263" s="8">
        <f>E1262+(0-50)</f>
        <v>12713339.949999923</v>
      </c>
    </row>
    <row r="1264" spans="1:5" x14ac:dyDescent="0.25">
      <c r="A1264" s="2" t="s">
        <v>38</v>
      </c>
      <c r="B1264" s="6">
        <v>44748</v>
      </c>
      <c r="C1264" s="2" t="s">
        <v>19</v>
      </c>
      <c r="D1264" s="8">
        <v>-8</v>
      </c>
      <c r="E1264" s="8">
        <f>E1263+(0-8)</f>
        <v>12713331.949999923</v>
      </c>
    </row>
    <row r="1265" spans="1:5" x14ac:dyDescent="0.25">
      <c r="A1265" s="2" t="s">
        <v>38</v>
      </c>
      <c r="B1265" s="6">
        <v>44748</v>
      </c>
      <c r="C1265" s="2" t="s">
        <v>19</v>
      </c>
      <c r="D1265" s="8">
        <v>-4</v>
      </c>
      <c r="E1265" s="8">
        <f>E1264+(0-4)</f>
        <v>12713327.949999923</v>
      </c>
    </row>
    <row r="1266" spans="1:5" x14ac:dyDescent="0.25">
      <c r="A1266" s="2" t="s">
        <v>38</v>
      </c>
      <c r="B1266" s="6">
        <v>44748</v>
      </c>
      <c r="C1266" s="2" t="s">
        <v>174</v>
      </c>
      <c r="D1266" s="8">
        <v>-53.75</v>
      </c>
      <c r="E1266" s="8">
        <f>E1265+(0-53.75)</f>
        <v>12713274.199999923</v>
      </c>
    </row>
    <row r="1267" spans="1:5" x14ac:dyDescent="0.25">
      <c r="A1267" s="2" t="s">
        <v>38</v>
      </c>
      <c r="B1267" s="6">
        <v>44748</v>
      </c>
      <c r="C1267" s="2" t="s">
        <v>19</v>
      </c>
      <c r="D1267" s="8">
        <v>-40</v>
      </c>
      <c r="E1267" s="8">
        <f>E1266+(0-40)</f>
        <v>12713234.199999923</v>
      </c>
    </row>
    <row r="1268" spans="1:5" x14ac:dyDescent="0.25">
      <c r="A1268" s="2" t="s">
        <v>38</v>
      </c>
      <c r="B1268" s="6">
        <v>44748</v>
      </c>
      <c r="C1268" s="2" t="s">
        <v>16</v>
      </c>
      <c r="D1268" s="8">
        <v>-200</v>
      </c>
      <c r="E1268" s="8">
        <f>E1267+(0-200)</f>
        <v>12713034.199999923</v>
      </c>
    </row>
    <row r="1269" spans="1:5" x14ac:dyDescent="0.25">
      <c r="A1269" s="2" t="s">
        <v>38</v>
      </c>
      <c r="B1269" s="6">
        <v>44748</v>
      </c>
      <c r="C1269" s="2" t="s">
        <v>174</v>
      </c>
      <c r="D1269" s="8">
        <v>-53.75</v>
      </c>
      <c r="E1269" s="8">
        <f>E1268+(0-53.75)</f>
        <v>12712980.449999923</v>
      </c>
    </row>
    <row r="1270" spans="1:5" x14ac:dyDescent="0.25">
      <c r="A1270" s="2" t="s">
        <v>38</v>
      </c>
      <c r="B1270" s="6">
        <v>44749</v>
      </c>
      <c r="C1270" s="2" t="s">
        <v>174</v>
      </c>
      <c r="D1270" s="8">
        <v>-53.75</v>
      </c>
      <c r="E1270" s="8">
        <f>E1269+(0-53.75)</f>
        <v>12712926.699999923</v>
      </c>
    </row>
    <row r="1271" spans="1:5" x14ac:dyDescent="0.25">
      <c r="A1271" s="2" t="s">
        <v>38</v>
      </c>
      <c r="B1271" s="6">
        <v>44749</v>
      </c>
      <c r="C1271" s="2" t="s">
        <v>19</v>
      </c>
      <c r="D1271" s="8">
        <v>-52</v>
      </c>
      <c r="E1271" s="8">
        <f>E1270+(0-52)</f>
        <v>12712874.699999923</v>
      </c>
    </row>
    <row r="1272" spans="1:5" x14ac:dyDescent="0.25">
      <c r="A1272" s="2" t="s">
        <v>38</v>
      </c>
      <c r="B1272" s="6">
        <v>44749</v>
      </c>
      <c r="C1272" s="2" t="s">
        <v>16</v>
      </c>
      <c r="D1272" s="8">
        <v>-250</v>
      </c>
      <c r="E1272" s="8">
        <f>E1271+(0-250)</f>
        <v>12712624.699999923</v>
      </c>
    </row>
    <row r="1273" spans="1:5" x14ac:dyDescent="0.25">
      <c r="A1273" s="2" t="s">
        <v>38</v>
      </c>
      <c r="B1273" s="6">
        <v>44750</v>
      </c>
      <c r="C1273" s="2" t="s">
        <v>16</v>
      </c>
      <c r="D1273" s="8">
        <v>-50</v>
      </c>
      <c r="E1273" s="8">
        <f>E1272+(0-50)</f>
        <v>12712574.699999923</v>
      </c>
    </row>
    <row r="1274" spans="1:5" x14ac:dyDescent="0.25">
      <c r="A1274" s="2" t="s">
        <v>38</v>
      </c>
      <c r="B1274" s="6">
        <v>44750</v>
      </c>
      <c r="C1274" s="2" t="s">
        <v>174</v>
      </c>
      <c r="D1274" s="8">
        <v>-53.75</v>
      </c>
      <c r="E1274" s="8">
        <f>E1273+(0-53.75)</f>
        <v>12712520.949999923</v>
      </c>
    </row>
    <row r="1275" spans="1:5" x14ac:dyDescent="0.25">
      <c r="A1275" s="2" t="s">
        <v>38</v>
      </c>
      <c r="B1275" s="6">
        <v>44750</v>
      </c>
      <c r="C1275" s="2" t="s">
        <v>16</v>
      </c>
      <c r="D1275" s="8">
        <v>-50</v>
      </c>
      <c r="E1275" s="8">
        <f>E1274+(0-50)</f>
        <v>12712470.949999923</v>
      </c>
    </row>
    <row r="1276" spans="1:5" x14ac:dyDescent="0.25">
      <c r="A1276" s="2" t="s">
        <v>38</v>
      </c>
      <c r="B1276" s="6">
        <v>44750</v>
      </c>
      <c r="C1276" s="2" t="s">
        <v>19</v>
      </c>
      <c r="D1276" s="8">
        <v>-52</v>
      </c>
      <c r="E1276" s="8">
        <f>E1275+(0-52)</f>
        <v>12712418.949999923</v>
      </c>
    </row>
    <row r="1277" spans="1:5" x14ac:dyDescent="0.25">
      <c r="A1277" s="2" t="s">
        <v>38</v>
      </c>
      <c r="B1277" s="6">
        <v>44750</v>
      </c>
      <c r="C1277" s="2" t="s">
        <v>16</v>
      </c>
      <c r="D1277" s="8">
        <v>-500</v>
      </c>
      <c r="E1277" s="8">
        <f>E1276+(0-500)</f>
        <v>12711918.949999923</v>
      </c>
    </row>
    <row r="1278" spans="1:5" x14ac:dyDescent="0.25">
      <c r="A1278" s="2" t="s">
        <v>38</v>
      </c>
      <c r="B1278" s="6">
        <v>44755</v>
      </c>
      <c r="C1278" s="2" t="s">
        <v>19</v>
      </c>
      <c r="D1278" s="8">
        <v>-40</v>
      </c>
      <c r="E1278" s="8">
        <f>E1277+(0-40)</f>
        <v>12711878.949999923</v>
      </c>
    </row>
    <row r="1279" spans="1:5" x14ac:dyDescent="0.25">
      <c r="A1279" s="2" t="s">
        <v>38</v>
      </c>
      <c r="B1279" s="6">
        <v>44755</v>
      </c>
      <c r="C1279" s="2" t="s">
        <v>19</v>
      </c>
      <c r="D1279" s="8">
        <v>-76</v>
      </c>
      <c r="E1279" s="8">
        <f>E1278+(0-76)</f>
        <v>12711802.949999923</v>
      </c>
    </row>
    <row r="1280" spans="1:5" x14ac:dyDescent="0.25">
      <c r="A1280" s="2" t="s">
        <v>38</v>
      </c>
      <c r="B1280" s="6">
        <v>44755</v>
      </c>
      <c r="C1280" s="2" t="s">
        <v>16</v>
      </c>
      <c r="D1280" s="8">
        <v>-50</v>
      </c>
      <c r="E1280" s="8">
        <f>E1279+(0-50)</f>
        <v>12711752.949999923</v>
      </c>
    </row>
    <row r="1281" spans="1:5" x14ac:dyDescent="0.25">
      <c r="A1281" s="2" t="s">
        <v>38</v>
      </c>
      <c r="B1281" s="6">
        <v>44755</v>
      </c>
      <c r="C1281" s="2" t="s">
        <v>16</v>
      </c>
      <c r="D1281" s="8">
        <v>-50</v>
      </c>
      <c r="E1281" s="8">
        <f>E1280+(0-50)</f>
        <v>12711702.949999923</v>
      </c>
    </row>
    <row r="1282" spans="1:5" x14ac:dyDescent="0.25">
      <c r="A1282" s="2" t="s">
        <v>38</v>
      </c>
      <c r="B1282" s="6">
        <v>44755</v>
      </c>
      <c r="C1282" s="2" t="s">
        <v>16</v>
      </c>
      <c r="D1282" s="8">
        <v>-350</v>
      </c>
      <c r="E1282" s="8">
        <f>E1281+(0-350)</f>
        <v>12711352.949999923</v>
      </c>
    </row>
    <row r="1283" spans="1:5" x14ac:dyDescent="0.25">
      <c r="A1283" s="2" t="s">
        <v>38</v>
      </c>
      <c r="B1283" s="6">
        <v>44755</v>
      </c>
      <c r="C1283" s="2" t="s">
        <v>16</v>
      </c>
      <c r="D1283" s="8">
        <v>-50</v>
      </c>
      <c r="E1283" s="8">
        <f>E1282+(0-50)</f>
        <v>12711302.949999923</v>
      </c>
    </row>
    <row r="1284" spans="1:5" x14ac:dyDescent="0.25">
      <c r="A1284" s="2" t="s">
        <v>38</v>
      </c>
      <c r="B1284" s="6">
        <v>44756</v>
      </c>
      <c r="C1284" s="2" t="s">
        <v>19</v>
      </c>
      <c r="D1284" s="8">
        <v>-8</v>
      </c>
      <c r="E1284" s="8">
        <f>E1283+(0-8)</f>
        <v>12711294.949999923</v>
      </c>
    </row>
    <row r="1285" spans="1:5" x14ac:dyDescent="0.25">
      <c r="A1285" s="2" t="s">
        <v>38</v>
      </c>
      <c r="B1285" s="6">
        <v>44756</v>
      </c>
      <c r="C1285" s="2" t="s">
        <v>16</v>
      </c>
      <c r="D1285" s="8">
        <v>-400</v>
      </c>
      <c r="E1285" s="8">
        <f>E1284+(0-400)</f>
        <v>12710894.949999923</v>
      </c>
    </row>
    <row r="1286" spans="1:5" x14ac:dyDescent="0.25">
      <c r="A1286" s="2" t="s">
        <v>38</v>
      </c>
      <c r="B1286" s="6">
        <v>44757</v>
      </c>
      <c r="C1286" s="2" t="s">
        <v>16</v>
      </c>
      <c r="D1286" s="8">
        <v>-50</v>
      </c>
      <c r="E1286" s="8">
        <f>E1285+(0-50)</f>
        <v>12710844.949999923</v>
      </c>
    </row>
    <row r="1287" spans="1:5" x14ac:dyDescent="0.25">
      <c r="A1287" s="2" t="s">
        <v>38</v>
      </c>
      <c r="B1287" s="6">
        <v>44757</v>
      </c>
      <c r="C1287" s="2" t="s">
        <v>16</v>
      </c>
      <c r="D1287" s="8">
        <v>-400</v>
      </c>
      <c r="E1287" s="8">
        <f>E1286+(0-400)</f>
        <v>12710444.949999923</v>
      </c>
    </row>
    <row r="1288" spans="1:5" x14ac:dyDescent="0.25">
      <c r="A1288" s="2" t="s">
        <v>38</v>
      </c>
      <c r="B1288" s="6">
        <v>44760</v>
      </c>
      <c r="C1288" s="2" t="s">
        <v>19</v>
      </c>
      <c r="D1288" s="8">
        <v>-32</v>
      </c>
      <c r="E1288" s="8">
        <f>E1287+(0-32)</f>
        <v>12710412.949999923</v>
      </c>
    </row>
    <row r="1289" spans="1:5" x14ac:dyDescent="0.25">
      <c r="A1289" s="2" t="s">
        <v>38</v>
      </c>
      <c r="B1289" s="6">
        <v>44760</v>
      </c>
      <c r="C1289" s="2" t="s">
        <v>19</v>
      </c>
      <c r="D1289" s="8">
        <v>-44</v>
      </c>
      <c r="E1289" s="8">
        <f>E1288+(0-44)</f>
        <v>12710368.949999923</v>
      </c>
    </row>
    <row r="1290" spans="1:5" x14ac:dyDescent="0.25">
      <c r="A1290" s="2" t="s">
        <v>38</v>
      </c>
      <c r="B1290" s="6">
        <v>44760</v>
      </c>
      <c r="C1290" s="2" t="s">
        <v>19</v>
      </c>
      <c r="D1290" s="8">
        <v>-44</v>
      </c>
      <c r="E1290" s="8">
        <f>E1289+(0-44)</f>
        <v>12710324.949999923</v>
      </c>
    </row>
    <row r="1291" spans="1:5" x14ac:dyDescent="0.25">
      <c r="A1291" s="2" t="s">
        <v>38</v>
      </c>
      <c r="B1291" s="6">
        <v>44760</v>
      </c>
      <c r="C1291" s="2" t="s">
        <v>174</v>
      </c>
      <c r="D1291" s="8">
        <v>-53.75</v>
      </c>
      <c r="E1291" s="8">
        <f>E1290+(0-53.75)</f>
        <v>12710271.199999923</v>
      </c>
    </row>
    <row r="1292" spans="1:5" x14ac:dyDescent="0.25">
      <c r="A1292" s="2" t="s">
        <v>38</v>
      </c>
      <c r="B1292" s="6">
        <v>44760</v>
      </c>
      <c r="C1292" s="2" t="s">
        <v>16</v>
      </c>
      <c r="D1292" s="8">
        <v>-50</v>
      </c>
      <c r="E1292" s="8">
        <f>E1291+(0-50)</f>
        <v>12710221.199999923</v>
      </c>
    </row>
    <row r="1293" spans="1:5" x14ac:dyDescent="0.25">
      <c r="A1293" s="2" t="s">
        <v>38</v>
      </c>
      <c r="B1293" s="6">
        <v>44760</v>
      </c>
      <c r="C1293" s="2" t="s">
        <v>19</v>
      </c>
      <c r="D1293" s="8">
        <v>-12</v>
      </c>
      <c r="E1293" s="8">
        <f>E1292+(0-12)</f>
        <v>12710209.199999923</v>
      </c>
    </row>
    <row r="1294" spans="1:5" x14ac:dyDescent="0.25">
      <c r="A1294" s="2" t="s">
        <v>38</v>
      </c>
      <c r="B1294" s="6">
        <v>44760</v>
      </c>
      <c r="C1294" s="2" t="s">
        <v>16</v>
      </c>
      <c r="D1294" s="8">
        <v>-550</v>
      </c>
      <c r="E1294" s="8">
        <f>E1293+(0-550)</f>
        <v>12709659.199999923</v>
      </c>
    </row>
    <row r="1295" spans="1:5" x14ac:dyDescent="0.25">
      <c r="A1295" s="2" t="s">
        <v>38</v>
      </c>
      <c r="B1295" s="6">
        <v>44760</v>
      </c>
      <c r="C1295" s="2" t="s">
        <v>16</v>
      </c>
      <c r="D1295" s="8">
        <v>-50</v>
      </c>
      <c r="E1295" s="8">
        <f>E1294+(0-50)</f>
        <v>12709609.199999923</v>
      </c>
    </row>
    <row r="1296" spans="1:5" x14ac:dyDescent="0.25">
      <c r="A1296" s="2" t="s">
        <v>38</v>
      </c>
      <c r="B1296" s="6">
        <v>44761</v>
      </c>
      <c r="C1296" s="2" t="s">
        <v>19</v>
      </c>
      <c r="D1296" s="8">
        <v>-4</v>
      </c>
      <c r="E1296" s="8">
        <f>E1295+(0-4)</f>
        <v>12709605.199999923</v>
      </c>
    </row>
    <row r="1297" spans="1:5" x14ac:dyDescent="0.25">
      <c r="A1297" s="2" t="s">
        <v>38</v>
      </c>
      <c r="B1297" s="6">
        <v>44761</v>
      </c>
      <c r="C1297" s="2" t="s">
        <v>16</v>
      </c>
      <c r="D1297" s="8">
        <v>-50</v>
      </c>
      <c r="E1297" s="8">
        <f>E1296+(0-50)</f>
        <v>12709555.199999923</v>
      </c>
    </row>
    <row r="1298" spans="1:5" x14ac:dyDescent="0.25">
      <c r="A1298" s="2" t="s">
        <v>38</v>
      </c>
      <c r="B1298" s="6">
        <v>44761</v>
      </c>
      <c r="C1298" s="2" t="s">
        <v>16</v>
      </c>
      <c r="D1298" s="8">
        <v>-50</v>
      </c>
      <c r="E1298" s="8">
        <f>E1297+(0-50)</f>
        <v>12709505.199999923</v>
      </c>
    </row>
    <row r="1299" spans="1:5" x14ac:dyDescent="0.25">
      <c r="A1299" s="2" t="s">
        <v>38</v>
      </c>
      <c r="B1299" s="6">
        <v>44761</v>
      </c>
      <c r="C1299" s="2" t="s">
        <v>174</v>
      </c>
      <c r="D1299" s="8">
        <v>-53.75</v>
      </c>
      <c r="E1299" s="8">
        <f>E1298+(0-53.75)</f>
        <v>12709451.449999923</v>
      </c>
    </row>
    <row r="1300" spans="1:5" x14ac:dyDescent="0.25">
      <c r="A1300" s="2" t="s">
        <v>38</v>
      </c>
      <c r="B1300" s="6">
        <v>44761</v>
      </c>
      <c r="C1300" s="2" t="s">
        <v>53</v>
      </c>
      <c r="D1300" s="8">
        <v>-53.75</v>
      </c>
      <c r="E1300" s="8">
        <f>E1299+(0-53.75)</f>
        <v>12709397.699999923</v>
      </c>
    </row>
    <row r="1301" spans="1:5" x14ac:dyDescent="0.25">
      <c r="A1301" s="2" t="s">
        <v>38</v>
      </c>
      <c r="B1301" s="6">
        <v>44761</v>
      </c>
      <c r="C1301" s="2" t="s">
        <v>53</v>
      </c>
      <c r="D1301" s="8">
        <v>-53.75</v>
      </c>
      <c r="E1301" s="8">
        <f>E1300+(0-53.75)</f>
        <v>12709343.949999923</v>
      </c>
    </row>
    <row r="1302" spans="1:5" x14ac:dyDescent="0.25">
      <c r="A1302" s="2" t="s">
        <v>38</v>
      </c>
      <c r="B1302" s="6">
        <v>44761</v>
      </c>
      <c r="C1302" s="2" t="s">
        <v>16</v>
      </c>
      <c r="D1302" s="8">
        <v>-50</v>
      </c>
      <c r="E1302" s="8">
        <f>E1301+(0-50)</f>
        <v>12709293.949999923</v>
      </c>
    </row>
    <row r="1303" spans="1:5" x14ac:dyDescent="0.25">
      <c r="A1303" s="2" t="s">
        <v>38</v>
      </c>
      <c r="B1303" s="6">
        <v>44761</v>
      </c>
      <c r="C1303" s="2" t="s">
        <v>16</v>
      </c>
      <c r="D1303" s="8">
        <v>-50</v>
      </c>
      <c r="E1303" s="8">
        <f>E1302+(0-50)</f>
        <v>12709243.949999923</v>
      </c>
    </row>
    <row r="1304" spans="1:5" x14ac:dyDescent="0.25">
      <c r="A1304" s="2" t="s">
        <v>38</v>
      </c>
      <c r="B1304" s="6">
        <v>44761</v>
      </c>
      <c r="C1304" s="2" t="s">
        <v>16</v>
      </c>
      <c r="D1304" s="8">
        <v>-200</v>
      </c>
      <c r="E1304" s="8">
        <f>E1303+(0-200)</f>
        <v>12709043.949999923</v>
      </c>
    </row>
    <row r="1305" spans="1:5" x14ac:dyDescent="0.25">
      <c r="A1305" s="2" t="s">
        <v>38</v>
      </c>
      <c r="B1305" s="6">
        <v>44762</v>
      </c>
      <c r="C1305" s="2" t="s">
        <v>180</v>
      </c>
      <c r="D1305" s="8">
        <v>-387</v>
      </c>
      <c r="E1305" s="8">
        <f>E1304+(0-387)</f>
        <v>12708656.949999923</v>
      </c>
    </row>
    <row r="1306" spans="1:5" x14ac:dyDescent="0.25">
      <c r="A1306" s="2" t="s">
        <v>38</v>
      </c>
      <c r="B1306" s="6">
        <v>44762</v>
      </c>
      <c r="C1306" s="2" t="s">
        <v>181</v>
      </c>
      <c r="D1306" s="8">
        <v>-37.5</v>
      </c>
      <c r="E1306" s="8">
        <f>E1305+(0-37.5)</f>
        <v>12708619.449999923</v>
      </c>
    </row>
    <row r="1307" spans="1:5" x14ac:dyDescent="0.25">
      <c r="A1307" s="2" t="s">
        <v>38</v>
      </c>
      <c r="B1307" s="6">
        <v>44762</v>
      </c>
      <c r="C1307" s="2" t="s">
        <v>182</v>
      </c>
      <c r="D1307" s="8">
        <v>-500</v>
      </c>
      <c r="E1307" s="8">
        <f>E1306+(0-500)</f>
        <v>12708119.449999923</v>
      </c>
    </row>
    <row r="1308" spans="1:5" x14ac:dyDescent="0.25">
      <c r="A1308" s="2" t="s">
        <v>38</v>
      </c>
      <c r="B1308" s="6">
        <v>44762</v>
      </c>
      <c r="C1308" s="2" t="s">
        <v>16</v>
      </c>
      <c r="D1308" s="8">
        <v>-50</v>
      </c>
      <c r="E1308" s="8">
        <f>E1307+(0-50)</f>
        <v>12708069.449999923</v>
      </c>
    </row>
    <row r="1309" spans="1:5" x14ac:dyDescent="0.25">
      <c r="A1309" s="2" t="s">
        <v>38</v>
      </c>
      <c r="B1309" s="6">
        <v>44762</v>
      </c>
      <c r="C1309" s="2" t="s">
        <v>16</v>
      </c>
      <c r="D1309" s="8">
        <v>-50</v>
      </c>
      <c r="E1309" s="8">
        <f>E1308+(0-50)</f>
        <v>12708019.449999923</v>
      </c>
    </row>
    <row r="1310" spans="1:5" x14ac:dyDescent="0.25">
      <c r="A1310" s="2" t="s">
        <v>38</v>
      </c>
      <c r="B1310" s="6">
        <v>44762</v>
      </c>
      <c r="C1310" s="2" t="s">
        <v>16</v>
      </c>
      <c r="D1310" s="8">
        <v>-200</v>
      </c>
      <c r="E1310" s="8">
        <f>E1309+(0-200)</f>
        <v>12707819.449999923</v>
      </c>
    </row>
    <row r="1311" spans="1:5" x14ac:dyDescent="0.25">
      <c r="A1311" s="2" t="s">
        <v>38</v>
      </c>
      <c r="B1311" s="6">
        <v>44762</v>
      </c>
      <c r="C1311" s="2" t="s">
        <v>19</v>
      </c>
      <c r="D1311" s="8">
        <v>-60</v>
      </c>
      <c r="E1311" s="8">
        <f>E1310+(0-60)</f>
        <v>12707759.449999923</v>
      </c>
    </row>
    <row r="1312" spans="1:5" x14ac:dyDescent="0.25">
      <c r="A1312" s="2" t="s">
        <v>38</v>
      </c>
      <c r="B1312" s="6">
        <v>44763</v>
      </c>
      <c r="C1312" s="2" t="s">
        <v>19</v>
      </c>
      <c r="D1312" s="8">
        <v>-92</v>
      </c>
      <c r="E1312" s="8">
        <f>E1311+(0-92)</f>
        <v>12707667.449999923</v>
      </c>
    </row>
    <row r="1313" spans="1:5" x14ac:dyDescent="0.25">
      <c r="A1313" s="2" t="s">
        <v>38</v>
      </c>
      <c r="B1313" s="6">
        <v>44763</v>
      </c>
      <c r="C1313" s="2" t="s">
        <v>174</v>
      </c>
      <c r="D1313" s="8">
        <v>-53.75</v>
      </c>
      <c r="E1313" s="8">
        <f>E1312+(0-53.75)</f>
        <v>12707613.699999923</v>
      </c>
    </row>
    <row r="1314" spans="1:5" x14ac:dyDescent="0.25">
      <c r="A1314" s="2" t="s">
        <v>38</v>
      </c>
      <c r="B1314" s="6">
        <v>44763</v>
      </c>
      <c r="C1314" s="2" t="s">
        <v>16</v>
      </c>
      <c r="D1314" s="8">
        <v>-250</v>
      </c>
      <c r="E1314" s="8">
        <f>E1313+(0-250)</f>
        <v>12707363.699999923</v>
      </c>
    </row>
    <row r="1315" spans="1:5" x14ac:dyDescent="0.25">
      <c r="A1315" s="2" t="s">
        <v>38</v>
      </c>
      <c r="B1315" s="6">
        <v>44764</v>
      </c>
      <c r="C1315" s="2" t="s">
        <v>19</v>
      </c>
      <c r="D1315" s="8">
        <v>-60</v>
      </c>
      <c r="E1315" s="8">
        <f>E1314+(0-60)</f>
        <v>12707303.699999923</v>
      </c>
    </row>
    <row r="1316" spans="1:5" x14ac:dyDescent="0.25">
      <c r="A1316" s="2" t="s">
        <v>38</v>
      </c>
      <c r="B1316" s="6">
        <v>44764</v>
      </c>
      <c r="C1316" s="2" t="s">
        <v>16</v>
      </c>
      <c r="D1316" s="8">
        <v>-50</v>
      </c>
      <c r="E1316" s="8">
        <f>E1315+(0-50)</f>
        <v>12707253.699999923</v>
      </c>
    </row>
    <row r="1317" spans="1:5" x14ac:dyDescent="0.25">
      <c r="A1317" s="2" t="s">
        <v>38</v>
      </c>
      <c r="B1317" s="6">
        <v>44764</v>
      </c>
      <c r="C1317" s="2" t="s">
        <v>16</v>
      </c>
      <c r="D1317" s="8">
        <v>-400</v>
      </c>
      <c r="E1317" s="8">
        <f>E1316+(0-400)</f>
        <v>12706853.699999923</v>
      </c>
    </row>
    <row r="1318" spans="1:5" x14ac:dyDescent="0.25">
      <c r="A1318" s="2" t="s">
        <v>38</v>
      </c>
      <c r="B1318" s="6">
        <v>44767</v>
      </c>
      <c r="C1318" s="2" t="s">
        <v>174</v>
      </c>
      <c r="D1318" s="8">
        <v>-26.88</v>
      </c>
      <c r="E1318" s="8">
        <f>E1317+(0-26.88)</f>
        <v>12706826.819999922</v>
      </c>
    </row>
    <row r="1319" spans="1:5" x14ac:dyDescent="0.25">
      <c r="A1319" s="2" t="s">
        <v>38</v>
      </c>
      <c r="B1319" s="6">
        <v>44767</v>
      </c>
      <c r="C1319" s="2" t="s">
        <v>19</v>
      </c>
      <c r="D1319" s="8">
        <v>-52</v>
      </c>
      <c r="E1319" s="8">
        <f>E1318+(0-52)</f>
        <v>12706774.819999922</v>
      </c>
    </row>
    <row r="1320" spans="1:5" x14ac:dyDescent="0.25">
      <c r="A1320" s="2" t="s">
        <v>38</v>
      </c>
      <c r="B1320" s="6">
        <v>44767</v>
      </c>
      <c r="C1320" s="2" t="s">
        <v>53</v>
      </c>
      <c r="D1320" s="8">
        <v>-53.75</v>
      </c>
      <c r="E1320" s="8">
        <f>E1319+(0-53.75)</f>
        <v>12706721.069999922</v>
      </c>
    </row>
    <row r="1321" spans="1:5" x14ac:dyDescent="0.25">
      <c r="A1321" s="2" t="s">
        <v>38</v>
      </c>
      <c r="B1321" s="6">
        <v>44767</v>
      </c>
      <c r="C1321" s="2" t="s">
        <v>19</v>
      </c>
      <c r="D1321" s="8">
        <v>-44</v>
      </c>
      <c r="E1321" s="8">
        <f>E1320+(0-44)</f>
        <v>12706677.069999922</v>
      </c>
    </row>
    <row r="1322" spans="1:5" x14ac:dyDescent="0.25">
      <c r="A1322" s="2" t="s">
        <v>38</v>
      </c>
      <c r="B1322" s="6">
        <v>44767</v>
      </c>
      <c r="C1322" s="2" t="s">
        <v>53</v>
      </c>
      <c r="D1322" s="8">
        <v>-26.88</v>
      </c>
      <c r="E1322" s="8">
        <f>E1321+(0-26.88)</f>
        <v>12706650.189999921</v>
      </c>
    </row>
    <row r="1323" spans="1:5" x14ac:dyDescent="0.25">
      <c r="A1323" s="2" t="s">
        <v>38</v>
      </c>
      <c r="B1323" s="6">
        <v>44767</v>
      </c>
      <c r="C1323" s="2" t="s">
        <v>16</v>
      </c>
      <c r="D1323" s="8">
        <v>-350</v>
      </c>
      <c r="E1323" s="8">
        <f>E1322+(0-350)</f>
        <v>12706300.189999921</v>
      </c>
    </row>
    <row r="1324" spans="1:5" x14ac:dyDescent="0.25">
      <c r="A1324" s="2" t="s">
        <v>38</v>
      </c>
      <c r="B1324" s="6">
        <v>44768</v>
      </c>
      <c r="C1324" s="2" t="s">
        <v>19</v>
      </c>
      <c r="D1324" s="8">
        <v>-16</v>
      </c>
      <c r="E1324" s="8">
        <f>E1323+(0-16)</f>
        <v>12706284.189999921</v>
      </c>
    </row>
    <row r="1325" spans="1:5" x14ac:dyDescent="0.25">
      <c r="A1325" s="2" t="s">
        <v>38</v>
      </c>
      <c r="B1325" s="6">
        <v>44768</v>
      </c>
      <c r="C1325" s="2" t="s">
        <v>53</v>
      </c>
      <c r="D1325" s="8">
        <v>-53.75</v>
      </c>
      <c r="E1325" s="8">
        <f>E1324+(0-53.75)</f>
        <v>12706230.439999921</v>
      </c>
    </row>
    <row r="1326" spans="1:5" x14ac:dyDescent="0.25">
      <c r="A1326" s="2" t="s">
        <v>38</v>
      </c>
      <c r="B1326" s="6">
        <v>44768</v>
      </c>
      <c r="C1326" s="2" t="s">
        <v>53</v>
      </c>
      <c r="D1326" s="8">
        <v>-26.88</v>
      </c>
      <c r="E1326" s="8">
        <f>E1325+(0-26.88)</f>
        <v>12706203.55999992</v>
      </c>
    </row>
    <row r="1327" spans="1:5" x14ac:dyDescent="0.25">
      <c r="A1327" s="2" t="s">
        <v>38</v>
      </c>
      <c r="B1327" s="6">
        <v>44768</v>
      </c>
      <c r="C1327" s="2" t="s">
        <v>16</v>
      </c>
      <c r="D1327" s="8">
        <v>-500</v>
      </c>
      <c r="E1327" s="8">
        <f>E1326+(0-500)</f>
        <v>12705703.55999992</v>
      </c>
    </row>
    <row r="1328" spans="1:5" x14ac:dyDescent="0.25">
      <c r="A1328" s="2" t="s">
        <v>38</v>
      </c>
      <c r="B1328" s="6">
        <v>44768</v>
      </c>
      <c r="C1328" s="2" t="s">
        <v>16</v>
      </c>
      <c r="D1328" s="8">
        <v>-50</v>
      </c>
      <c r="E1328" s="8">
        <f>E1327+(0-50)</f>
        <v>12705653.55999992</v>
      </c>
    </row>
    <row r="1329" spans="1:5" x14ac:dyDescent="0.25">
      <c r="A1329" s="2" t="s">
        <v>38</v>
      </c>
      <c r="B1329" s="6">
        <v>44769</v>
      </c>
      <c r="C1329" s="2" t="s">
        <v>16</v>
      </c>
      <c r="D1329" s="8">
        <v>-50</v>
      </c>
      <c r="E1329" s="8">
        <f>E1328+(0-50)</f>
        <v>12705603.55999992</v>
      </c>
    </row>
    <row r="1330" spans="1:5" x14ac:dyDescent="0.25">
      <c r="A1330" s="2" t="s">
        <v>38</v>
      </c>
      <c r="B1330" s="6">
        <v>44769</v>
      </c>
      <c r="C1330" s="2" t="s">
        <v>16</v>
      </c>
      <c r="D1330" s="8">
        <v>-300</v>
      </c>
      <c r="E1330" s="8">
        <f>E1329+(0-300)</f>
        <v>12705303.55999992</v>
      </c>
    </row>
    <row r="1331" spans="1:5" x14ac:dyDescent="0.25">
      <c r="A1331" s="2" t="s">
        <v>38</v>
      </c>
      <c r="B1331" s="6">
        <v>44770</v>
      </c>
      <c r="C1331" s="2" t="s">
        <v>19</v>
      </c>
      <c r="D1331" s="8">
        <v>-68</v>
      </c>
      <c r="E1331" s="8">
        <f>E1330+(0-68)</f>
        <v>12705235.55999992</v>
      </c>
    </row>
    <row r="1332" spans="1:5" x14ac:dyDescent="0.25">
      <c r="A1332" s="2" t="s">
        <v>38</v>
      </c>
      <c r="B1332" s="6">
        <v>44770</v>
      </c>
      <c r="C1332" s="2" t="s">
        <v>19</v>
      </c>
      <c r="D1332" s="8">
        <v>-72</v>
      </c>
      <c r="E1332" s="8">
        <f>E1331+(0-72)</f>
        <v>12705163.55999992</v>
      </c>
    </row>
    <row r="1333" spans="1:5" x14ac:dyDescent="0.25">
      <c r="A1333" s="2" t="s">
        <v>38</v>
      </c>
      <c r="B1333" s="6">
        <v>44770</v>
      </c>
      <c r="C1333" s="2" t="s">
        <v>16</v>
      </c>
      <c r="D1333" s="8">
        <v>-50</v>
      </c>
      <c r="E1333" s="8">
        <f>E1332+(0-50)</f>
        <v>12705113.55999992</v>
      </c>
    </row>
    <row r="1334" spans="1:5" x14ac:dyDescent="0.25">
      <c r="A1334" s="2" t="s">
        <v>38</v>
      </c>
      <c r="B1334" s="6">
        <v>44770</v>
      </c>
      <c r="C1334" s="2" t="s">
        <v>16</v>
      </c>
      <c r="D1334" s="8">
        <v>-100</v>
      </c>
      <c r="E1334" s="8">
        <f>E1333+(0-100)</f>
        <v>12705013.55999992</v>
      </c>
    </row>
    <row r="1335" spans="1:5" x14ac:dyDescent="0.25">
      <c r="A1335" s="2" t="s">
        <v>38</v>
      </c>
      <c r="B1335" s="6">
        <v>44771</v>
      </c>
      <c r="C1335" s="2" t="s">
        <v>174</v>
      </c>
      <c r="D1335" s="8">
        <v>-26.88</v>
      </c>
      <c r="E1335" s="8">
        <f>E1334+(0-26.88)</f>
        <v>12704986.67999992</v>
      </c>
    </row>
    <row r="1336" spans="1:5" x14ac:dyDescent="0.25">
      <c r="A1336" s="2" t="s">
        <v>38</v>
      </c>
      <c r="B1336" s="6">
        <v>44771</v>
      </c>
      <c r="C1336" s="2" t="s">
        <v>174</v>
      </c>
      <c r="D1336" s="8">
        <v>-26.88</v>
      </c>
      <c r="E1336" s="8">
        <f>E1335+(0-26.88)</f>
        <v>12704959.799999919</v>
      </c>
    </row>
    <row r="1337" spans="1:5" x14ac:dyDescent="0.25">
      <c r="A1337" s="2" t="s">
        <v>38</v>
      </c>
      <c r="B1337" s="6">
        <v>44771</v>
      </c>
      <c r="C1337" s="2" t="s">
        <v>174</v>
      </c>
      <c r="D1337" s="8">
        <v>-53.75</v>
      </c>
      <c r="E1337" s="8">
        <f>E1336+(0-53.75)</f>
        <v>12704906.049999919</v>
      </c>
    </row>
    <row r="1338" spans="1:5" x14ac:dyDescent="0.25">
      <c r="A1338" s="2" t="s">
        <v>38</v>
      </c>
      <c r="B1338" s="6">
        <v>44771</v>
      </c>
      <c r="C1338" s="2" t="s">
        <v>174</v>
      </c>
      <c r="D1338" s="8">
        <v>-26.88</v>
      </c>
      <c r="E1338" s="8">
        <f>E1337+(0-26.88)</f>
        <v>12704879.169999918</v>
      </c>
    </row>
    <row r="1339" spans="1:5" x14ac:dyDescent="0.25">
      <c r="A1339" s="2" t="s">
        <v>38</v>
      </c>
      <c r="B1339" s="6">
        <v>44771</v>
      </c>
      <c r="C1339" s="2" t="s">
        <v>174</v>
      </c>
      <c r="D1339" s="8">
        <v>-26.88</v>
      </c>
      <c r="E1339" s="8">
        <f>E1338+(0-26.88)</f>
        <v>12704852.289999917</v>
      </c>
    </row>
    <row r="1340" spans="1:5" x14ac:dyDescent="0.25">
      <c r="A1340" s="2" t="s">
        <v>38</v>
      </c>
      <c r="B1340" s="6">
        <v>44771</v>
      </c>
      <c r="C1340" s="2" t="s">
        <v>16</v>
      </c>
      <c r="D1340" s="8">
        <v>-50</v>
      </c>
      <c r="E1340" s="8">
        <f>E1339+(0-50)</f>
        <v>12704802.289999917</v>
      </c>
    </row>
    <row r="1341" spans="1:5" x14ac:dyDescent="0.25">
      <c r="A1341" s="2" t="s">
        <v>38</v>
      </c>
      <c r="B1341" s="6">
        <v>44771</v>
      </c>
      <c r="C1341" s="2" t="s">
        <v>174</v>
      </c>
      <c r="D1341" s="8">
        <v>-53.75</v>
      </c>
      <c r="E1341" s="8">
        <f>E1340+(0-53.75)</f>
        <v>12704748.539999917</v>
      </c>
    </row>
    <row r="1342" spans="1:5" x14ac:dyDescent="0.25">
      <c r="A1342" s="2" t="s">
        <v>38</v>
      </c>
      <c r="B1342" s="6">
        <v>44771</v>
      </c>
      <c r="C1342" s="2" t="s">
        <v>174</v>
      </c>
      <c r="D1342" s="8">
        <v>-53.75</v>
      </c>
      <c r="E1342" s="8">
        <f>E1341+(0-53.75)</f>
        <v>12704694.789999917</v>
      </c>
    </row>
    <row r="1343" spans="1:5" x14ac:dyDescent="0.25">
      <c r="A1343" s="2" t="s">
        <v>38</v>
      </c>
      <c r="B1343" s="6">
        <v>44771</v>
      </c>
      <c r="C1343" s="2" t="s">
        <v>174</v>
      </c>
      <c r="D1343" s="8">
        <v>-53.75</v>
      </c>
      <c r="E1343" s="8">
        <f>E1342+(0-53.75)</f>
        <v>12704641.039999917</v>
      </c>
    </row>
    <row r="1344" spans="1:5" x14ac:dyDescent="0.25">
      <c r="A1344" s="2" t="s">
        <v>38</v>
      </c>
      <c r="B1344" s="6">
        <v>44771</v>
      </c>
      <c r="C1344" s="2" t="s">
        <v>16</v>
      </c>
      <c r="D1344" s="8">
        <v>-500</v>
      </c>
      <c r="E1344" s="8">
        <f>E1343+(0-500)</f>
        <v>12704141.039999917</v>
      </c>
    </row>
    <row r="1345" spans="1:5" x14ac:dyDescent="0.25">
      <c r="A1345" s="2" t="s">
        <v>38</v>
      </c>
      <c r="B1345" s="6">
        <v>44774</v>
      </c>
      <c r="C1345" s="2" t="s">
        <v>19</v>
      </c>
      <c r="D1345" s="8">
        <v>-44</v>
      </c>
      <c r="E1345" s="8">
        <f>E1344+(0-44)</f>
        <v>12704097.039999917</v>
      </c>
    </row>
    <row r="1346" spans="1:5" x14ac:dyDescent="0.25">
      <c r="A1346" s="2" t="s">
        <v>38</v>
      </c>
      <c r="B1346" s="6">
        <v>44774</v>
      </c>
      <c r="C1346" s="2" t="s">
        <v>19</v>
      </c>
      <c r="D1346" s="8">
        <v>-24</v>
      </c>
      <c r="E1346" s="8">
        <f>E1345+(0-24)</f>
        <v>12704073.039999917</v>
      </c>
    </row>
    <row r="1347" spans="1:5" x14ac:dyDescent="0.25">
      <c r="A1347" s="2" t="s">
        <v>38</v>
      </c>
      <c r="B1347" s="6">
        <v>44774</v>
      </c>
      <c r="C1347" s="2" t="s">
        <v>174</v>
      </c>
      <c r="D1347" s="8">
        <v>-53.75</v>
      </c>
      <c r="E1347" s="8">
        <f>E1346+(0-53.75)</f>
        <v>12704019.289999917</v>
      </c>
    </row>
    <row r="1348" spans="1:5" x14ac:dyDescent="0.25">
      <c r="A1348" s="2" t="s">
        <v>38</v>
      </c>
      <c r="B1348" s="6">
        <v>44774</v>
      </c>
      <c r="C1348" s="2" t="s">
        <v>19</v>
      </c>
      <c r="D1348" s="8">
        <v>-116</v>
      </c>
      <c r="E1348" s="8">
        <f>E1347+(0-116)</f>
        <v>12703903.289999917</v>
      </c>
    </row>
    <row r="1349" spans="1:5" x14ac:dyDescent="0.25">
      <c r="A1349" s="2" t="s">
        <v>38</v>
      </c>
      <c r="B1349" s="6">
        <v>44774</v>
      </c>
      <c r="C1349" s="2" t="s">
        <v>19</v>
      </c>
      <c r="D1349" s="8">
        <v>-8</v>
      </c>
      <c r="E1349" s="8">
        <f>E1348+(0-8)</f>
        <v>12703895.289999917</v>
      </c>
    </row>
    <row r="1350" spans="1:5" x14ac:dyDescent="0.25">
      <c r="A1350" s="2" t="s">
        <v>38</v>
      </c>
      <c r="B1350" s="6">
        <v>44774</v>
      </c>
      <c r="C1350" s="2" t="s">
        <v>16</v>
      </c>
      <c r="D1350" s="8">
        <v>-700</v>
      </c>
      <c r="E1350" s="8">
        <f>E1349+(0-700)</f>
        <v>12703195.289999917</v>
      </c>
    </row>
    <row r="1351" spans="1:5" x14ac:dyDescent="0.25">
      <c r="A1351" s="2" t="s">
        <v>38</v>
      </c>
      <c r="B1351" s="6">
        <v>44775</v>
      </c>
      <c r="C1351" s="2" t="s">
        <v>53</v>
      </c>
      <c r="D1351" s="8">
        <v>-53.75</v>
      </c>
      <c r="E1351" s="8">
        <f>E1350+(0-53.75)</f>
        <v>12703141.539999917</v>
      </c>
    </row>
    <row r="1352" spans="1:5" x14ac:dyDescent="0.25">
      <c r="A1352" s="2" t="s">
        <v>38</v>
      </c>
      <c r="B1352" s="6">
        <v>44775</v>
      </c>
      <c r="C1352" s="2" t="s">
        <v>174</v>
      </c>
      <c r="D1352" s="8">
        <v>-53.75</v>
      </c>
      <c r="E1352" s="8">
        <f>E1351+(0-53.75)</f>
        <v>12703087.789999917</v>
      </c>
    </row>
    <row r="1353" spans="1:5" x14ac:dyDescent="0.25">
      <c r="A1353" s="2" t="s">
        <v>38</v>
      </c>
      <c r="B1353" s="6">
        <v>44775</v>
      </c>
      <c r="C1353" s="2" t="s">
        <v>174</v>
      </c>
      <c r="D1353" s="8">
        <v>-26.88</v>
      </c>
      <c r="E1353" s="8">
        <f>E1352+(0-26.88)</f>
        <v>12703060.909999916</v>
      </c>
    </row>
    <row r="1354" spans="1:5" x14ac:dyDescent="0.25">
      <c r="A1354" s="2" t="s">
        <v>38</v>
      </c>
      <c r="B1354" s="6">
        <v>44775</v>
      </c>
      <c r="C1354" s="2" t="s">
        <v>174</v>
      </c>
      <c r="D1354" s="8">
        <v>-53.75</v>
      </c>
      <c r="E1354" s="8">
        <f>E1353+(0-53.75)</f>
        <v>12703007.159999916</v>
      </c>
    </row>
    <row r="1355" spans="1:5" x14ac:dyDescent="0.25">
      <c r="A1355" s="2" t="s">
        <v>38</v>
      </c>
      <c r="B1355" s="6">
        <v>44775</v>
      </c>
      <c r="C1355" s="2" t="s">
        <v>16</v>
      </c>
      <c r="D1355" s="8">
        <v>-150</v>
      </c>
      <c r="E1355" s="8">
        <f>E1354+(0-150)</f>
        <v>12702857.159999916</v>
      </c>
    </row>
    <row r="1356" spans="1:5" x14ac:dyDescent="0.25">
      <c r="A1356" s="2" t="s">
        <v>38</v>
      </c>
      <c r="B1356" s="6">
        <v>44776</v>
      </c>
      <c r="C1356" s="2" t="s">
        <v>16</v>
      </c>
      <c r="D1356" s="8">
        <v>-50</v>
      </c>
      <c r="E1356" s="8">
        <f>E1355+(0-50)</f>
        <v>12702807.159999916</v>
      </c>
    </row>
    <row r="1357" spans="1:5" x14ac:dyDescent="0.25">
      <c r="A1357" s="2" t="s">
        <v>38</v>
      </c>
      <c r="B1357" s="6">
        <v>44776</v>
      </c>
      <c r="C1357" s="2" t="s">
        <v>16</v>
      </c>
      <c r="D1357" s="8">
        <v>-50</v>
      </c>
      <c r="E1357" s="8">
        <f>E1356+(0-50)</f>
        <v>12702757.159999916</v>
      </c>
    </row>
    <row r="1358" spans="1:5" x14ac:dyDescent="0.25">
      <c r="A1358" s="2" t="s">
        <v>38</v>
      </c>
      <c r="B1358" s="6">
        <v>44776</v>
      </c>
      <c r="C1358" s="2" t="s">
        <v>16</v>
      </c>
      <c r="D1358" s="8">
        <v>-50</v>
      </c>
      <c r="E1358" s="8">
        <f>E1357+(0-50)</f>
        <v>12702707.159999916</v>
      </c>
    </row>
    <row r="1359" spans="1:5" x14ac:dyDescent="0.25">
      <c r="A1359" s="2" t="s">
        <v>38</v>
      </c>
      <c r="B1359" s="6">
        <v>44776</v>
      </c>
      <c r="C1359" s="2" t="s">
        <v>16</v>
      </c>
      <c r="D1359" s="8">
        <v>-450</v>
      </c>
      <c r="E1359" s="8">
        <f>E1358+(0-450)</f>
        <v>12702257.159999916</v>
      </c>
    </row>
    <row r="1360" spans="1:5" x14ac:dyDescent="0.25">
      <c r="A1360" s="2" t="s">
        <v>38</v>
      </c>
      <c r="B1360" s="6">
        <v>44776</v>
      </c>
      <c r="C1360" s="2" t="s">
        <v>16</v>
      </c>
      <c r="D1360" s="8">
        <v>-50</v>
      </c>
      <c r="E1360" s="8">
        <f>E1359+(0-50)</f>
        <v>12702207.159999916</v>
      </c>
    </row>
    <row r="1361" spans="1:5" x14ac:dyDescent="0.25">
      <c r="A1361" s="2" t="s">
        <v>38</v>
      </c>
      <c r="B1361" s="6">
        <v>44776</v>
      </c>
      <c r="C1361" s="2" t="s">
        <v>19</v>
      </c>
      <c r="D1361" s="8">
        <v>-72</v>
      </c>
      <c r="E1361" s="8">
        <f>E1360+(0-72)</f>
        <v>12702135.159999916</v>
      </c>
    </row>
    <row r="1362" spans="1:5" x14ac:dyDescent="0.25">
      <c r="A1362" s="2" t="s">
        <v>38</v>
      </c>
      <c r="B1362" s="6">
        <v>44777</v>
      </c>
      <c r="C1362" s="2" t="s">
        <v>16</v>
      </c>
      <c r="D1362" s="8">
        <v>-50</v>
      </c>
      <c r="E1362" s="8">
        <f>E1361+(0-50)</f>
        <v>12702085.159999916</v>
      </c>
    </row>
    <row r="1363" spans="1:5" x14ac:dyDescent="0.25">
      <c r="A1363" s="2" t="s">
        <v>38</v>
      </c>
      <c r="B1363" s="6">
        <v>44777</v>
      </c>
      <c r="C1363" s="2" t="s">
        <v>16</v>
      </c>
      <c r="D1363" s="8">
        <v>-400</v>
      </c>
      <c r="E1363" s="8">
        <f>E1362+(0-400)</f>
        <v>12701685.159999916</v>
      </c>
    </row>
    <row r="1364" spans="1:5" x14ac:dyDescent="0.25">
      <c r="A1364" s="2" t="s">
        <v>38</v>
      </c>
      <c r="B1364" s="6">
        <v>44777</v>
      </c>
      <c r="C1364" s="2" t="s">
        <v>19</v>
      </c>
      <c r="D1364" s="8">
        <v>-64</v>
      </c>
      <c r="E1364" s="8">
        <f>E1363+(0-64)</f>
        <v>12701621.159999916</v>
      </c>
    </row>
    <row r="1365" spans="1:5" x14ac:dyDescent="0.25">
      <c r="A1365" s="2" t="s">
        <v>38</v>
      </c>
      <c r="B1365" s="6">
        <v>44778</v>
      </c>
      <c r="C1365" s="2" t="s">
        <v>19</v>
      </c>
      <c r="D1365" s="8">
        <v>-64</v>
      </c>
      <c r="E1365" s="8">
        <f>E1364+(0-64)</f>
        <v>12701557.159999916</v>
      </c>
    </row>
    <row r="1366" spans="1:5" x14ac:dyDescent="0.25">
      <c r="A1366" s="2" t="s">
        <v>38</v>
      </c>
      <c r="B1366" s="6">
        <v>44778</v>
      </c>
      <c r="C1366" s="2" t="s">
        <v>16</v>
      </c>
      <c r="D1366" s="8">
        <v>-550</v>
      </c>
      <c r="E1366" s="8">
        <f>E1365+(0-550)</f>
        <v>12701007.159999916</v>
      </c>
    </row>
    <row r="1367" spans="1:5" x14ac:dyDescent="0.25">
      <c r="A1367" s="2" t="s">
        <v>38</v>
      </c>
      <c r="B1367" s="6">
        <v>44781</v>
      </c>
      <c r="C1367" s="2" t="s">
        <v>19</v>
      </c>
      <c r="D1367" s="8">
        <v>-40</v>
      </c>
      <c r="E1367" s="8">
        <f>E1366+(0-40)</f>
        <v>12700967.159999916</v>
      </c>
    </row>
    <row r="1368" spans="1:5" x14ac:dyDescent="0.25">
      <c r="A1368" s="2" t="s">
        <v>38</v>
      </c>
      <c r="B1368" s="6">
        <v>44781</v>
      </c>
      <c r="C1368" s="2" t="s">
        <v>19</v>
      </c>
      <c r="D1368" s="8">
        <v>-84</v>
      </c>
      <c r="E1368" s="8">
        <f>E1367+(0-84)</f>
        <v>12700883.159999916</v>
      </c>
    </row>
    <row r="1369" spans="1:5" x14ac:dyDescent="0.25">
      <c r="A1369" s="2" t="s">
        <v>38</v>
      </c>
      <c r="B1369" s="6">
        <v>44781</v>
      </c>
      <c r="C1369" s="2" t="s">
        <v>19</v>
      </c>
      <c r="D1369" s="8">
        <v>-8</v>
      </c>
      <c r="E1369" s="8">
        <f>E1368+(0-8)</f>
        <v>12700875.159999916</v>
      </c>
    </row>
    <row r="1370" spans="1:5" x14ac:dyDescent="0.25">
      <c r="A1370" s="2" t="s">
        <v>38</v>
      </c>
      <c r="B1370" s="6">
        <v>44781</v>
      </c>
      <c r="C1370" s="2" t="s">
        <v>174</v>
      </c>
      <c r="D1370" s="8">
        <v>-53.75</v>
      </c>
      <c r="E1370" s="8">
        <f>E1369+(0-53.75)</f>
        <v>12700821.409999916</v>
      </c>
    </row>
    <row r="1371" spans="1:5" x14ac:dyDescent="0.25">
      <c r="A1371" s="2" t="s">
        <v>38</v>
      </c>
      <c r="B1371" s="6">
        <v>44781</v>
      </c>
      <c r="C1371" s="2" t="s">
        <v>174</v>
      </c>
      <c r="D1371" s="8">
        <v>-26.88</v>
      </c>
      <c r="E1371" s="8">
        <f>E1370+(0-26.88)</f>
        <v>12700794.529999916</v>
      </c>
    </row>
    <row r="1372" spans="1:5" x14ac:dyDescent="0.25">
      <c r="A1372" s="2" t="s">
        <v>38</v>
      </c>
      <c r="B1372" s="6">
        <v>44781</v>
      </c>
      <c r="C1372" s="2" t="s">
        <v>16</v>
      </c>
      <c r="D1372" s="8">
        <v>-500</v>
      </c>
      <c r="E1372" s="8">
        <f>E1371+(0-500)</f>
        <v>12700294.529999916</v>
      </c>
    </row>
    <row r="1373" spans="1:5" x14ac:dyDescent="0.25">
      <c r="A1373" s="2" t="s">
        <v>38</v>
      </c>
      <c r="B1373" s="6">
        <v>44781</v>
      </c>
      <c r="C1373" s="2" t="s">
        <v>16</v>
      </c>
      <c r="D1373" s="8">
        <v>-50</v>
      </c>
      <c r="E1373" s="8">
        <f>E1372+(0-50)</f>
        <v>12700244.529999916</v>
      </c>
    </row>
    <row r="1374" spans="1:5" x14ac:dyDescent="0.25">
      <c r="A1374" s="2" t="s">
        <v>38</v>
      </c>
      <c r="B1374" s="6">
        <v>44782</v>
      </c>
      <c r="C1374" s="2" t="s">
        <v>16</v>
      </c>
      <c r="D1374" s="8">
        <v>-50</v>
      </c>
      <c r="E1374" s="8">
        <f>E1373+(0-50)</f>
        <v>12700194.529999916</v>
      </c>
    </row>
    <row r="1375" spans="1:5" x14ac:dyDescent="0.25">
      <c r="A1375" s="2" t="s">
        <v>38</v>
      </c>
      <c r="B1375" s="6">
        <v>44782</v>
      </c>
      <c r="C1375" s="2" t="s">
        <v>174</v>
      </c>
      <c r="D1375" s="8">
        <v>-26.88</v>
      </c>
      <c r="E1375" s="8">
        <f>E1374+(0-26.88)</f>
        <v>12700167.649999915</v>
      </c>
    </row>
    <row r="1376" spans="1:5" x14ac:dyDescent="0.25">
      <c r="A1376" s="2" t="s">
        <v>38</v>
      </c>
      <c r="B1376" s="6">
        <v>44782</v>
      </c>
      <c r="C1376" s="2" t="s">
        <v>19</v>
      </c>
      <c r="D1376" s="8">
        <v>-4</v>
      </c>
      <c r="E1376" s="8">
        <f>E1375+(0-4)</f>
        <v>12700163.649999915</v>
      </c>
    </row>
    <row r="1377" spans="1:5" x14ac:dyDescent="0.25">
      <c r="A1377" s="2" t="s">
        <v>38</v>
      </c>
      <c r="B1377" s="6">
        <v>44782</v>
      </c>
      <c r="C1377" s="2" t="s">
        <v>16</v>
      </c>
      <c r="D1377" s="8">
        <v>-50</v>
      </c>
      <c r="E1377" s="8">
        <f>E1376+(0-50)</f>
        <v>12700113.649999915</v>
      </c>
    </row>
    <row r="1378" spans="1:5" x14ac:dyDescent="0.25">
      <c r="A1378" s="2" t="s">
        <v>38</v>
      </c>
      <c r="B1378" s="6">
        <v>44782</v>
      </c>
      <c r="C1378" s="2" t="s">
        <v>53</v>
      </c>
      <c r="D1378" s="8">
        <v>-53.75</v>
      </c>
      <c r="E1378" s="8">
        <f>E1377+(0-53.75)</f>
        <v>12700059.899999915</v>
      </c>
    </row>
    <row r="1379" spans="1:5" x14ac:dyDescent="0.25">
      <c r="A1379" s="2" t="s">
        <v>38</v>
      </c>
      <c r="B1379" s="6">
        <v>44782</v>
      </c>
      <c r="C1379" s="2" t="s">
        <v>16</v>
      </c>
      <c r="D1379" s="8">
        <v>-50</v>
      </c>
      <c r="E1379" s="8">
        <f>E1378+(0-50)</f>
        <v>12700009.899999915</v>
      </c>
    </row>
    <row r="1380" spans="1:5" x14ac:dyDescent="0.25">
      <c r="A1380" s="2" t="s">
        <v>38</v>
      </c>
      <c r="B1380" s="6">
        <v>44782</v>
      </c>
      <c r="C1380" s="2" t="s">
        <v>16</v>
      </c>
      <c r="D1380" s="8">
        <v>-50</v>
      </c>
      <c r="E1380" s="8">
        <f>E1379+(0-50)</f>
        <v>12699959.899999915</v>
      </c>
    </row>
    <row r="1381" spans="1:5" x14ac:dyDescent="0.25">
      <c r="A1381" s="2" t="s">
        <v>38</v>
      </c>
      <c r="B1381" s="6">
        <v>44783</v>
      </c>
      <c r="C1381" s="2" t="s">
        <v>19</v>
      </c>
      <c r="D1381" s="8">
        <v>-52</v>
      </c>
      <c r="E1381" s="8">
        <f>E1380+(0-52)</f>
        <v>12699907.899999915</v>
      </c>
    </row>
    <row r="1382" spans="1:5" x14ac:dyDescent="0.25">
      <c r="A1382" s="2" t="s">
        <v>38</v>
      </c>
      <c r="B1382" s="6">
        <v>44783</v>
      </c>
      <c r="C1382" s="2" t="s">
        <v>16</v>
      </c>
      <c r="D1382" s="8">
        <v>-150</v>
      </c>
      <c r="E1382" s="8">
        <f>E1381+(0-150)</f>
        <v>12699757.899999915</v>
      </c>
    </row>
    <row r="1383" spans="1:5" x14ac:dyDescent="0.25">
      <c r="A1383" s="2" t="s">
        <v>38</v>
      </c>
      <c r="B1383" s="6">
        <v>44784</v>
      </c>
      <c r="C1383" s="2" t="s">
        <v>53</v>
      </c>
      <c r="D1383" s="8">
        <v>-53.75</v>
      </c>
      <c r="E1383" s="8">
        <f>E1382+(0-53.75)</f>
        <v>12699704.149999915</v>
      </c>
    </row>
    <row r="1384" spans="1:5" x14ac:dyDescent="0.25">
      <c r="A1384" s="2" t="s">
        <v>38</v>
      </c>
      <c r="B1384" s="6">
        <v>44784</v>
      </c>
      <c r="C1384" s="2" t="s">
        <v>16</v>
      </c>
      <c r="D1384" s="8">
        <v>-400</v>
      </c>
      <c r="E1384" s="8">
        <f>E1383+(0-400)</f>
        <v>12699304.149999915</v>
      </c>
    </row>
    <row r="1385" spans="1:5" x14ac:dyDescent="0.25">
      <c r="A1385" s="2" t="s">
        <v>38</v>
      </c>
      <c r="B1385" s="6">
        <v>44784</v>
      </c>
      <c r="C1385" s="2" t="s">
        <v>16</v>
      </c>
      <c r="D1385" s="8">
        <v>-50</v>
      </c>
      <c r="E1385" s="8">
        <f>E1384+(0-50)</f>
        <v>12699254.149999915</v>
      </c>
    </row>
    <row r="1386" spans="1:5" x14ac:dyDescent="0.25">
      <c r="A1386" s="2" t="s">
        <v>38</v>
      </c>
      <c r="B1386" s="6">
        <v>44785</v>
      </c>
      <c r="C1386" s="2" t="s">
        <v>174</v>
      </c>
      <c r="D1386" s="8">
        <v>-53.75</v>
      </c>
      <c r="E1386" s="8">
        <f>E1385+(0-53.75)</f>
        <v>12699200.399999915</v>
      </c>
    </row>
    <row r="1387" spans="1:5" x14ac:dyDescent="0.25">
      <c r="A1387" s="2" t="s">
        <v>38</v>
      </c>
      <c r="B1387" s="6">
        <v>44785</v>
      </c>
      <c r="C1387" s="2" t="s">
        <v>19</v>
      </c>
      <c r="D1387" s="8">
        <v>-56</v>
      </c>
      <c r="E1387" s="8">
        <f>E1386+(0-56)</f>
        <v>12699144.399999915</v>
      </c>
    </row>
    <row r="1388" spans="1:5" x14ac:dyDescent="0.25">
      <c r="A1388" s="2" t="s">
        <v>38</v>
      </c>
      <c r="B1388" s="6">
        <v>44785</v>
      </c>
      <c r="C1388" s="2" t="s">
        <v>16</v>
      </c>
      <c r="D1388" s="8">
        <v>-50</v>
      </c>
      <c r="E1388" s="8">
        <f>E1387+(0-50)</f>
        <v>12699094.399999915</v>
      </c>
    </row>
    <row r="1389" spans="1:5" x14ac:dyDescent="0.25">
      <c r="A1389" s="2" t="s">
        <v>38</v>
      </c>
      <c r="B1389" s="6">
        <v>44785</v>
      </c>
      <c r="C1389" s="2" t="s">
        <v>19</v>
      </c>
      <c r="D1389" s="8">
        <v>-32</v>
      </c>
      <c r="E1389" s="8">
        <f>E1388+(0-32)</f>
        <v>12699062.399999915</v>
      </c>
    </row>
    <row r="1390" spans="1:5" x14ac:dyDescent="0.25">
      <c r="A1390" s="2" t="s">
        <v>38</v>
      </c>
      <c r="B1390" s="6">
        <v>44785</v>
      </c>
      <c r="C1390" s="2" t="s">
        <v>180</v>
      </c>
      <c r="D1390" s="8">
        <v>-365.5</v>
      </c>
      <c r="E1390" s="8">
        <f>E1389+(0-365.5)</f>
        <v>12698696.899999915</v>
      </c>
    </row>
    <row r="1391" spans="1:5" x14ac:dyDescent="0.25">
      <c r="A1391" s="2" t="s">
        <v>38</v>
      </c>
      <c r="B1391" s="6">
        <v>44785</v>
      </c>
      <c r="C1391" s="2" t="s">
        <v>181</v>
      </c>
      <c r="D1391" s="8">
        <v>-37.5</v>
      </c>
      <c r="E1391" s="8">
        <f>E1390+(0-37.5)</f>
        <v>12698659.399999915</v>
      </c>
    </row>
    <row r="1392" spans="1:5" x14ac:dyDescent="0.25">
      <c r="A1392" s="2" t="s">
        <v>38</v>
      </c>
      <c r="B1392" s="6">
        <v>44785</v>
      </c>
      <c r="C1392" s="2" t="s">
        <v>183</v>
      </c>
      <c r="D1392" s="8">
        <v>-500</v>
      </c>
      <c r="E1392" s="8">
        <f>E1391+(0-500)</f>
        <v>12698159.399999915</v>
      </c>
    </row>
    <row r="1393" spans="1:5" x14ac:dyDescent="0.25">
      <c r="A1393" s="2" t="s">
        <v>38</v>
      </c>
      <c r="B1393" s="6">
        <v>44785</v>
      </c>
      <c r="C1393" s="2" t="s">
        <v>183</v>
      </c>
      <c r="D1393" s="8">
        <v>-500</v>
      </c>
      <c r="E1393" s="8">
        <f>E1392+(0-500)</f>
        <v>12697659.399999915</v>
      </c>
    </row>
    <row r="1394" spans="1:5" x14ac:dyDescent="0.25">
      <c r="A1394" s="2" t="s">
        <v>38</v>
      </c>
      <c r="B1394" s="6">
        <v>44785</v>
      </c>
      <c r="C1394" s="2" t="s">
        <v>181</v>
      </c>
      <c r="D1394" s="8">
        <v>-37.5</v>
      </c>
      <c r="E1394" s="8">
        <f>E1393+(0-37.5)</f>
        <v>12697621.899999915</v>
      </c>
    </row>
    <row r="1395" spans="1:5" x14ac:dyDescent="0.25">
      <c r="A1395" s="2" t="s">
        <v>38</v>
      </c>
      <c r="B1395" s="6">
        <v>44785</v>
      </c>
      <c r="C1395" s="2" t="s">
        <v>16</v>
      </c>
      <c r="D1395" s="8">
        <v>-300</v>
      </c>
      <c r="E1395" s="8">
        <f>E1394+(0-300)</f>
        <v>12697321.899999915</v>
      </c>
    </row>
    <row r="1396" spans="1:5" x14ac:dyDescent="0.25">
      <c r="A1396" s="2" t="s">
        <v>38</v>
      </c>
      <c r="B1396" s="6">
        <v>44785</v>
      </c>
      <c r="C1396" s="2" t="s">
        <v>19</v>
      </c>
      <c r="D1396" s="8">
        <v>-60</v>
      </c>
      <c r="E1396" s="8">
        <f>E1395+(0-60)</f>
        <v>12697261.899999915</v>
      </c>
    </row>
    <row r="1397" spans="1:5" x14ac:dyDescent="0.25">
      <c r="A1397" s="2" t="s">
        <v>38</v>
      </c>
      <c r="B1397" s="6">
        <v>44785</v>
      </c>
      <c r="C1397" s="2" t="s">
        <v>19</v>
      </c>
      <c r="D1397" s="8">
        <v>-72</v>
      </c>
      <c r="E1397" s="8">
        <f>E1396+(0-72)</f>
        <v>12697189.899999915</v>
      </c>
    </row>
    <row r="1398" spans="1:5" x14ac:dyDescent="0.25">
      <c r="A1398" s="2" t="s">
        <v>38</v>
      </c>
      <c r="B1398" s="6">
        <v>44788</v>
      </c>
      <c r="C1398" s="2" t="s">
        <v>53</v>
      </c>
      <c r="D1398" s="8">
        <v>-53.75</v>
      </c>
      <c r="E1398" s="8">
        <f>E1397+(0-53.75)</f>
        <v>12697136.149999915</v>
      </c>
    </row>
    <row r="1399" spans="1:5" x14ac:dyDescent="0.25">
      <c r="A1399" s="2" t="s">
        <v>38</v>
      </c>
      <c r="B1399" s="6">
        <v>44788</v>
      </c>
      <c r="C1399" s="2" t="s">
        <v>16</v>
      </c>
      <c r="D1399" s="8">
        <v>-50</v>
      </c>
      <c r="E1399" s="8">
        <f>E1398+(0-50)</f>
        <v>12697086.149999915</v>
      </c>
    </row>
    <row r="1400" spans="1:5" x14ac:dyDescent="0.25">
      <c r="A1400" s="2" t="s">
        <v>38</v>
      </c>
      <c r="B1400" s="6">
        <v>44788</v>
      </c>
      <c r="C1400" s="2" t="s">
        <v>16</v>
      </c>
      <c r="D1400" s="8">
        <v>-400</v>
      </c>
      <c r="E1400" s="8">
        <f>E1399+(0-400)</f>
        <v>12696686.149999915</v>
      </c>
    </row>
    <row r="1401" spans="1:5" x14ac:dyDescent="0.25">
      <c r="A1401" s="2" t="s">
        <v>38</v>
      </c>
      <c r="B1401" s="6">
        <v>44789</v>
      </c>
      <c r="C1401" s="2" t="s">
        <v>16</v>
      </c>
      <c r="D1401" s="8">
        <v>-50</v>
      </c>
      <c r="E1401" s="8">
        <f>E1400+(0-50)</f>
        <v>12696636.149999915</v>
      </c>
    </row>
    <row r="1402" spans="1:5" x14ac:dyDescent="0.25">
      <c r="A1402" s="2" t="s">
        <v>38</v>
      </c>
      <c r="B1402" s="6">
        <v>44789</v>
      </c>
      <c r="C1402" s="2" t="s">
        <v>16</v>
      </c>
      <c r="D1402" s="8">
        <v>-50</v>
      </c>
      <c r="E1402" s="8">
        <f>E1401+(0-50)</f>
        <v>12696586.149999915</v>
      </c>
    </row>
    <row r="1403" spans="1:5" x14ac:dyDescent="0.25">
      <c r="A1403" s="2" t="s">
        <v>38</v>
      </c>
      <c r="B1403" s="6">
        <v>44789</v>
      </c>
      <c r="C1403" s="2" t="s">
        <v>16</v>
      </c>
      <c r="D1403" s="8">
        <v>-50</v>
      </c>
      <c r="E1403" s="8">
        <f>E1402+(0-50)</f>
        <v>12696536.149999915</v>
      </c>
    </row>
    <row r="1404" spans="1:5" x14ac:dyDescent="0.25">
      <c r="A1404" s="2" t="s">
        <v>38</v>
      </c>
      <c r="B1404" s="6">
        <v>44789</v>
      </c>
      <c r="C1404" s="2" t="s">
        <v>16</v>
      </c>
      <c r="D1404" s="8">
        <v>-100</v>
      </c>
      <c r="E1404" s="8">
        <f>E1403+(0-100)</f>
        <v>12696436.149999915</v>
      </c>
    </row>
    <row r="1405" spans="1:5" x14ac:dyDescent="0.25">
      <c r="A1405" s="2" t="s">
        <v>38</v>
      </c>
      <c r="B1405" s="6">
        <v>44790</v>
      </c>
      <c r="C1405" s="2" t="s">
        <v>16</v>
      </c>
      <c r="D1405" s="8">
        <v>-50</v>
      </c>
      <c r="E1405" s="8">
        <f>E1404+(0-50)</f>
        <v>12696386.149999915</v>
      </c>
    </row>
    <row r="1406" spans="1:5" x14ac:dyDescent="0.25">
      <c r="A1406" s="2" t="s">
        <v>38</v>
      </c>
      <c r="B1406" s="6">
        <v>44790</v>
      </c>
      <c r="C1406" s="2" t="s">
        <v>16</v>
      </c>
      <c r="D1406" s="8">
        <v>-350</v>
      </c>
      <c r="E1406" s="8">
        <f>E1405+(0-350)</f>
        <v>12696036.149999915</v>
      </c>
    </row>
    <row r="1407" spans="1:5" x14ac:dyDescent="0.25">
      <c r="A1407" s="2" t="s">
        <v>38</v>
      </c>
      <c r="B1407" s="6">
        <v>44790</v>
      </c>
      <c r="C1407" s="2" t="s">
        <v>16</v>
      </c>
      <c r="D1407" s="8">
        <v>-50</v>
      </c>
      <c r="E1407" s="8">
        <f>E1406+(0-50)</f>
        <v>12695986.149999915</v>
      </c>
    </row>
    <row r="1408" spans="1:5" x14ac:dyDescent="0.25">
      <c r="A1408" s="2" t="s">
        <v>38</v>
      </c>
      <c r="B1408" s="6">
        <v>44791</v>
      </c>
      <c r="C1408" s="2" t="s">
        <v>16</v>
      </c>
      <c r="D1408" s="8">
        <v>-50</v>
      </c>
      <c r="E1408" s="8">
        <f>E1407+(0-50)</f>
        <v>12695936.149999915</v>
      </c>
    </row>
    <row r="1409" spans="1:5" x14ac:dyDescent="0.25">
      <c r="A1409" s="2" t="s">
        <v>38</v>
      </c>
      <c r="B1409" s="6">
        <v>44791</v>
      </c>
      <c r="C1409" s="2" t="s">
        <v>19</v>
      </c>
      <c r="D1409" s="8">
        <v>-4</v>
      </c>
      <c r="E1409" s="8">
        <f>E1408+(0-4)</f>
        <v>12695932.149999915</v>
      </c>
    </row>
    <row r="1410" spans="1:5" x14ac:dyDescent="0.25">
      <c r="A1410" s="2" t="s">
        <v>38</v>
      </c>
      <c r="B1410" s="6">
        <v>44791</v>
      </c>
      <c r="C1410" s="2" t="s">
        <v>19</v>
      </c>
      <c r="D1410" s="8">
        <v>-100</v>
      </c>
      <c r="E1410" s="8">
        <f>E1409+(0-100)</f>
        <v>12695832.149999915</v>
      </c>
    </row>
    <row r="1411" spans="1:5" x14ac:dyDescent="0.25">
      <c r="A1411" s="2" t="s">
        <v>38</v>
      </c>
      <c r="B1411" s="6">
        <v>44791</v>
      </c>
      <c r="C1411" s="2" t="s">
        <v>16</v>
      </c>
      <c r="D1411" s="8">
        <v>-200</v>
      </c>
      <c r="E1411" s="8">
        <f>E1410+(0-200)</f>
        <v>12695632.149999915</v>
      </c>
    </row>
    <row r="1412" spans="1:5" x14ac:dyDescent="0.25">
      <c r="A1412" s="2" t="s">
        <v>38</v>
      </c>
      <c r="B1412" s="6">
        <v>44792</v>
      </c>
      <c r="C1412" s="2" t="s">
        <v>19</v>
      </c>
      <c r="D1412" s="8">
        <v>-8</v>
      </c>
      <c r="E1412" s="8">
        <f>E1411+(0-8)</f>
        <v>12695624.149999915</v>
      </c>
    </row>
    <row r="1413" spans="1:5" x14ac:dyDescent="0.25">
      <c r="A1413" s="2" t="s">
        <v>38</v>
      </c>
      <c r="B1413" s="6">
        <v>44792</v>
      </c>
      <c r="C1413" s="2" t="s">
        <v>19</v>
      </c>
      <c r="D1413" s="8">
        <v>-36</v>
      </c>
      <c r="E1413" s="8">
        <f>E1412+(0-36)</f>
        <v>12695588.149999915</v>
      </c>
    </row>
    <row r="1414" spans="1:5" x14ac:dyDescent="0.25">
      <c r="A1414" s="2" t="s">
        <v>38</v>
      </c>
      <c r="B1414" s="6">
        <v>44792</v>
      </c>
      <c r="C1414" s="2" t="s">
        <v>19</v>
      </c>
      <c r="D1414" s="8">
        <v>-68</v>
      </c>
      <c r="E1414" s="8">
        <f>E1413+(0-68)</f>
        <v>12695520.149999915</v>
      </c>
    </row>
    <row r="1415" spans="1:5" x14ac:dyDescent="0.25">
      <c r="A1415" s="2" t="s">
        <v>38</v>
      </c>
      <c r="B1415" s="6">
        <v>44792</v>
      </c>
      <c r="C1415" s="2" t="s">
        <v>53</v>
      </c>
      <c r="D1415" s="8">
        <v>-53.75</v>
      </c>
      <c r="E1415" s="8">
        <f>E1414+(0-53.75)</f>
        <v>12695466.399999915</v>
      </c>
    </row>
    <row r="1416" spans="1:5" x14ac:dyDescent="0.25">
      <c r="A1416" s="2" t="s">
        <v>38</v>
      </c>
      <c r="B1416" s="6">
        <v>44792</v>
      </c>
      <c r="C1416" s="2" t="s">
        <v>174</v>
      </c>
      <c r="D1416" s="8">
        <v>-53.75</v>
      </c>
      <c r="E1416" s="8">
        <f>E1415+(0-53.75)</f>
        <v>12695412.649999915</v>
      </c>
    </row>
    <row r="1417" spans="1:5" x14ac:dyDescent="0.25">
      <c r="A1417" s="2" t="s">
        <v>38</v>
      </c>
      <c r="B1417" s="6">
        <v>44792</v>
      </c>
      <c r="C1417" s="2" t="s">
        <v>16</v>
      </c>
      <c r="D1417" s="8">
        <v>-400</v>
      </c>
      <c r="E1417" s="8">
        <f>E1416+(0-400)</f>
        <v>12695012.649999915</v>
      </c>
    </row>
    <row r="1418" spans="1:5" x14ac:dyDescent="0.25">
      <c r="A1418" s="2" t="s">
        <v>38</v>
      </c>
      <c r="B1418" s="6">
        <v>44795</v>
      </c>
      <c r="C1418" s="2" t="s">
        <v>19</v>
      </c>
      <c r="D1418" s="8">
        <v>-44</v>
      </c>
      <c r="E1418" s="8">
        <f>E1417+(0-44)</f>
        <v>12694968.649999915</v>
      </c>
    </row>
    <row r="1419" spans="1:5" x14ac:dyDescent="0.25">
      <c r="A1419" s="2" t="s">
        <v>38</v>
      </c>
      <c r="B1419" s="6">
        <v>44795</v>
      </c>
      <c r="C1419" s="2" t="s">
        <v>19</v>
      </c>
      <c r="D1419" s="8">
        <v>-60</v>
      </c>
      <c r="E1419" s="8">
        <f>E1418+(0-60)</f>
        <v>12694908.649999915</v>
      </c>
    </row>
    <row r="1420" spans="1:5" x14ac:dyDescent="0.25">
      <c r="A1420" s="2" t="s">
        <v>38</v>
      </c>
      <c r="B1420" s="6">
        <v>44795</v>
      </c>
      <c r="C1420" s="2" t="s">
        <v>19</v>
      </c>
      <c r="D1420" s="8">
        <v>-68</v>
      </c>
      <c r="E1420" s="8">
        <f>E1419+(0-68)</f>
        <v>12694840.649999915</v>
      </c>
    </row>
    <row r="1421" spans="1:5" x14ac:dyDescent="0.25">
      <c r="A1421" s="2" t="s">
        <v>38</v>
      </c>
      <c r="B1421" s="6">
        <v>44795</v>
      </c>
      <c r="C1421" s="2" t="s">
        <v>19</v>
      </c>
      <c r="D1421" s="8">
        <v>-12</v>
      </c>
      <c r="E1421" s="8">
        <f>E1420+(0-12)</f>
        <v>12694828.649999915</v>
      </c>
    </row>
    <row r="1422" spans="1:5" x14ac:dyDescent="0.25">
      <c r="A1422" s="2" t="s">
        <v>38</v>
      </c>
      <c r="B1422" s="6">
        <v>44795</v>
      </c>
      <c r="C1422" s="2" t="s">
        <v>16</v>
      </c>
      <c r="D1422" s="8">
        <v>-300</v>
      </c>
      <c r="E1422" s="8">
        <f>E1421+(0-300)</f>
        <v>12694528.649999915</v>
      </c>
    </row>
    <row r="1423" spans="1:5" x14ac:dyDescent="0.25">
      <c r="A1423" s="2" t="s">
        <v>38</v>
      </c>
      <c r="B1423" s="6">
        <v>44795</v>
      </c>
      <c r="C1423" s="2" t="s">
        <v>16</v>
      </c>
      <c r="D1423" s="8">
        <v>-50</v>
      </c>
      <c r="E1423" s="8">
        <f>E1422+(0-50)</f>
        <v>12694478.649999915</v>
      </c>
    </row>
    <row r="1424" spans="1:5" x14ac:dyDescent="0.25">
      <c r="A1424" s="2" t="s">
        <v>38</v>
      </c>
      <c r="B1424" s="6">
        <v>44796</v>
      </c>
      <c r="C1424" s="2" t="s">
        <v>16</v>
      </c>
      <c r="D1424" s="8">
        <v>-50</v>
      </c>
      <c r="E1424" s="8">
        <f>E1423+(0-50)</f>
        <v>12694428.649999915</v>
      </c>
    </row>
    <row r="1425" spans="1:5" x14ac:dyDescent="0.25">
      <c r="A1425" s="2" t="s">
        <v>38</v>
      </c>
      <c r="B1425" s="6">
        <v>44796</v>
      </c>
      <c r="C1425" s="2" t="s">
        <v>19</v>
      </c>
      <c r="D1425" s="8">
        <v>-60</v>
      </c>
      <c r="E1425" s="8">
        <f>E1424+(0-60)</f>
        <v>12694368.649999915</v>
      </c>
    </row>
    <row r="1426" spans="1:5" x14ac:dyDescent="0.25">
      <c r="A1426" s="2" t="s">
        <v>38</v>
      </c>
      <c r="B1426" s="6">
        <v>44796</v>
      </c>
      <c r="C1426" s="2" t="s">
        <v>53</v>
      </c>
      <c r="D1426" s="8">
        <v>-53.75</v>
      </c>
      <c r="E1426" s="8">
        <f>E1425+(0-53.75)</f>
        <v>12694314.899999915</v>
      </c>
    </row>
    <row r="1427" spans="1:5" x14ac:dyDescent="0.25">
      <c r="A1427" s="2" t="s">
        <v>38</v>
      </c>
      <c r="B1427" s="6">
        <v>44796</v>
      </c>
      <c r="C1427" s="2" t="s">
        <v>16</v>
      </c>
      <c r="D1427" s="8">
        <v>-50</v>
      </c>
      <c r="E1427" s="8">
        <f>E1426+(0-50)</f>
        <v>12694264.899999915</v>
      </c>
    </row>
    <row r="1428" spans="1:5" x14ac:dyDescent="0.25">
      <c r="A1428" s="2" t="s">
        <v>38</v>
      </c>
      <c r="B1428" s="6">
        <v>44796</v>
      </c>
      <c r="C1428" s="2" t="s">
        <v>53</v>
      </c>
      <c r="D1428" s="8">
        <v>-26.88</v>
      </c>
      <c r="E1428" s="8">
        <f>E1427+(0-26.88)</f>
        <v>12694238.019999914</v>
      </c>
    </row>
    <row r="1429" spans="1:5" x14ac:dyDescent="0.25">
      <c r="A1429" s="2" t="s">
        <v>38</v>
      </c>
      <c r="B1429" s="6">
        <v>44796</v>
      </c>
      <c r="C1429" s="2" t="s">
        <v>53</v>
      </c>
      <c r="D1429" s="8">
        <v>-53.75</v>
      </c>
      <c r="E1429" s="8">
        <f>E1428+(0-53.75)</f>
        <v>12694184.269999914</v>
      </c>
    </row>
    <row r="1430" spans="1:5" x14ac:dyDescent="0.25">
      <c r="A1430" s="2" t="s">
        <v>38</v>
      </c>
      <c r="B1430" s="6">
        <v>44796</v>
      </c>
      <c r="C1430" s="2" t="s">
        <v>16</v>
      </c>
      <c r="D1430" s="8">
        <v>-450</v>
      </c>
      <c r="E1430" s="8">
        <f>E1429+(0-450)</f>
        <v>12693734.269999914</v>
      </c>
    </row>
    <row r="1431" spans="1:5" x14ac:dyDescent="0.25">
      <c r="A1431" s="2" t="s">
        <v>38</v>
      </c>
      <c r="B1431" s="6">
        <v>44796</v>
      </c>
      <c r="C1431" s="2" t="s">
        <v>16</v>
      </c>
      <c r="D1431" s="8">
        <v>-100</v>
      </c>
      <c r="E1431" s="8">
        <f>E1430+(0-100)</f>
        <v>12693634.269999914</v>
      </c>
    </row>
    <row r="1432" spans="1:5" x14ac:dyDescent="0.25">
      <c r="A1432" s="2" t="s">
        <v>38</v>
      </c>
      <c r="B1432" s="6">
        <v>44797</v>
      </c>
      <c r="C1432" s="2" t="s">
        <v>16</v>
      </c>
      <c r="D1432" s="8">
        <v>-50</v>
      </c>
      <c r="E1432" s="8">
        <f>E1431+(0-50)</f>
        <v>12693584.269999914</v>
      </c>
    </row>
    <row r="1433" spans="1:5" x14ac:dyDescent="0.25">
      <c r="A1433" s="2" t="s">
        <v>38</v>
      </c>
      <c r="B1433" s="6">
        <v>44797</v>
      </c>
      <c r="C1433" s="2" t="s">
        <v>16</v>
      </c>
      <c r="D1433" s="8">
        <v>-50</v>
      </c>
      <c r="E1433" s="8">
        <f>E1432+(0-50)</f>
        <v>12693534.269999914</v>
      </c>
    </row>
    <row r="1434" spans="1:5" x14ac:dyDescent="0.25">
      <c r="A1434" s="2" t="s">
        <v>38</v>
      </c>
      <c r="B1434" s="6">
        <v>44797</v>
      </c>
      <c r="C1434" s="2" t="s">
        <v>19</v>
      </c>
      <c r="D1434" s="8">
        <v>-92</v>
      </c>
      <c r="E1434" s="8">
        <f>E1433+(0-92)</f>
        <v>12693442.269999914</v>
      </c>
    </row>
    <row r="1435" spans="1:5" x14ac:dyDescent="0.25">
      <c r="A1435" s="2" t="s">
        <v>38</v>
      </c>
      <c r="B1435" s="6">
        <v>44797</v>
      </c>
      <c r="C1435" s="2" t="s">
        <v>16</v>
      </c>
      <c r="D1435" s="8">
        <v>-50</v>
      </c>
      <c r="E1435" s="8">
        <f>E1434+(0-50)</f>
        <v>12693392.269999914</v>
      </c>
    </row>
    <row r="1436" spans="1:5" x14ac:dyDescent="0.25">
      <c r="A1436" s="2" t="s">
        <v>38</v>
      </c>
      <c r="B1436" s="6">
        <v>44797</v>
      </c>
      <c r="C1436" s="2" t="s">
        <v>16</v>
      </c>
      <c r="D1436" s="8">
        <v>-250</v>
      </c>
      <c r="E1436" s="8">
        <f>E1435+(0-250)</f>
        <v>12693142.269999914</v>
      </c>
    </row>
    <row r="1437" spans="1:5" x14ac:dyDescent="0.25">
      <c r="A1437" s="2" t="s">
        <v>38</v>
      </c>
      <c r="B1437" s="6">
        <v>44798</v>
      </c>
      <c r="C1437" s="2" t="s">
        <v>19</v>
      </c>
      <c r="D1437" s="8">
        <v>-36</v>
      </c>
      <c r="E1437" s="8">
        <f>E1436+(0-36)</f>
        <v>12693106.269999914</v>
      </c>
    </row>
    <row r="1438" spans="1:5" x14ac:dyDescent="0.25">
      <c r="A1438" s="2" t="s">
        <v>38</v>
      </c>
      <c r="B1438" s="6">
        <v>44798</v>
      </c>
      <c r="C1438" s="2" t="s">
        <v>16</v>
      </c>
      <c r="D1438" s="8">
        <v>-50</v>
      </c>
      <c r="E1438" s="8">
        <f>E1437+(0-50)</f>
        <v>12693056.269999914</v>
      </c>
    </row>
    <row r="1439" spans="1:5" x14ac:dyDescent="0.25">
      <c r="A1439" s="2" t="s">
        <v>38</v>
      </c>
      <c r="B1439" s="6">
        <v>44798</v>
      </c>
      <c r="C1439" s="2" t="s">
        <v>16</v>
      </c>
      <c r="D1439" s="8">
        <v>-50</v>
      </c>
      <c r="E1439" s="8">
        <f>E1438+(0-50)</f>
        <v>12693006.269999914</v>
      </c>
    </row>
    <row r="1440" spans="1:5" x14ac:dyDescent="0.25">
      <c r="A1440" s="2" t="s">
        <v>38</v>
      </c>
      <c r="B1440" s="6">
        <v>44798</v>
      </c>
      <c r="C1440" s="2" t="s">
        <v>53</v>
      </c>
      <c r="D1440" s="8">
        <v>-26.88</v>
      </c>
      <c r="E1440" s="8">
        <f>E1439+(0-26.88)</f>
        <v>12692979.389999913</v>
      </c>
    </row>
    <row r="1441" spans="1:5" x14ac:dyDescent="0.25">
      <c r="A1441" s="2" t="s">
        <v>38</v>
      </c>
      <c r="B1441" s="6">
        <v>44798</v>
      </c>
      <c r="C1441" s="2" t="s">
        <v>16</v>
      </c>
      <c r="D1441" s="8">
        <v>-550</v>
      </c>
      <c r="E1441" s="8">
        <f>E1440+(0-550)</f>
        <v>12692429.389999913</v>
      </c>
    </row>
    <row r="1442" spans="1:5" x14ac:dyDescent="0.25">
      <c r="A1442" s="2" t="s">
        <v>38</v>
      </c>
      <c r="B1442" s="6">
        <v>44798</v>
      </c>
      <c r="C1442" s="2" t="s">
        <v>16</v>
      </c>
      <c r="D1442" s="8">
        <v>-50</v>
      </c>
      <c r="E1442" s="8">
        <f>E1441+(0-50)</f>
        <v>12692379.389999913</v>
      </c>
    </row>
    <row r="1443" spans="1:5" x14ac:dyDescent="0.25">
      <c r="A1443" s="2" t="s">
        <v>38</v>
      </c>
      <c r="B1443" s="6">
        <v>44799</v>
      </c>
      <c r="C1443" s="2" t="s">
        <v>16</v>
      </c>
      <c r="D1443" s="8">
        <v>-300</v>
      </c>
      <c r="E1443" s="8">
        <f>E1442+(0-300)</f>
        <v>12692079.389999913</v>
      </c>
    </row>
    <row r="1444" spans="1:5" x14ac:dyDescent="0.25">
      <c r="A1444" s="2" t="s">
        <v>38</v>
      </c>
      <c r="B1444" s="6">
        <v>44802</v>
      </c>
      <c r="C1444" s="2" t="s">
        <v>53</v>
      </c>
      <c r="D1444" s="8">
        <v>-10.75</v>
      </c>
      <c r="E1444" s="8">
        <f>E1443+(0-10.75)</f>
        <v>12692068.639999913</v>
      </c>
    </row>
    <row r="1445" spans="1:5" x14ac:dyDescent="0.25">
      <c r="A1445" s="2" t="s">
        <v>38</v>
      </c>
      <c r="B1445" s="6">
        <v>44802</v>
      </c>
      <c r="C1445" s="2" t="s">
        <v>53</v>
      </c>
      <c r="D1445" s="8">
        <v>-53.75</v>
      </c>
      <c r="E1445" s="8">
        <f>E1444+(0-53.75)</f>
        <v>12692014.889999913</v>
      </c>
    </row>
    <row r="1446" spans="1:5" x14ac:dyDescent="0.25">
      <c r="A1446" s="2" t="s">
        <v>38</v>
      </c>
      <c r="B1446" s="6">
        <v>44802</v>
      </c>
      <c r="C1446" s="2" t="s">
        <v>19</v>
      </c>
      <c r="D1446" s="8">
        <v>-116</v>
      </c>
      <c r="E1446" s="8">
        <f>E1445+(0-116)</f>
        <v>12691898.889999913</v>
      </c>
    </row>
    <row r="1447" spans="1:5" x14ac:dyDescent="0.25">
      <c r="A1447" s="2" t="s">
        <v>38</v>
      </c>
      <c r="B1447" s="6">
        <v>44802</v>
      </c>
      <c r="C1447" s="2" t="s">
        <v>19</v>
      </c>
      <c r="D1447" s="8">
        <v>-40</v>
      </c>
      <c r="E1447" s="8">
        <f>E1446+(0-40)</f>
        <v>12691858.889999913</v>
      </c>
    </row>
    <row r="1448" spans="1:5" x14ac:dyDescent="0.25">
      <c r="A1448" s="2" t="s">
        <v>38</v>
      </c>
      <c r="B1448" s="6">
        <v>44802</v>
      </c>
      <c r="C1448" s="2" t="s">
        <v>19</v>
      </c>
      <c r="D1448" s="8">
        <v>-32</v>
      </c>
      <c r="E1448" s="8">
        <f>E1447+(0-32)</f>
        <v>12691826.889999913</v>
      </c>
    </row>
    <row r="1449" spans="1:5" x14ac:dyDescent="0.25">
      <c r="A1449" s="2" t="s">
        <v>38</v>
      </c>
      <c r="B1449" s="6">
        <v>44802</v>
      </c>
      <c r="C1449" s="2" t="s">
        <v>19</v>
      </c>
      <c r="D1449" s="8">
        <v>-8</v>
      </c>
      <c r="E1449" s="8">
        <f>E1448+(0-8)</f>
        <v>12691818.889999913</v>
      </c>
    </row>
    <row r="1450" spans="1:5" x14ac:dyDescent="0.25">
      <c r="A1450" s="2" t="s">
        <v>38</v>
      </c>
      <c r="B1450" s="6">
        <v>44802</v>
      </c>
      <c r="C1450" s="2" t="s">
        <v>53</v>
      </c>
      <c r="D1450" s="8">
        <v>-53.75</v>
      </c>
      <c r="E1450" s="8">
        <f>E1449+(0-53.75)</f>
        <v>12691765.139999913</v>
      </c>
    </row>
    <row r="1451" spans="1:5" x14ac:dyDescent="0.25">
      <c r="A1451" s="2" t="s">
        <v>38</v>
      </c>
      <c r="B1451" s="6">
        <v>44802</v>
      </c>
      <c r="C1451" s="2" t="s">
        <v>53</v>
      </c>
      <c r="D1451" s="8">
        <v>-26.88</v>
      </c>
      <c r="E1451" s="8">
        <f>E1450+(0-26.88)</f>
        <v>12691738.259999912</v>
      </c>
    </row>
    <row r="1452" spans="1:5" x14ac:dyDescent="0.25">
      <c r="A1452" s="2" t="s">
        <v>38</v>
      </c>
      <c r="B1452" s="6">
        <v>44802</v>
      </c>
      <c r="C1452" s="2" t="s">
        <v>53</v>
      </c>
      <c r="D1452" s="8">
        <v>-53.75</v>
      </c>
      <c r="E1452" s="8">
        <f>E1451+(0-53.75)</f>
        <v>12691684.509999912</v>
      </c>
    </row>
    <row r="1453" spans="1:5" x14ac:dyDescent="0.25">
      <c r="A1453" s="2" t="s">
        <v>38</v>
      </c>
      <c r="B1453" s="6">
        <v>44802</v>
      </c>
      <c r="C1453" s="2" t="s">
        <v>53</v>
      </c>
      <c r="D1453" s="8">
        <v>-26.88</v>
      </c>
      <c r="E1453" s="8">
        <f>E1452+(0-26.88)</f>
        <v>12691657.629999911</v>
      </c>
    </row>
    <row r="1454" spans="1:5" x14ac:dyDescent="0.25">
      <c r="A1454" s="2" t="s">
        <v>38</v>
      </c>
      <c r="B1454" s="6">
        <v>44802</v>
      </c>
      <c r="C1454" s="2" t="s">
        <v>53</v>
      </c>
      <c r="D1454" s="8">
        <v>-26.88</v>
      </c>
      <c r="E1454" s="8">
        <f>E1453+(0-26.88)</f>
        <v>12691630.749999911</v>
      </c>
    </row>
    <row r="1455" spans="1:5" x14ac:dyDescent="0.25">
      <c r="A1455" s="2" t="s">
        <v>38</v>
      </c>
      <c r="B1455" s="6">
        <v>44802</v>
      </c>
      <c r="C1455" s="2" t="s">
        <v>53</v>
      </c>
      <c r="D1455" s="8">
        <v>-53.75</v>
      </c>
      <c r="E1455" s="8">
        <f>E1454+(0-53.75)</f>
        <v>12691576.999999911</v>
      </c>
    </row>
    <row r="1456" spans="1:5" x14ac:dyDescent="0.25">
      <c r="A1456" s="2" t="s">
        <v>38</v>
      </c>
      <c r="B1456" s="6">
        <v>44802</v>
      </c>
      <c r="C1456" s="2" t="s">
        <v>16</v>
      </c>
      <c r="D1456" s="8">
        <v>-400</v>
      </c>
      <c r="E1456" s="8">
        <f>E1455+(0-400)</f>
        <v>12691176.999999911</v>
      </c>
    </row>
    <row r="1457" spans="1:5" x14ac:dyDescent="0.25">
      <c r="A1457" s="2" t="s">
        <v>38</v>
      </c>
      <c r="B1457" s="6">
        <v>44802</v>
      </c>
      <c r="C1457" s="2" t="s">
        <v>16</v>
      </c>
      <c r="D1457" s="8">
        <v>-50</v>
      </c>
      <c r="E1457" s="8">
        <f>E1456+(0-50)</f>
        <v>12691126.999999911</v>
      </c>
    </row>
    <row r="1458" spans="1:5" x14ac:dyDescent="0.25">
      <c r="A1458" s="2" t="s">
        <v>38</v>
      </c>
      <c r="B1458" s="6">
        <v>44803</v>
      </c>
      <c r="C1458" s="2" t="s">
        <v>53</v>
      </c>
      <c r="D1458" s="8">
        <v>-53.75</v>
      </c>
      <c r="E1458" s="8">
        <f>E1457+(0-53.75)</f>
        <v>12691073.249999911</v>
      </c>
    </row>
    <row r="1459" spans="1:5" x14ac:dyDescent="0.25">
      <c r="A1459" s="2" t="s">
        <v>38</v>
      </c>
      <c r="B1459" s="6">
        <v>44803</v>
      </c>
      <c r="C1459" s="2" t="s">
        <v>16</v>
      </c>
      <c r="D1459" s="8">
        <v>-200</v>
      </c>
      <c r="E1459" s="8">
        <f>E1458+(0-200)</f>
        <v>12690873.249999911</v>
      </c>
    </row>
    <row r="1460" spans="1:5" x14ac:dyDescent="0.25">
      <c r="A1460" s="2" t="s">
        <v>38</v>
      </c>
      <c r="B1460" s="6">
        <v>44804</v>
      </c>
      <c r="C1460" s="2" t="s">
        <v>174</v>
      </c>
      <c r="D1460" s="8">
        <v>-53.75</v>
      </c>
      <c r="E1460" s="8">
        <f>E1459+(0-53.75)</f>
        <v>12690819.499999911</v>
      </c>
    </row>
    <row r="1461" spans="1:5" x14ac:dyDescent="0.25">
      <c r="A1461" s="2" t="s">
        <v>38</v>
      </c>
      <c r="B1461" s="6">
        <v>44804</v>
      </c>
      <c r="C1461" s="2" t="s">
        <v>16</v>
      </c>
      <c r="D1461" s="8">
        <v>-250</v>
      </c>
      <c r="E1461" s="8">
        <f>E1460+(0-250)</f>
        <v>12690569.499999911</v>
      </c>
    </row>
    <row r="1462" spans="1:5" x14ac:dyDescent="0.25">
      <c r="A1462" s="2" t="s">
        <v>38</v>
      </c>
      <c r="B1462" s="6">
        <v>44804</v>
      </c>
      <c r="C1462" s="2" t="s">
        <v>16</v>
      </c>
      <c r="D1462" s="8">
        <v>-50</v>
      </c>
      <c r="E1462" s="8">
        <f>E1461+(0-50)</f>
        <v>12690519.499999911</v>
      </c>
    </row>
    <row r="1463" spans="1:5" x14ac:dyDescent="0.25">
      <c r="A1463" s="2" t="s">
        <v>38</v>
      </c>
      <c r="B1463" s="6">
        <v>44805</v>
      </c>
      <c r="C1463" s="2" t="s">
        <v>16</v>
      </c>
      <c r="D1463" s="8">
        <v>-100</v>
      </c>
      <c r="E1463" s="8">
        <f>E1462+(0-100)</f>
        <v>12690419.499999911</v>
      </c>
    </row>
    <row r="1464" spans="1:5" x14ac:dyDescent="0.25">
      <c r="A1464" s="2" t="s">
        <v>38</v>
      </c>
      <c r="B1464" s="6">
        <v>44806</v>
      </c>
      <c r="C1464" s="2" t="s">
        <v>16</v>
      </c>
      <c r="D1464" s="8">
        <v>-200</v>
      </c>
      <c r="E1464" s="8">
        <f>E1463+(0-200)</f>
        <v>12690219.499999911</v>
      </c>
    </row>
    <row r="1465" spans="1:5" x14ac:dyDescent="0.25">
      <c r="A1465" s="2" t="s">
        <v>38</v>
      </c>
      <c r="B1465" s="6">
        <v>44806</v>
      </c>
      <c r="C1465" s="2" t="s">
        <v>16</v>
      </c>
      <c r="D1465" s="8">
        <v>-50</v>
      </c>
      <c r="E1465" s="8">
        <f>E1464+(0-50)</f>
        <v>12690169.499999911</v>
      </c>
    </row>
    <row r="1466" spans="1:5" x14ac:dyDescent="0.25">
      <c r="A1466" s="2" t="s">
        <v>38</v>
      </c>
      <c r="B1466" s="6">
        <v>44809</v>
      </c>
      <c r="C1466" s="2" t="s">
        <v>16</v>
      </c>
      <c r="D1466" s="8">
        <v>-50</v>
      </c>
      <c r="E1466" s="8">
        <f>E1465+(0-50)</f>
        <v>12690119.499999911</v>
      </c>
    </row>
    <row r="1467" spans="1:5" x14ac:dyDescent="0.25">
      <c r="A1467" s="2" t="s">
        <v>38</v>
      </c>
      <c r="B1467" s="6">
        <v>44809</v>
      </c>
      <c r="C1467" s="2" t="s">
        <v>16</v>
      </c>
      <c r="D1467" s="8">
        <v>-50</v>
      </c>
      <c r="E1467" s="8">
        <f>E1466+(0-50)</f>
        <v>12690069.499999911</v>
      </c>
    </row>
    <row r="1468" spans="1:5" x14ac:dyDescent="0.25">
      <c r="A1468" s="2" t="s">
        <v>38</v>
      </c>
      <c r="B1468" s="6">
        <v>44809</v>
      </c>
      <c r="C1468" s="2" t="s">
        <v>16</v>
      </c>
      <c r="D1468" s="8">
        <v>-150</v>
      </c>
      <c r="E1468" s="8">
        <f>E1467+(0-150)</f>
        <v>12689919.499999911</v>
      </c>
    </row>
    <row r="1469" spans="1:5" x14ac:dyDescent="0.25">
      <c r="A1469" s="2" t="s">
        <v>38</v>
      </c>
      <c r="B1469" s="6">
        <v>44810</v>
      </c>
      <c r="C1469" s="2" t="s">
        <v>16</v>
      </c>
      <c r="D1469" s="8">
        <v>-450</v>
      </c>
      <c r="E1469" s="8">
        <f>E1468+(0-450)</f>
        <v>12689469.499999911</v>
      </c>
    </row>
    <row r="1470" spans="1:5" x14ac:dyDescent="0.25">
      <c r="A1470" s="2" t="s">
        <v>38</v>
      </c>
      <c r="B1470" s="6">
        <v>44810</v>
      </c>
      <c r="C1470" s="2" t="s">
        <v>16</v>
      </c>
      <c r="D1470" s="8">
        <v>-50</v>
      </c>
      <c r="E1470" s="8">
        <f>E1469+(0-50)</f>
        <v>12689419.499999911</v>
      </c>
    </row>
    <row r="1471" spans="1:5" x14ac:dyDescent="0.25">
      <c r="A1471" s="2" t="s">
        <v>38</v>
      </c>
      <c r="B1471" s="6">
        <v>44811</v>
      </c>
      <c r="C1471" s="2" t="s">
        <v>16</v>
      </c>
      <c r="D1471" s="8">
        <v>-50</v>
      </c>
      <c r="E1471" s="8">
        <f>E1470+(0-50)</f>
        <v>12689369.499999911</v>
      </c>
    </row>
    <row r="1472" spans="1:5" x14ac:dyDescent="0.25">
      <c r="A1472" s="2" t="s">
        <v>38</v>
      </c>
      <c r="B1472" s="6">
        <v>44811</v>
      </c>
      <c r="C1472" s="2" t="s">
        <v>16</v>
      </c>
      <c r="D1472" s="8">
        <v>-250</v>
      </c>
      <c r="E1472" s="8">
        <f>E1471+(0-250)</f>
        <v>12689119.499999911</v>
      </c>
    </row>
    <row r="1473" spans="1:5" x14ac:dyDescent="0.25">
      <c r="A1473" s="2" t="s">
        <v>38</v>
      </c>
      <c r="B1473" s="6">
        <v>44812</v>
      </c>
      <c r="C1473" s="2" t="s">
        <v>174</v>
      </c>
      <c r="D1473" s="8">
        <v>-53.75</v>
      </c>
      <c r="E1473" s="8">
        <f>E1472+(0-53.75)</f>
        <v>12689065.749999911</v>
      </c>
    </row>
    <row r="1474" spans="1:5" x14ac:dyDescent="0.25">
      <c r="A1474" s="2" t="s">
        <v>38</v>
      </c>
      <c r="B1474" s="6">
        <v>44812</v>
      </c>
      <c r="C1474" s="2" t="s">
        <v>174</v>
      </c>
      <c r="D1474" s="8">
        <v>-53.75</v>
      </c>
      <c r="E1474" s="8">
        <f>E1473+(0-53.75)</f>
        <v>12689011.999999911</v>
      </c>
    </row>
    <row r="1475" spans="1:5" x14ac:dyDescent="0.25">
      <c r="A1475" s="2" t="s">
        <v>38</v>
      </c>
      <c r="B1475" s="6">
        <v>44812</v>
      </c>
      <c r="C1475" s="2" t="s">
        <v>16</v>
      </c>
      <c r="D1475" s="8">
        <v>-50</v>
      </c>
      <c r="E1475" s="8">
        <f>E1474+(0-50)</f>
        <v>12688961.999999911</v>
      </c>
    </row>
    <row r="1476" spans="1:5" x14ac:dyDescent="0.25">
      <c r="A1476" s="2" t="s">
        <v>38</v>
      </c>
      <c r="B1476" s="6">
        <v>44812</v>
      </c>
      <c r="C1476" s="2" t="s">
        <v>16</v>
      </c>
      <c r="D1476" s="8">
        <v>-450</v>
      </c>
      <c r="E1476" s="8">
        <f>E1475+(0-450)</f>
        <v>12688511.999999911</v>
      </c>
    </row>
    <row r="1477" spans="1:5" x14ac:dyDescent="0.25">
      <c r="A1477" s="2" t="s">
        <v>38</v>
      </c>
      <c r="B1477" s="6">
        <v>44813</v>
      </c>
      <c r="C1477" s="2" t="s">
        <v>174</v>
      </c>
      <c r="D1477" s="8">
        <v>-53.75</v>
      </c>
      <c r="E1477" s="8">
        <f>E1476+(0-53.75)</f>
        <v>12688458.249999911</v>
      </c>
    </row>
    <row r="1478" spans="1:5" x14ac:dyDescent="0.25">
      <c r="A1478" s="2" t="s">
        <v>38</v>
      </c>
      <c r="B1478" s="6">
        <v>44813</v>
      </c>
      <c r="C1478" s="2" t="s">
        <v>16</v>
      </c>
      <c r="D1478" s="8">
        <v>-50</v>
      </c>
      <c r="E1478" s="8">
        <f>E1477+(0-50)</f>
        <v>12688408.249999911</v>
      </c>
    </row>
    <row r="1479" spans="1:5" x14ac:dyDescent="0.25">
      <c r="A1479" s="2" t="s">
        <v>38</v>
      </c>
      <c r="B1479" s="6">
        <v>44813</v>
      </c>
      <c r="C1479" s="2" t="s">
        <v>16</v>
      </c>
      <c r="D1479" s="8">
        <v>-300</v>
      </c>
      <c r="E1479" s="8">
        <f>E1478+(0-300)</f>
        <v>12688108.249999911</v>
      </c>
    </row>
    <row r="1480" spans="1:5" x14ac:dyDescent="0.25">
      <c r="A1480" s="2" t="s">
        <v>38</v>
      </c>
      <c r="B1480" s="6">
        <v>44813</v>
      </c>
      <c r="C1480" s="2" t="s">
        <v>16</v>
      </c>
      <c r="D1480" s="8">
        <v>-50</v>
      </c>
      <c r="E1480" s="8">
        <f>E1479+(0-50)</f>
        <v>12688058.249999911</v>
      </c>
    </row>
    <row r="1481" spans="1:5" x14ac:dyDescent="0.25">
      <c r="A1481" s="2" t="s">
        <v>38</v>
      </c>
      <c r="B1481" s="6">
        <v>44816</v>
      </c>
      <c r="C1481" s="2" t="s">
        <v>184</v>
      </c>
      <c r="D1481" s="8">
        <v>-53.75</v>
      </c>
      <c r="E1481" s="8">
        <f>E1480+(0-53.75)</f>
        <v>12688004.499999911</v>
      </c>
    </row>
    <row r="1482" spans="1:5" x14ac:dyDescent="0.25">
      <c r="A1482" s="2" t="s">
        <v>38</v>
      </c>
      <c r="B1482" s="6">
        <v>44816</v>
      </c>
      <c r="C1482" s="2" t="s">
        <v>16</v>
      </c>
      <c r="D1482" s="8">
        <v>-50</v>
      </c>
      <c r="E1482" s="8">
        <f>E1481+(0-50)</f>
        <v>12687954.499999911</v>
      </c>
    </row>
    <row r="1483" spans="1:5" x14ac:dyDescent="0.25">
      <c r="A1483" s="2" t="s">
        <v>38</v>
      </c>
      <c r="B1483" s="6">
        <v>44816</v>
      </c>
      <c r="C1483" s="2" t="s">
        <v>16</v>
      </c>
      <c r="D1483" s="8">
        <v>-500</v>
      </c>
      <c r="E1483" s="8">
        <f>E1482+(0-500)</f>
        <v>12687454.499999911</v>
      </c>
    </row>
    <row r="1484" spans="1:5" x14ac:dyDescent="0.25">
      <c r="A1484" s="2" t="s">
        <v>38</v>
      </c>
      <c r="B1484" s="6">
        <v>44816</v>
      </c>
      <c r="C1484" s="2" t="s">
        <v>16</v>
      </c>
      <c r="D1484" s="8">
        <v>-50</v>
      </c>
      <c r="E1484" s="8">
        <f>E1483+(0-50)</f>
        <v>12687404.499999911</v>
      </c>
    </row>
    <row r="1485" spans="1:5" x14ac:dyDescent="0.25">
      <c r="A1485" s="2" t="s">
        <v>38</v>
      </c>
      <c r="B1485" s="6">
        <v>44816</v>
      </c>
      <c r="C1485" s="2" t="s">
        <v>16</v>
      </c>
      <c r="D1485" s="8">
        <v>-50</v>
      </c>
      <c r="E1485" s="8">
        <f>E1484+(0-50)</f>
        <v>12687354.499999911</v>
      </c>
    </row>
    <row r="1486" spans="1:5" x14ac:dyDescent="0.25">
      <c r="A1486" s="2" t="s">
        <v>38</v>
      </c>
      <c r="B1486" s="6">
        <v>44816</v>
      </c>
      <c r="C1486" s="2" t="s">
        <v>16</v>
      </c>
      <c r="D1486" s="8">
        <v>-50</v>
      </c>
      <c r="E1486" s="8">
        <f>E1485+(0-50)</f>
        <v>12687304.499999911</v>
      </c>
    </row>
    <row r="1487" spans="1:5" x14ac:dyDescent="0.25">
      <c r="A1487" s="2" t="s">
        <v>38</v>
      </c>
      <c r="B1487" s="6">
        <v>44817</v>
      </c>
      <c r="C1487" s="2" t="s">
        <v>16</v>
      </c>
      <c r="D1487" s="8">
        <v>-50</v>
      </c>
      <c r="E1487" s="8">
        <f>E1486+(0-50)</f>
        <v>12687254.499999911</v>
      </c>
    </row>
    <row r="1488" spans="1:5" x14ac:dyDescent="0.25">
      <c r="A1488" s="2" t="s">
        <v>38</v>
      </c>
      <c r="B1488" s="6">
        <v>44817</v>
      </c>
      <c r="C1488" s="2" t="s">
        <v>16</v>
      </c>
      <c r="D1488" s="8">
        <v>-350</v>
      </c>
      <c r="E1488" s="8">
        <f>E1487+(0-350)</f>
        <v>12686904.499999911</v>
      </c>
    </row>
    <row r="1489" spans="1:5" x14ac:dyDescent="0.25">
      <c r="A1489" s="2" t="s">
        <v>38</v>
      </c>
      <c r="B1489" s="6">
        <v>44817</v>
      </c>
      <c r="C1489" s="2" t="s">
        <v>16</v>
      </c>
      <c r="D1489" s="8">
        <v>-50</v>
      </c>
      <c r="E1489" s="8">
        <f>E1488+(0-50)</f>
        <v>12686854.499999911</v>
      </c>
    </row>
    <row r="1490" spans="1:5" x14ac:dyDescent="0.25">
      <c r="A1490" s="2" t="s">
        <v>38</v>
      </c>
      <c r="B1490" s="6">
        <v>44818</v>
      </c>
      <c r="C1490" s="2" t="s">
        <v>16</v>
      </c>
      <c r="D1490" s="8">
        <v>-50</v>
      </c>
      <c r="E1490" s="8">
        <f>E1489+(0-50)</f>
        <v>12686804.499999911</v>
      </c>
    </row>
    <row r="1491" spans="1:5" x14ac:dyDescent="0.25">
      <c r="A1491" s="2" t="s">
        <v>38</v>
      </c>
      <c r="B1491" s="6">
        <v>44818</v>
      </c>
      <c r="C1491" s="2" t="s">
        <v>174</v>
      </c>
      <c r="D1491" s="8">
        <v>-26.88</v>
      </c>
      <c r="E1491" s="8">
        <f>E1490+(0-26.88)</f>
        <v>12686777.61999991</v>
      </c>
    </row>
    <row r="1492" spans="1:5" x14ac:dyDescent="0.25">
      <c r="A1492" s="2" t="s">
        <v>38</v>
      </c>
      <c r="B1492" s="6">
        <v>44818</v>
      </c>
      <c r="C1492" s="2" t="s">
        <v>174</v>
      </c>
      <c r="D1492" s="8">
        <v>-10.75</v>
      </c>
      <c r="E1492" s="8">
        <f>E1491+(0-10.75)</f>
        <v>12686766.86999991</v>
      </c>
    </row>
    <row r="1493" spans="1:5" x14ac:dyDescent="0.25">
      <c r="A1493" s="2" t="s">
        <v>38</v>
      </c>
      <c r="B1493" s="6">
        <v>44818</v>
      </c>
      <c r="C1493" s="2" t="s">
        <v>185</v>
      </c>
      <c r="D1493" s="8">
        <v>-200</v>
      </c>
      <c r="E1493" s="8">
        <f>E1492+(0-200)</f>
        <v>12686566.86999991</v>
      </c>
    </row>
    <row r="1494" spans="1:5" x14ac:dyDescent="0.25">
      <c r="A1494" s="2" t="s">
        <v>38</v>
      </c>
      <c r="B1494" s="6">
        <v>44819</v>
      </c>
      <c r="C1494" s="2" t="s">
        <v>174</v>
      </c>
      <c r="D1494" s="8">
        <v>-53.75</v>
      </c>
      <c r="E1494" s="8">
        <f>E1493+(0-53.75)</f>
        <v>12686513.11999991</v>
      </c>
    </row>
    <row r="1495" spans="1:5" x14ac:dyDescent="0.25">
      <c r="A1495" s="2" t="s">
        <v>38</v>
      </c>
      <c r="B1495" s="6">
        <v>44819</v>
      </c>
      <c r="C1495" s="2" t="s">
        <v>16</v>
      </c>
      <c r="D1495" s="8">
        <v>-50</v>
      </c>
      <c r="E1495" s="8">
        <f>E1494+(0-50)</f>
        <v>12686463.11999991</v>
      </c>
    </row>
    <row r="1496" spans="1:5" x14ac:dyDescent="0.25">
      <c r="A1496" s="2" t="s">
        <v>38</v>
      </c>
      <c r="B1496" s="6">
        <v>44819</v>
      </c>
      <c r="C1496" s="2" t="s">
        <v>16</v>
      </c>
      <c r="D1496" s="8">
        <v>-350</v>
      </c>
      <c r="E1496" s="8">
        <f>E1495+(0-350)</f>
        <v>12686113.11999991</v>
      </c>
    </row>
    <row r="1497" spans="1:5" x14ac:dyDescent="0.25">
      <c r="A1497" s="2" t="s">
        <v>38</v>
      </c>
      <c r="B1497" s="6">
        <v>44819</v>
      </c>
      <c r="C1497" s="2" t="s">
        <v>174</v>
      </c>
      <c r="D1497" s="8">
        <v>-26.88</v>
      </c>
      <c r="E1497" s="8">
        <f>E1496+(0-26.88)</f>
        <v>12686086.239999909</v>
      </c>
    </row>
    <row r="1498" spans="1:5" x14ac:dyDescent="0.25">
      <c r="A1498" s="2" t="s">
        <v>38</v>
      </c>
      <c r="B1498" s="6">
        <v>44820</v>
      </c>
      <c r="C1498" s="2" t="s">
        <v>16</v>
      </c>
      <c r="D1498" s="8">
        <v>-50</v>
      </c>
      <c r="E1498" s="8">
        <f>E1497+(0-50)</f>
        <v>12686036.239999909</v>
      </c>
    </row>
    <row r="1499" spans="1:5" x14ac:dyDescent="0.25">
      <c r="A1499" s="2" t="s">
        <v>38</v>
      </c>
      <c r="B1499" s="6">
        <v>44820</v>
      </c>
      <c r="C1499" s="2" t="s">
        <v>53</v>
      </c>
      <c r="D1499" s="8">
        <v>-500</v>
      </c>
      <c r="E1499" s="8">
        <f>E1498+(0-500)</f>
        <v>12685536.239999909</v>
      </c>
    </row>
    <row r="1500" spans="1:5" x14ac:dyDescent="0.25">
      <c r="A1500" s="2" t="s">
        <v>38</v>
      </c>
      <c r="B1500" s="6">
        <v>44820</v>
      </c>
      <c r="C1500" s="2" t="s">
        <v>16</v>
      </c>
      <c r="D1500" s="8">
        <v>-200</v>
      </c>
      <c r="E1500" s="8">
        <f>E1499+(0-200)</f>
        <v>12685336.239999909</v>
      </c>
    </row>
    <row r="1501" spans="1:5" x14ac:dyDescent="0.25">
      <c r="A1501" s="2" t="s">
        <v>38</v>
      </c>
      <c r="B1501" s="6">
        <v>44823</v>
      </c>
      <c r="C1501" s="2" t="s">
        <v>16</v>
      </c>
      <c r="D1501" s="8">
        <v>-50</v>
      </c>
      <c r="E1501" s="8">
        <f>E1500+(0-50)</f>
        <v>12685286.239999909</v>
      </c>
    </row>
    <row r="1502" spans="1:5" x14ac:dyDescent="0.25">
      <c r="A1502" s="2" t="s">
        <v>38</v>
      </c>
      <c r="B1502" s="6">
        <v>44823</v>
      </c>
      <c r="C1502" s="2" t="s">
        <v>16</v>
      </c>
      <c r="D1502" s="8">
        <v>-50</v>
      </c>
      <c r="E1502" s="8">
        <f>E1501+(0-50)</f>
        <v>12685236.239999909</v>
      </c>
    </row>
    <row r="1503" spans="1:5" x14ac:dyDescent="0.25">
      <c r="A1503" s="2" t="s">
        <v>38</v>
      </c>
      <c r="B1503" s="6">
        <v>44823</v>
      </c>
      <c r="C1503" s="2" t="s">
        <v>16</v>
      </c>
      <c r="D1503" s="8">
        <v>-450</v>
      </c>
      <c r="E1503" s="8">
        <f>E1502+(0-450)</f>
        <v>12684786.239999909</v>
      </c>
    </row>
    <row r="1504" spans="1:5" x14ac:dyDescent="0.25">
      <c r="A1504" s="2" t="s">
        <v>38</v>
      </c>
      <c r="B1504" s="6">
        <v>44823</v>
      </c>
      <c r="C1504" s="2" t="s">
        <v>16</v>
      </c>
      <c r="D1504" s="8">
        <v>-50</v>
      </c>
      <c r="E1504" s="8">
        <f>E1503+(0-50)</f>
        <v>12684736.239999909</v>
      </c>
    </row>
    <row r="1505" spans="1:5" x14ac:dyDescent="0.25">
      <c r="A1505" s="2" t="s">
        <v>38</v>
      </c>
      <c r="B1505" s="6">
        <v>44824</v>
      </c>
      <c r="C1505" s="2" t="s">
        <v>174</v>
      </c>
      <c r="D1505" s="8">
        <v>-53.75</v>
      </c>
      <c r="E1505" s="8">
        <f>E1504+(0-53.75)</f>
        <v>12684682.489999909</v>
      </c>
    </row>
    <row r="1506" spans="1:5" x14ac:dyDescent="0.25">
      <c r="A1506" s="2" t="s">
        <v>38</v>
      </c>
      <c r="B1506" s="6">
        <v>44824</v>
      </c>
      <c r="C1506" s="2" t="s">
        <v>16</v>
      </c>
      <c r="D1506" s="8">
        <v>-50</v>
      </c>
      <c r="E1506" s="8">
        <f>E1505+(0-50)</f>
        <v>12684632.489999909</v>
      </c>
    </row>
    <row r="1507" spans="1:5" x14ac:dyDescent="0.25">
      <c r="A1507" s="2" t="s">
        <v>38</v>
      </c>
      <c r="B1507" s="6">
        <v>44824</v>
      </c>
      <c r="C1507" s="2" t="s">
        <v>16</v>
      </c>
      <c r="D1507" s="8">
        <v>-300</v>
      </c>
      <c r="E1507" s="8">
        <f>E1506+(0-300)</f>
        <v>12684332.489999909</v>
      </c>
    </row>
    <row r="1508" spans="1:5" x14ac:dyDescent="0.25">
      <c r="A1508" s="2" t="s">
        <v>38</v>
      </c>
      <c r="B1508" s="6">
        <v>44825</v>
      </c>
      <c r="C1508" s="2" t="s">
        <v>16</v>
      </c>
      <c r="D1508" s="8">
        <v>-50</v>
      </c>
      <c r="E1508" s="8">
        <f>E1507+(0-50)</f>
        <v>12684282.489999909</v>
      </c>
    </row>
    <row r="1509" spans="1:5" x14ac:dyDescent="0.25">
      <c r="A1509" s="2" t="s">
        <v>38</v>
      </c>
      <c r="B1509" s="6">
        <v>44825</v>
      </c>
      <c r="C1509" s="2" t="s">
        <v>16</v>
      </c>
      <c r="D1509" s="8">
        <v>-400</v>
      </c>
      <c r="E1509" s="8">
        <f>E1508+(0-400)</f>
        <v>12683882.489999909</v>
      </c>
    </row>
    <row r="1510" spans="1:5" x14ac:dyDescent="0.25">
      <c r="A1510" s="2" t="s">
        <v>38</v>
      </c>
      <c r="B1510" s="6">
        <v>44825</v>
      </c>
      <c r="C1510" s="2" t="s">
        <v>174</v>
      </c>
      <c r="D1510" s="8">
        <v>-53.75</v>
      </c>
      <c r="E1510" s="8">
        <f>E1509+(0-53.75)</f>
        <v>12683828.739999909</v>
      </c>
    </row>
    <row r="1511" spans="1:5" x14ac:dyDescent="0.25">
      <c r="A1511" s="2" t="s">
        <v>38</v>
      </c>
      <c r="B1511" s="6">
        <v>44826</v>
      </c>
      <c r="C1511" s="2" t="s">
        <v>174</v>
      </c>
      <c r="D1511" s="8">
        <v>-26.88</v>
      </c>
      <c r="E1511" s="8">
        <f>E1510+(0-26.88)</f>
        <v>12683801.859999908</v>
      </c>
    </row>
    <row r="1512" spans="1:5" x14ac:dyDescent="0.25">
      <c r="A1512" s="2" t="s">
        <v>38</v>
      </c>
      <c r="B1512" s="6">
        <v>44826</v>
      </c>
      <c r="C1512" s="2" t="s">
        <v>16</v>
      </c>
      <c r="D1512" s="8">
        <v>-50</v>
      </c>
      <c r="E1512" s="8">
        <f>E1511+(0-50)</f>
        <v>12683751.859999908</v>
      </c>
    </row>
    <row r="1513" spans="1:5" x14ac:dyDescent="0.25">
      <c r="A1513" s="2" t="s">
        <v>38</v>
      </c>
      <c r="B1513" s="6">
        <v>44826</v>
      </c>
      <c r="C1513" s="2" t="s">
        <v>16</v>
      </c>
      <c r="D1513" s="8">
        <v>-250</v>
      </c>
      <c r="E1513" s="8">
        <f>E1512+(0-250)</f>
        <v>12683501.859999908</v>
      </c>
    </row>
    <row r="1514" spans="1:5" x14ac:dyDescent="0.25">
      <c r="A1514" s="2" t="s">
        <v>38</v>
      </c>
      <c r="B1514" s="6">
        <v>44826</v>
      </c>
      <c r="C1514" s="2" t="s">
        <v>16</v>
      </c>
      <c r="D1514" s="8">
        <v>-50</v>
      </c>
      <c r="E1514" s="8">
        <f>E1513+(0-50)</f>
        <v>12683451.859999908</v>
      </c>
    </row>
    <row r="1515" spans="1:5" x14ac:dyDescent="0.25">
      <c r="A1515" s="2" t="s">
        <v>38</v>
      </c>
      <c r="B1515" s="6">
        <v>44827</v>
      </c>
      <c r="C1515" s="2" t="s">
        <v>16</v>
      </c>
      <c r="D1515" s="8">
        <v>-50</v>
      </c>
      <c r="E1515" s="8">
        <f>E1514+(0-50)</f>
        <v>12683401.859999908</v>
      </c>
    </row>
    <row r="1516" spans="1:5" x14ac:dyDescent="0.25">
      <c r="A1516" s="2" t="s">
        <v>38</v>
      </c>
      <c r="B1516" s="6">
        <v>44827</v>
      </c>
      <c r="C1516" s="2" t="s">
        <v>53</v>
      </c>
      <c r="D1516" s="8">
        <v>-53.75</v>
      </c>
      <c r="E1516" s="8">
        <f>E1515+(0-53.75)</f>
        <v>12683348.109999908</v>
      </c>
    </row>
    <row r="1517" spans="1:5" x14ac:dyDescent="0.25">
      <c r="A1517" s="2" t="s">
        <v>38</v>
      </c>
      <c r="B1517" s="6">
        <v>44827</v>
      </c>
      <c r="C1517" s="2" t="s">
        <v>53</v>
      </c>
      <c r="D1517" s="8">
        <v>-26.88</v>
      </c>
      <c r="E1517" s="8">
        <f>E1516+(0-26.88)</f>
        <v>12683321.229999907</v>
      </c>
    </row>
    <row r="1518" spans="1:5" x14ac:dyDescent="0.25">
      <c r="A1518" s="2" t="s">
        <v>38</v>
      </c>
      <c r="B1518" s="6">
        <v>44827</v>
      </c>
      <c r="C1518" s="2" t="s">
        <v>16</v>
      </c>
      <c r="D1518" s="8">
        <v>-150</v>
      </c>
      <c r="E1518" s="8">
        <f>E1517+(0-150)</f>
        <v>12683171.229999907</v>
      </c>
    </row>
    <row r="1519" spans="1:5" x14ac:dyDescent="0.25">
      <c r="A1519" s="2" t="s">
        <v>38</v>
      </c>
      <c r="B1519" s="6">
        <v>44830</v>
      </c>
      <c r="C1519" s="2" t="s">
        <v>53</v>
      </c>
      <c r="D1519" s="8">
        <v>-53.75</v>
      </c>
      <c r="E1519" s="8">
        <f>E1518+(0-53.75)</f>
        <v>12683117.479999907</v>
      </c>
    </row>
    <row r="1520" spans="1:5" x14ac:dyDescent="0.25">
      <c r="A1520" s="2" t="s">
        <v>38</v>
      </c>
      <c r="B1520" s="6">
        <v>44830</v>
      </c>
      <c r="C1520" s="2" t="s">
        <v>16</v>
      </c>
      <c r="D1520" s="8">
        <v>-50</v>
      </c>
      <c r="E1520" s="8">
        <f>E1519+(0-50)</f>
        <v>12683067.479999907</v>
      </c>
    </row>
    <row r="1521" spans="1:5" x14ac:dyDescent="0.25">
      <c r="A1521" s="2" t="s">
        <v>38</v>
      </c>
      <c r="B1521" s="6">
        <v>44830</v>
      </c>
      <c r="C1521" s="2" t="s">
        <v>16</v>
      </c>
      <c r="D1521" s="8">
        <v>-500</v>
      </c>
      <c r="E1521" s="8">
        <f>E1520+(0-500)</f>
        <v>12682567.479999907</v>
      </c>
    </row>
    <row r="1522" spans="1:5" x14ac:dyDescent="0.25">
      <c r="A1522" s="2" t="s">
        <v>38</v>
      </c>
      <c r="B1522" s="6">
        <v>44831</v>
      </c>
      <c r="C1522" s="2" t="s">
        <v>186</v>
      </c>
      <c r="D1522" s="8">
        <v>-300</v>
      </c>
      <c r="E1522" s="8">
        <f>E1521+(0-300)</f>
        <v>12682267.479999907</v>
      </c>
    </row>
    <row r="1523" spans="1:5" x14ac:dyDescent="0.25">
      <c r="A1523" s="2" t="s">
        <v>38</v>
      </c>
      <c r="B1523" s="6">
        <v>44831</v>
      </c>
      <c r="C1523" s="2" t="s">
        <v>181</v>
      </c>
      <c r="D1523" s="8">
        <v>-22.5</v>
      </c>
      <c r="E1523" s="8">
        <f>E1522+(0-22.5)</f>
        <v>12682244.979999907</v>
      </c>
    </row>
    <row r="1524" spans="1:5" x14ac:dyDescent="0.25">
      <c r="A1524" s="2" t="s">
        <v>38</v>
      </c>
      <c r="B1524" s="6">
        <v>44831</v>
      </c>
      <c r="C1524" s="2" t="s">
        <v>186</v>
      </c>
      <c r="D1524" s="8">
        <v>-300</v>
      </c>
      <c r="E1524" s="8">
        <f>E1523+(0-300)</f>
        <v>12681944.979999907</v>
      </c>
    </row>
    <row r="1525" spans="1:5" x14ac:dyDescent="0.25">
      <c r="A1525" s="2" t="s">
        <v>38</v>
      </c>
      <c r="B1525" s="6">
        <v>44831</v>
      </c>
      <c r="C1525" s="2" t="s">
        <v>181</v>
      </c>
      <c r="D1525" s="8">
        <v>-22.5</v>
      </c>
      <c r="E1525" s="8">
        <f>E1524+(0-22.5)</f>
        <v>12681922.479999907</v>
      </c>
    </row>
    <row r="1526" spans="1:5" x14ac:dyDescent="0.25">
      <c r="A1526" s="2" t="s">
        <v>38</v>
      </c>
      <c r="B1526" s="6">
        <v>44831</v>
      </c>
      <c r="C1526" s="2" t="s">
        <v>186</v>
      </c>
      <c r="D1526" s="8">
        <v>-300</v>
      </c>
      <c r="E1526" s="8">
        <f>E1525+(0-300)</f>
        <v>12681622.479999907</v>
      </c>
    </row>
    <row r="1527" spans="1:5" x14ac:dyDescent="0.25">
      <c r="A1527" s="2" t="s">
        <v>38</v>
      </c>
      <c r="B1527" s="6">
        <v>44831</v>
      </c>
      <c r="C1527" s="2" t="s">
        <v>181</v>
      </c>
      <c r="D1527" s="8">
        <v>-22.5</v>
      </c>
      <c r="E1527" s="8">
        <f>E1526+(0-22.5)</f>
        <v>12681599.979999907</v>
      </c>
    </row>
    <row r="1528" spans="1:5" x14ac:dyDescent="0.25">
      <c r="A1528" s="2" t="s">
        <v>38</v>
      </c>
      <c r="B1528" s="6">
        <v>44831</v>
      </c>
      <c r="C1528" s="2" t="s">
        <v>16</v>
      </c>
      <c r="D1528" s="8">
        <v>-50</v>
      </c>
      <c r="E1528" s="8">
        <f>E1527+(0-50)</f>
        <v>12681549.979999907</v>
      </c>
    </row>
    <row r="1529" spans="1:5" x14ac:dyDescent="0.25">
      <c r="A1529" s="2" t="s">
        <v>38</v>
      </c>
      <c r="B1529" s="6">
        <v>44831</v>
      </c>
      <c r="C1529" s="2" t="s">
        <v>16</v>
      </c>
      <c r="D1529" s="8">
        <v>-100</v>
      </c>
      <c r="E1529" s="8">
        <f>E1528+(0-100)</f>
        <v>12681449.979999907</v>
      </c>
    </row>
    <row r="1530" spans="1:5" x14ac:dyDescent="0.25">
      <c r="A1530" s="2" t="s">
        <v>38</v>
      </c>
      <c r="B1530" s="6">
        <v>44832</v>
      </c>
      <c r="C1530" s="2" t="s">
        <v>53</v>
      </c>
      <c r="D1530" s="8">
        <v>-53.75</v>
      </c>
      <c r="E1530" s="8">
        <f>E1529+(0-53.75)</f>
        <v>12681396.229999907</v>
      </c>
    </row>
    <row r="1531" spans="1:5" x14ac:dyDescent="0.25">
      <c r="A1531" s="2" t="s">
        <v>38</v>
      </c>
      <c r="B1531" s="6">
        <v>44832</v>
      </c>
      <c r="C1531" s="2" t="s">
        <v>53</v>
      </c>
      <c r="D1531" s="8">
        <v>-26.88</v>
      </c>
      <c r="E1531" s="8">
        <f>E1530+(0-26.88)</f>
        <v>12681369.349999906</v>
      </c>
    </row>
    <row r="1532" spans="1:5" x14ac:dyDescent="0.25">
      <c r="A1532" s="2" t="s">
        <v>38</v>
      </c>
      <c r="B1532" s="6">
        <v>44832</v>
      </c>
      <c r="C1532" s="2" t="s">
        <v>53</v>
      </c>
      <c r="D1532" s="8">
        <v>-26.88</v>
      </c>
      <c r="E1532" s="8">
        <f>E1531+(0-26.88)</f>
        <v>12681342.469999906</v>
      </c>
    </row>
    <row r="1533" spans="1:5" x14ac:dyDescent="0.25">
      <c r="A1533" s="2" t="s">
        <v>38</v>
      </c>
      <c r="B1533" s="6">
        <v>44832</v>
      </c>
      <c r="C1533" s="2" t="s">
        <v>53</v>
      </c>
      <c r="D1533" s="8">
        <v>-26.88</v>
      </c>
      <c r="E1533" s="8">
        <f>E1532+(0-26.88)</f>
        <v>12681315.589999905</v>
      </c>
    </row>
    <row r="1534" spans="1:5" x14ac:dyDescent="0.25">
      <c r="A1534" s="2" t="s">
        <v>38</v>
      </c>
      <c r="B1534" s="6">
        <v>44832</v>
      </c>
      <c r="C1534" s="2" t="s">
        <v>16</v>
      </c>
      <c r="D1534" s="8">
        <v>-150</v>
      </c>
      <c r="E1534" s="8">
        <f>E1533+(0-150)</f>
        <v>12681165.589999905</v>
      </c>
    </row>
    <row r="1535" spans="1:5" x14ac:dyDescent="0.25">
      <c r="A1535" s="2" t="s">
        <v>38</v>
      </c>
      <c r="B1535" s="6">
        <v>44833</v>
      </c>
      <c r="C1535" s="2" t="s">
        <v>16</v>
      </c>
      <c r="D1535" s="8">
        <v>-200</v>
      </c>
      <c r="E1535" s="8">
        <f>E1534+(0-200)</f>
        <v>12680965.589999905</v>
      </c>
    </row>
    <row r="1536" spans="1:5" x14ac:dyDescent="0.25">
      <c r="A1536" s="2" t="s">
        <v>38</v>
      </c>
      <c r="B1536" s="6">
        <v>44834</v>
      </c>
      <c r="C1536" s="2" t="s">
        <v>16</v>
      </c>
      <c r="D1536" s="8">
        <v>-200</v>
      </c>
      <c r="E1536" s="8">
        <f>E1535+(0-200)</f>
        <v>12680765.589999905</v>
      </c>
    </row>
    <row r="1537" spans="1:5" x14ac:dyDescent="0.25">
      <c r="A1537" s="2" t="s">
        <v>38</v>
      </c>
      <c r="B1537" s="6">
        <v>44838</v>
      </c>
      <c r="C1537" s="2" t="s">
        <v>53</v>
      </c>
      <c r="D1537" s="8">
        <v>-26.88</v>
      </c>
      <c r="E1537" s="8">
        <f>E1536+(0-26.88)</f>
        <v>12680738.709999904</v>
      </c>
    </row>
    <row r="1538" spans="1:5" x14ac:dyDescent="0.25">
      <c r="A1538" s="2" t="s">
        <v>38</v>
      </c>
      <c r="B1538" s="6">
        <v>44838</v>
      </c>
      <c r="C1538" s="2" t="s">
        <v>16</v>
      </c>
      <c r="D1538" s="8">
        <v>-50</v>
      </c>
      <c r="E1538" s="8">
        <f>E1537+(0-50)</f>
        <v>12680688.709999904</v>
      </c>
    </row>
    <row r="1539" spans="1:5" x14ac:dyDescent="0.25">
      <c r="A1539" s="2" t="s">
        <v>38</v>
      </c>
      <c r="B1539" s="6">
        <v>44838</v>
      </c>
      <c r="C1539" s="2" t="s">
        <v>16</v>
      </c>
      <c r="D1539" s="8">
        <v>-700</v>
      </c>
      <c r="E1539" s="8">
        <f>E1538+(0-700)</f>
        <v>12679988.709999904</v>
      </c>
    </row>
    <row r="1540" spans="1:5" x14ac:dyDescent="0.25">
      <c r="A1540" s="2" t="s">
        <v>38</v>
      </c>
      <c r="B1540" s="6">
        <v>44839</v>
      </c>
      <c r="C1540" s="2" t="s">
        <v>181</v>
      </c>
      <c r="D1540" s="8">
        <v>-37.5</v>
      </c>
      <c r="E1540" s="8">
        <f>E1539+(0-37.5)</f>
        <v>12679951.209999904</v>
      </c>
    </row>
    <row r="1541" spans="1:5" x14ac:dyDescent="0.25">
      <c r="A1541" s="2" t="s">
        <v>38</v>
      </c>
      <c r="B1541" s="6">
        <v>44839</v>
      </c>
      <c r="C1541" s="2" t="s">
        <v>182</v>
      </c>
      <c r="D1541" s="8">
        <v>-500</v>
      </c>
      <c r="E1541" s="8">
        <f>E1540+(0-500)</f>
        <v>12679451.209999904</v>
      </c>
    </row>
    <row r="1542" spans="1:5" x14ac:dyDescent="0.25">
      <c r="A1542" s="2" t="s">
        <v>38</v>
      </c>
      <c r="B1542" s="6">
        <v>44839</v>
      </c>
      <c r="C1542" s="2" t="s">
        <v>182</v>
      </c>
      <c r="D1542" s="8">
        <v>-500</v>
      </c>
      <c r="E1542" s="8">
        <f>E1541+(0-500)</f>
        <v>12678951.209999904</v>
      </c>
    </row>
    <row r="1543" spans="1:5" x14ac:dyDescent="0.25">
      <c r="A1543" s="2" t="s">
        <v>38</v>
      </c>
      <c r="B1543" s="6">
        <v>44839</v>
      </c>
      <c r="C1543" s="2" t="s">
        <v>181</v>
      </c>
      <c r="D1543" s="8">
        <v>-37.5</v>
      </c>
      <c r="E1543" s="8">
        <f>E1542+(0-37.5)</f>
        <v>12678913.709999904</v>
      </c>
    </row>
    <row r="1544" spans="1:5" x14ac:dyDescent="0.25">
      <c r="A1544" s="2" t="s">
        <v>38</v>
      </c>
      <c r="B1544" s="6">
        <v>44839</v>
      </c>
      <c r="C1544" s="2" t="s">
        <v>187</v>
      </c>
      <c r="D1544" s="8">
        <v>-43</v>
      </c>
      <c r="E1544" s="8">
        <f>E1543+(0-43)</f>
        <v>12678870.709999904</v>
      </c>
    </row>
    <row r="1545" spans="1:5" x14ac:dyDescent="0.25">
      <c r="A1545" s="2" t="s">
        <v>38</v>
      </c>
      <c r="B1545" s="6">
        <v>44839</v>
      </c>
      <c r="C1545" s="2" t="s">
        <v>187</v>
      </c>
      <c r="D1545" s="8">
        <v>-258</v>
      </c>
      <c r="E1545" s="8">
        <f>E1544+(0-258)</f>
        <v>12678612.709999904</v>
      </c>
    </row>
    <row r="1546" spans="1:5" x14ac:dyDescent="0.25">
      <c r="A1546" s="2" t="s">
        <v>38</v>
      </c>
      <c r="B1546" s="6">
        <v>44839</v>
      </c>
      <c r="C1546" s="2" t="s">
        <v>19</v>
      </c>
      <c r="D1546" s="8">
        <v>-76</v>
      </c>
      <c r="E1546" s="8">
        <f>E1545+(0-76)</f>
        <v>12678536.709999904</v>
      </c>
    </row>
    <row r="1547" spans="1:5" x14ac:dyDescent="0.25">
      <c r="A1547" s="2" t="s">
        <v>38</v>
      </c>
      <c r="B1547" s="6">
        <v>44839</v>
      </c>
      <c r="C1547" s="2" t="s">
        <v>19</v>
      </c>
      <c r="D1547" s="8">
        <v>-28</v>
      </c>
      <c r="E1547" s="8">
        <f>E1546+(0-28)</f>
        <v>12678508.709999904</v>
      </c>
    </row>
    <row r="1548" spans="1:5" x14ac:dyDescent="0.25">
      <c r="A1548" s="2" t="s">
        <v>38</v>
      </c>
      <c r="B1548" s="6">
        <v>44839</v>
      </c>
      <c r="C1548" s="2" t="s">
        <v>16</v>
      </c>
      <c r="D1548" s="8">
        <v>-350</v>
      </c>
      <c r="E1548" s="8">
        <f>E1547+(0-350)</f>
        <v>12678158.709999904</v>
      </c>
    </row>
    <row r="1549" spans="1:5" x14ac:dyDescent="0.25">
      <c r="A1549" s="2" t="s">
        <v>38</v>
      </c>
      <c r="B1549" s="6">
        <v>44839</v>
      </c>
      <c r="C1549" s="2" t="s">
        <v>19</v>
      </c>
      <c r="D1549" s="8">
        <v>-48</v>
      </c>
      <c r="E1549" s="8">
        <f>E1548+(0-48)</f>
        <v>12678110.709999904</v>
      </c>
    </row>
    <row r="1550" spans="1:5" x14ac:dyDescent="0.25">
      <c r="A1550" s="2" t="s">
        <v>38</v>
      </c>
      <c r="B1550" s="6">
        <v>44840</v>
      </c>
      <c r="C1550" s="2" t="s">
        <v>19</v>
      </c>
      <c r="D1550" s="8">
        <v>-4</v>
      </c>
      <c r="E1550" s="8">
        <f>E1549+(0-4)</f>
        <v>12678106.709999904</v>
      </c>
    </row>
    <row r="1551" spans="1:5" x14ac:dyDescent="0.25">
      <c r="A1551" s="2" t="s">
        <v>38</v>
      </c>
      <c r="B1551" s="6">
        <v>44840</v>
      </c>
      <c r="C1551" s="2" t="s">
        <v>19</v>
      </c>
      <c r="D1551" s="8">
        <v>-52</v>
      </c>
      <c r="E1551" s="8">
        <f>E1550+(0-52)</f>
        <v>12678054.709999904</v>
      </c>
    </row>
    <row r="1552" spans="1:5" x14ac:dyDescent="0.25">
      <c r="A1552" s="2" t="s">
        <v>38</v>
      </c>
      <c r="B1552" s="6">
        <v>44840</v>
      </c>
      <c r="C1552" s="2" t="s">
        <v>19</v>
      </c>
      <c r="D1552" s="8">
        <v>-4</v>
      </c>
      <c r="E1552" s="8">
        <f>E1551+(0-4)</f>
        <v>12678050.709999904</v>
      </c>
    </row>
    <row r="1553" spans="1:5" x14ac:dyDescent="0.25">
      <c r="A1553" s="2" t="s">
        <v>38</v>
      </c>
      <c r="B1553" s="6">
        <v>44840</v>
      </c>
      <c r="C1553" s="2" t="s">
        <v>53</v>
      </c>
      <c r="D1553" s="8">
        <v>-50</v>
      </c>
      <c r="E1553" s="8">
        <f>E1552+(0-50)</f>
        <v>12678000.709999904</v>
      </c>
    </row>
    <row r="1554" spans="1:5" x14ac:dyDescent="0.25">
      <c r="A1554" s="2" t="s">
        <v>38</v>
      </c>
      <c r="B1554" s="6">
        <v>44840</v>
      </c>
      <c r="C1554" s="2" t="s">
        <v>19</v>
      </c>
      <c r="D1554" s="8">
        <v>-40</v>
      </c>
      <c r="E1554" s="8">
        <f>E1553+(0-40)</f>
        <v>12677960.709999904</v>
      </c>
    </row>
    <row r="1555" spans="1:5" x14ac:dyDescent="0.25">
      <c r="A1555" s="2" t="s">
        <v>38</v>
      </c>
      <c r="B1555" s="6">
        <v>44840</v>
      </c>
      <c r="C1555" s="2" t="s">
        <v>19</v>
      </c>
      <c r="D1555" s="8">
        <v>-44</v>
      </c>
      <c r="E1555" s="8">
        <f>E1554+(0-44)</f>
        <v>12677916.709999904</v>
      </c>
    </row>
    <row r="1556" spans="1:5" x14ac:dyDescent="0.25">
      <c r="A1556" s="2" t="s">
        <v>38</v>
      </c>
      <c r="B1556" s="6">
        <v>44840</v>
      </c>
      <c r="C1556" s="2" t="s">
        <v>19</v>
      </c>
      <c r="D1556" s="8">
        <v>-36</v>
      </c>
      <c r="E1556" s="8">
        <f>E1555+(0-36)</f>
        <v>12677880.709999904</v>
      </c>
    </row>
    <row r="1557" spans="1:5" x14ac:dyDescent="0.25">
      <c r="A1557" s="2" t="s">
        <v>38</v>
      </c>
      <c r="B1557" s="6">
        <v>44840</v>
      </c>
      <c r="C1557" s="2" t="s">
        <v>19</v>
      </c>
      <c r="D1557" s="8">
        <v>-64</v>
      </c>
      <c r="E1557" s="8">
        <f>E1556+(0-64)</f>
        <v>12677816.709999904</v>
      </c>
    </row>
    <row r="1558" spans="1:5" x14ac:dyDescent="0.25">
      <c r="A1558" s="2" t="s">
        <v>38</v>
      </c>
      <c r="B1558" s="6">
        <v>44840</v>
      </c>
      <c r="C1558" s="2" t="s">
        <v>16</v>
      </c>
      <c r="D1558" s="8">
        <v>-50</v>
      </c>
      <c r="E1558" s="8">
        <f>E1557+(0-50)</f>
        <v>12677766.709999904</v>
      </c>
    </row>
    <row r="1559" spans="1:5" x14ac:dyDescent="0.25">
      <c r="A1559" s="2" t="s">
        <v>38</v>
      </c>
      <c r="B1559" s="6">
        <v>44840</v>
      </c>
      <c r="C1559" s="2" t="s">
        <v>16</v>
      </c>
      <c r="D1559" s="8">
        <v>-300</v>
      </c>
      <c r="E1559" s="8">
        <f>E1558+(0-300)</f>
        <v>12677466.709999904</v>
      </c>
    </row>
    <row r="1560" spans="1:5" x14ac:dyDescent="0.25">
      <c r="A1560" s="2" t="s">
        <v>38</v>
      </c>
      <c r="B1560" s="6">
        <v>44841</v>
      </c>
      <c r="C1560" s="2" t="s">
        <v>19</v>
      </c>
      <c r="D1560" s="8">
        <v>-44</v>
      </c>
      <c r="E1560" s="8">
        <f>E1559+(0-44)</f>
        <v>12677422.709999904</v>
      </c>
    </row>
    <row r="1561" spans="1:5" x14ac:dyDescent="0.25">
      <c r="A1561" s="2" t="s">
        <v>38</v>
      </c>
      <c r="B1561" s="6">
        <v>44841</v>
      </c>
      <c r="C1561" s="2" t="s">
        <v>19</v>
      </c>
      <c r="D1561" s="8">
        <v>-4</v>
      </c>
      <c r="E1561" s="8">
        <f>E1560+(0-4)</f>
        <v>12677418.709999904</v>
      </c>
    </row>
    <row r="1562" spans="1:5" x14ac:dyDescent="0.25">
      <c r="A1562" s="2" t="s">
        <v>38</v>
      </c>
      <c r="B1562" s="6">
        <v>44841</v>
      </c>
      <c r="C1562" s="2" t="s">
        <v>19</v>
      </c>
      <c r="D1562" s="8">
        <v>-4</v>
      </c>
      <c r="E1562" s="8">
        <f>E1561+(0-4)</f>
        <v>12677414.709999904</v>
      </c>
    </row>
    <row r="1563" spans="1:5" x14ac:dyDescent="0.25">
      <c r="A1563" s="2" t="s">
        <v>38</v>
      </c>
      <c r="B1563" s="6">
        <v>44841</v>
      </c>
      <c r="C1563" s="2" t="s">
        <v>19</v>
      </c>
      <c r="D1563" s="8">
        <v>-60</v>
      </c>
      <c r="E1563" s="8">
        <f>E1562+(0-60)</f>
        <v>12677354.709999904</v>
      </c>
    </row>
    <row r="1564" spans="1:5" x14ac:dyDescent="0.25">
      <c r="A1564" s="2" t="s">
        <v>38</v>
      </c>
      <c r="B1564" s="6">
        <v>44841</v>
      </c>
      <c r="C1564" s="2" t="s">
        <v>19</v>
      </c>
      <c r="D1564" s="8">
        <v>-80</v>
      </c>
      <c r="E1564" s="8">
        <f>E1563+(0-80)</f>
        <v>12677274.709999904</v>
      </c>
    </row>
    <row r="1565" spans="1:5" x14ac:dyDescent="0.25">
      <c r="A1565" s="2" t="s">
        <v>38</v>
      </c>
      <c r="B1565" s="6">
        <v>44841</v>
      </c>
      <c r="C1565" s="2" t="s">
        <v>19</v>
      </c>
      <c r="D1565" s="8">
        <v>-68</v>
      </c>
      <c r="E1565" s="8">
        <f>E1564+(0-68)</f>
        <v>12677206.709999904</v>
      </c>
    </row>
    <row r="1566" spans="1:5" x14ac:dyDescent="0.25">
      <c r="A1566" s="2" t="s">
        <v>38</v>
      </c>
      <c r="B1566" s="6">
        <v>44841</v>
      </c>
      <c r="C1566" s="2" t="s">
        <v>53</v>
      </c>
      <c r="D1566" s="8">
        <v>-53.75</v>
      </c>
      <c r="E1566" s="8">
        <f>E1565+(0-53.75)</f>
        <v>12677152.959999904</v>
      </c>
    </row>
    <row r="1567" spans="1:5" x14ac:dyDescent="0.25">
      <c r="A1567" s="2" t="s">
        <v>38</v>
      </c>
      <c r="B1567" s="6">
        <v>44841</v>
      </c>
      <c r="C1567" s="2" t="s">
        <v>16</v>
      </c>
      <c r="D1567" s="8">
        <v>-300</v>
      </c>
      <c r="E1567" s="8">
        <f>E1566+(0-300)</f>
        <v>12676852.959999904</v>
      </c>
    </row>
    <row r="1568" spans="1:5" x14ac:dyDescent="0.25">
      <c r="A1568" s="2" t="s">
        <v>38</v>
      </c>
      <c r="B1568" s="6">
        <v>44841</v>
      </c>
      <c r="C1568" s="2" t="s">
        <v>19</v>
      </c>
      <c r="D1568" s="8">
        <v>-64</v>
      </c>
      <c r="E1568" s="8">
        <f>E1567+(0-64)</f>
        <v>12676788.959999904</v>
      </c>
    </row>
    <row r="1569" spans="1:5" x14ac:dyDescent="0.25">
      <c r="A1569" s="2" t="s">
        <v>38</v>
      </c>
      <c r="B1569" s="6">
        <v>44841</v>
      </c>
      <c r="C1569" s="2" t="s">
        <v>19</v>
      </c>
      <c r="D1569" s="8">
        <v>-40</v>
      </c>
      <c r="E1569" s="8">
        <f>E1568+(0-40)</f>
        <v>12676748.959999904</v>
      </c>
    </row>
    <row r="1570" spans="1:5" x14ac:dyDescent="0.25">
      <c r="A1570" s="2" t="s">
        <v>38</v>
      </c>
      <c r="B1570" s="6">
        <v>44845</v>
      </c>
      <c r="C1570" s="2" t="s">
        <v>19</v>
      </c>
      <c r="D1570" s="8">
        <v>-8</v>
      </c>
      <c r="E1570" s="8">
        <f>E1569+(0-8)</f>
        <v>12676740.959999904</v>
      </c>
    </row>
    <row r="1571" spans="1:5" x14ac:dyDescent="0.25">
      <c r="A1571" s="2" t="s">
        <v>38</v>
      </c>
      <c r="B1571" s="6">
        <v>44845</v>
      </c>
      <c r="C1571" s="2" t="s">
        <v>19</v>
      </c>
      <c r="D1571" s="8">
        <v>-4</v>
      </c>
      <c r="E1571" s="8">
        <f>E1570+(0-4)</f>
        <v>12676736.959999904</v>
      </c>
    </row>
    <row r="1572" spans="1:5" x14ac:dyDescent="0.25">
      <c r="A1572" s="2" t="s">
        <v>38</v>
      </c>
      <c r="B1572" s="6">
        <v>44845</v>
      </c>
      <c r="C1572" s="2" t="s">
        <v>19</v>
      </c>
      <c r="D1572" s="8">
        <v>-56</v>
      </c>
      <c r="E1572" s="8">
        <f>E1571+(0-56)</f>
        <v>12676680.959999904</v>
      </c>
    </row>
    <row r="1573" spans="1:5" x14ac:dyDescent="0.25">
      <c r="A1573" s="2" t="s">
        <v>38</v>
      </c>
      <c r="B1573" s="6">
        <v>44845</v>
      </c>
      <c r="C1573" s="2" t="s">
        <v>19</v>
      </c>
      <c r="D1573" s="8">
        <v>-56</v>
      </c>
      <c r="E1573" s="8">
        <f>E1572+(0-56)</f>
        <v>12676624.959999904</v>
      </c>
    </row>
    <row r="1574" spans="1:5" x14ac:dyDescent="0.25">
      <c r="A1574" s="2" t="s">
        <v>38</v>
      </c>
      <c r="B1574" s="6">
        <v>44845</v>
      </c>
      <c r="C1574" s="2" t="s">
        <v>19</v>
      </c>
      <c r="D1574" s="8">
        <v>-44</v>
      </c>
      <c r="E1574" s="8">
        <f>E1573+(0-44)</f>
        <v>12676580.959999904</v>
      </c>
    </row>
    <row r="1575" spans="1:5" x14ac:dyDescent="0.25">
      <c r="A1575" s="2" t="s">
        <v>38</v>
      </c>
      <c r="B1575" s="6">
        <v>44845</v>
      </c>
      <c r="C1575" s="2" t="s">
        <v>19</v>
      </c>
      <c r="D1575" s="8">
        <v>-64</v>
      </c>
      <c r="E1575" s="8">
        <f>E1574+(0-64)</f>
        <v>12676516.959999904</v>
      </c>
    </row>
    <row r="1576" spans="1:5" x14ac:dyDescent="0.25">
      <c r="A1576" s="2" t="s">
        <v>38</v>
      </c>
      <c r="B1576" s="6">
        <v>44845</v>
      </c>
      <c r="C1576" s="2" t="s">
        <v>19</v>
      </c>
      <c r="D1576" s="8">
        <v>-64</v>
      </c>
      <c r="E1576" s="8">
        <f>E1575+(0-64)</f>
        <v>12676452.959999904</v>
      </c>
    </row>
    <row r="1577" spans="1:5" x14ac:dyDescent="0.25">
      <c r="A1577" s="2" t="s">
        <v>38</v>
      </c>
      <c r="B1577" s="6">
        <v>44845</v>
      </c>
      <c r="C1577" s="2" t="s">
        <v>53</v>
      </c>
      <c r="D1577" s="8">
        <v>-53.75</v>
      </c>
      <c r="E1577" s="8">
        <f>E1576+(0-53.75)</f>
        <v>12676399.209999904</v>
      </c>
    </row>
    <row r="1578" spans="1:5" x14ac:dyDescent="0.25">
      <c r="A1578" s="2" t="s">
        <v>38</v>
      </c>
      <c r="B1578" s="6">
        <v>44845</v>
      </c>
      <c r="C1578" s="2" t="s">
        <v>53</v>
      </c>
      <c r="D1578" s="8">
        <v>-53.75</v>
      </c>
      <c r="E1578" s="8">
        <f>E1577+(0-53.75)</f>
        <v>12676345.459999904</v>
      </c>
    </row>
    <row r="1579" spans="1:5" x14ac:dyDescent="0.25">
      <c r="A1579" s="2" t="s">
        <v>38</v>
      </c>
      <c r="B1579" s="6">
        <v>44845</v>
      </c>
      <c r="C1579" s="2" t="s">
        <v>53</v>
      </c>
      <c r="D1579" s="8">
        <v>-53.75</v>
      </c>
      <c r="E1579" s="8">
        <f>E1578+(0-53.75)</f>
        <v>12676291.709999904</v>
      </c>
    </row>
    <row r="1580" spans="1:5" x14ac:dyDescent="0.25">
      <c r="A1580" s="2" t="s">
        <v>38</v>
      </c>
      <c r="B1580" s="6">
        <v>44845</v>
      </c>
      <c r="C1580" s="2" t="s">
        <v>16</v>
      </c>
      <c r="D1580" s="8">
        <v>-350</v>
      </c>
      <c r="E1580" s="8">
        <f>E1579+(0-350)</f>
        <v>12675941.709999904</v>
      </c>
    </row>
    <row r="1581" spans="1:5" x14ac:dyDescent="0.25">
      <c r="A1581" s="2" t="s">
        <v>38</v>
      </c>
      <c r="B1581" s="6">
        <v>44846</v>
      </c>
      <c r="C1581" s="2" t="s">
        <v>53</v>
      </c>
      <c r="D1581" s="8">
        <v>-50</v>
      </c>
      <c r="E1581" s="8">
        <f>E1580+(0-50)</f>
        <v>12675891.709999904</v>
      </c>
    </row>
    <row r="1582" spans="1:5" x14ac:dyDescent="0.25">
      <c r="A1582" s="2" t="s">
        <v>38</v>
      </c>
      <c r="B1582" s="6">
        <v>44846</v>
      </c>
      <c r="C1582" s="2" t="s">
        <v>53</v>
      </c>
      <c r="D1582" s="8">
        <v>-50</v>
      </c>
      <c r="E1582" s="8">
        <f>E1581+(0-50)</f>
        <v>12675841.709999904</v>
      </c>
    </row>
    <row r="1583" spans="1:5" x14ac:dyDescent="0.25">
      <c r="A1583" s="2" t="s">
        <v>38</v>
      </c>
      <c r="B1583" s="6">
        <v>44846</v>
      </c>
      <c r="C1583" s="2" t="s">
        <v>16</v>
      </c>
      <c r="D1583" s="8">
        <v>-450</v>
      </c>
      <c r="E1583" s="8">
        <f>E1582+(0-450)</f>
        <v>12675391.709999904</v>
      </c>
    </row>
    <row r="1584" spans="1:5" x14ac:dyDescent="0.25">
      <c r="A1584" s="2" t="s">
        <v>38</v>
      </c>
      <c r="B1584" s="6">
        <v>44847</v>
      </c>
      <c r="C1584" s="2" t="s">
        <v>53</v>
      </c>
      <c r="D1584" s="8">
        <v>-26.88</v>
      </c>
      <c r="E1584" s="8">
        <f>E1583+(0-26.88)</f>
        <v>12675364.829999903</v>
      </c>
    </row>
    <row r="1585" spans="1:5" x14ac:dyDescent="0.25">
      <c r="A1585" s="2" t="s">
        <v>38</v>
      </c>
      <c r="B1585" s="6">
        <v>44847</v>
      </c>
      <c r="C1585" s="2" t="s">
        <v>16</v>
      </c>
      <c r="D1585" s="8">
        <v>-100</v>
      </c>
      <c r="E1585" s="8">
        <f>E1584+(0-100)</f>
        <v>12675264.829999903</v>
      </c>
    </row>
    <row r="1586" spans="1:5" x14ac:dyDescent="0.25">
      <c r="A1586" s="2" t="s">
        <v>38</v>
      </c>
      <c r="B1586" s="6">
        <v>44848</v>
      </c>
      <c r="C1586" s="2" t="s">
        <v>16</v>
      </c>
      <c r="D1586" s="8">
        <v>-450</v>
      </c>
      <c r="E1586" s="8">
        <f>E1585+(0-450)</f>
        <v>12674814.829999903</v>
      </c>
    </row>
    <row r="1587" spans="1:5" x14ac:dyDescent="0.25">
      <c r="A1587" s="2" t="s">
        <v>38</v>
      </c>
      <c r="B1587" s="6">
        <v>44851</v>
      </c>
      <c r="C1587" s="2" t="s">
        <v>19</v>
      </c>
      <c r="D1587" s="8">
        <v>-16</v>
      </c>
      <c r="E1587" s="8">
        <f>E1586+(0-16)</f>
        <v>12674798.829999903</v>
      </c>
    </row>
    <row r="1588" spans="1:5" x14ac:dyDescent="0.25">
      <c r="A1588" s="2" t="s">
        <v>38</v>
      </c>
      <c r="B1588" s="6">
        <v>44851</v>
      </c>
      <c r="C1588" s="2" t="s">
        <v>19</v>
      </c>
      <c r="D1588" s="8">
        <v>-4</v>
      </c>
      <c r="E1588" s="8">
        <f>E1587+(0-4)</f>
        <v>12674794.829999903</v>
      </c>
    </row>
    <row r="1589" spans="1:5" x14ac:dyDescent="0.25">
      <c r="A1589" s="2" t="s">
        <v>38</v>
      </c>
      <c r="B1589" s="6">
        <v>44851</v>
      </c>
      <c r="C1589" s="2" t="s">
        <v>19</v>
      </c>
      <c r="D1589" s="8">
        <v>-48</v>
      </c>
      <c r="E1589" s="8">
        <f>E1588+(0-48)</f>
        <v>12674746.829999903</v>
      </c>
    </row>
    <row r="1590" spans="1:5" x14ac:dyDescent="0.25">
      <c r="A1590" s="2" t="s">
        <v>38</v>
      </c>
      <c r="B1590" s="6">
        <v>44851</v>
      </c>
      <c r="C1590" s="2" t="s">
        <v>19</v>
      </c>
      <c r="D1590" s="8">
        <v>-76</v>
      </c>
      <c r="E1590" s="8">
        <f>E1589+(0-76)</f>
        <v>12674670.829999903</v>
      </c>
    </row>
    <row r="1591" spans="1:5" x14ac:dyDescent="0.25">
      <c r="A1591" s="2" t="s">
        <v>38</v>
      </c>
      <c r="B1591" s="6">
        <v>44851</v>
      </c>
      <c r="C1591" s="2" t="s">
        <v>19</v>
      </c>
      <c r="D1591" s="8">
        <v>-20</v>
      </c>
      <c r="E1591" s="8">
        <f>E1590+(0-20)</f>
        <v>12674650.829999903</v>
      </c>
    </row>
    <row r="1592" spans="1:5" x14ac:dyDescent="0.25">
      <c r="A1592" s="2" t="s">
        <v>38</v>
      </c>
      <c r="B1592" s="6">
        <v>44851</v>
      </c>
      <c r="C1592" s="2" t="s">
        <v>19</v>
      </c>
      <c r="D1592" s="8">
        <v>-20</v>
      </c>
      <c r="E1592" s="8">
        <f>E1591+(0-20)</f>
        <v>12674630.829999903</v>
      </c>
    </row>
    <row r="1593" spans="1:5" x14ac:dyDescent="0.25">
      <c r="A1593" s="2" t="s">
        <v>38</v>
      </c>
      <c r="B1593" s="6">
        <v>44851</v>
      </c>
      <c r="C1593" s="2" t="s">
        <v>19</v>
      </c>
      <c r="D1593" s="8">
        <v>-8</v>
      </c>
      <c r="E1593" s="8">
        <f>E1592+(0-8)</f>
        <v>12674622.829999903</v>
      </c>
    </row>
    <row r="1594" spans="1:5" x14ac:dyDescent="0.25">
      <c r="A1594" s="2" t="s">
        <v>38</v>
      </c>
      <c r="B1594" s="6">
        <v>44851</v>
      </c>
      <c r="C1594" s="2" t="s">
        <v>19</v>
      </c>
      <c r="D1594" s="8">
        <v>-4</v>
      </c>
      <c r="E1594" s="8">
        <f>E1593+(0-4)</f>
        <v>12674618.829999903</v>
      </c>
    </row>
    <row r="1595" spans="1:5" x14ac:dyDescent="0.25">
      <c r="A1595" s="2" t="s">
        <v>38</v>
      </c>
      <c r="B1595" s="6">
        <v>44851</v>
      </c>
      <c r="C1595" s="2" t="s">
        <v>19</v>
      </c>
      <c r="D1595" s="8">
        <v>-84</v>
      </c>
      <c r="E1595" s="8">
        <f>E1594+(0-84)</f>
        <v>12674534.829999903</v>
      </c>
    </row>
    <row r="1596" spans="1:5" x14ac:dyDescent="0.25">
      <c r="A1596" s="2" t="s">
        <v>38</v>
      </c>
      <c r="B1596" s="6">
        <v>44851</v>
      </c>
      <c r="C1596" s="2" t="s">
        <v>19</v>
      </c>
      <c r="D1596" s="8">
        <v>-64</v>
      </c>
      <c r="E1596" s="8">
        <f>E1595+(0-64)</f>
        <v>12674470.829999903</v>
      </c>
    </row>
    <row r="1597" spans="1:5" x14ac:dyDescent="0.25">
      <c r="A1597" s="2" t="s">
        <v>38</v>
      </c>
      <c r="B1597" s="6">
        <v>44851</v>
      </c>
      <c r="C1597" s="2" t="s">
        <v>19</v>
      </c>
      <c r="D1597" s="8">
        <v>-52</v>
      </c>
      <c r="E1597" s="8">
        <f>E1596+(0-52)</f>
        <v>12674418.829999903</v>
      </c>
    </row>
    <row r="1598" spans="1:5" x14ac:dyDescent="0.25">
      <c r="A1598" s="2" t="s">
        <v>38</v>
      </c>
      <c r="B1598" s="6">
        <v>44851</v>
      </c>
      <c r="C1598" s="2" t="s">
        <v>19</v>
      </c>
      <c r="D1598" s="8">
        <v>-24</v>
      </c>
      <c r="E1598" s="8">
        <f>E1597+(0-24)</f>
        <v>12674394.829999903</v>
      </c>
    </row>
    <row r="1599" spans="1:5" x14ac:dyDescent="0.25">
      <c r="A1599" s="2" t="s">
        <v>38</v>
      </c>
      <c r="B1599" s="6">
        <v>44851</v>
      </c>
      <c r="C1599" s="2" t="s">
        <v>19</v>
      </c>
      <c r="D1599" s="8">
        <v>-52</v>
      </c>
      <c r="E1599" s="8">
        <f>E1598+(0-52)</f>
        <v>12674342.829999903</v>
      </c>
    </row>
    <row r="1600" spans="1:5" x14ac:dyDescent="0.25">
      <c r="A1600" s="2" t="s">
        <v>38</v>
      </c>
      <c r="B1600" s="6">
        <v>44851</v>
      </c>
      <c r="C1600" s="2" t="s">
        <v>19</v>
      </c>
      <c r="D1600" s="8">
        <v>-4</v>
      </c>
      <c r="E1600" s="8">
        <f>E1599+(0-4)</f>
        <v>12674338.829999903</v>
      </c>
    </row>
    <row r="1601" spans="1:5" x14ac:dyDescent="0.25">
      <c r="A1601" s="2" t="s">
        <v>38</v>
      </c>
      <c r="B1601" s="6">
        <v>44851</v>
      </c>
      <c r="C1601" s="2" t="s">
        <v>53</v>
      </c>
      <c r="D1601" s="8">
        <v>-50</v>
      </c>
      <c r="E1601" s="8">
        <f>E1600+(0-50)</f>
        <v>12674288.829999903</v>
      </c>
    </row>
    <row r="1602" spans="1:5" x14ac:dyDescent="0.25">
      <c r="A1602" s="2" t="s">
        <v>38</v>
      </c>
      <c r="B1602" s="6">
        <v>44851</v>
      </c>
      <c r="C1602" s="2" t="s">
        <v>16</v>
      </c>
      <c r="D1602" s="8">
        <v>-250</v>
      </c>
      <c r="E1602" s="8">
        <f>E1601+(0-250)</f>
        <v>12674038.829999903</v>
      </c>
    </row>
    <row r="1603" spans="1:5" x14ac:dyDescent="0.25">
      <c r="A1603" s="2" t="s">
        <v>38</v>
      </c>
      <c r="B1603" s="6">
        <v>44851</v>
      </c>
      <c r="C1603" s="2" t="s">
        <v>19</v>
      </c>
      <c r="D1603" s="8">
        <v>-76</v>
      </c>
      <c r="E1603" s="8">
        <f>E1602+(0-76)</f>
        <v>12673962.829999903</v>
      </c>
    </row>
    <row r="1604" spans="1:5" x14ac:dyDescent="0.25">
      <c r="A1604" s="2" t="s">
        <v>38</v>
      </c>
      <c r="B1604" s="6">
        <v>44852</v>
      </c>
      <c r="C1604" s="2" t="s">
        <v>19</v>
      </c>
      <c r="D1604" s="8">
        <v>-44</v>
      </c>
      <c r="E1604" s="8">
        <f>E1603+(0-44)</f>
        <v>12673918.829999903</v>
      </c>
    </row>
    <row r="1605" spans="1:5" x14ac:dyDescent="0.25">
      <c r="A1605" s="2" t="s">
        <v>38</v>
      </c>
      <c r="B1605" s="6">
        <v>44852</v>
      </c>
      <c r="C1605" s="2" t="s">
        <v>19</v>
      </c>
      <c r="D1605" s="8">
        <v>-80</v>
      </c>
      <c r="E1605" s="8">
        <f>E1604+(0-80)</f>
        <v>12673838.829999903</v>
      </c>
    </row>
    <row r="1606" spans="1:5" x14ac:dyDescent="0.25">
      <c r="A1606" s="2" t="s">
        <v>38</v>
      </c>
      <c r="B1606" s="6">
        <v>44852</v>
      </c>
      <c r="C1606" s="2" t="s">
        <v>53</v>
      </c>
      <c r="D1606" s="8">
        <v>-50</v>
      </c>
      <c r="E1606" s="8">
        <f>E1605+(0-50)</f>
        <v>12673788.829999903</v>
      </c>
    </row>
    <row r="1607" spans="1:5" x14ac:dyDescent="0.25">
      <c r="A1607" s="2" t="s">
        <v>38</v>
      </c>
      <c r="B1607" s="6">
        <v>44852</v>
      </c>
      <c r="C1607" s="2" t="s">
        <v>19</v>
      </c>
      <c r="D1607" s="8">
        <v>-24</v>
      </c>
      <c r="E1607" s="8">
        <f>E1606+(0-24)</f>
        <v>12673764.829999903</v>
      </c>
    </row>
    <row r="1608" spans="1:5" x14ac:dyDescent="0.25">
      <c r="A1608" s="2" t="s">
        <v>38</v>
      </c>
      <c r="B1608" s="6">
        <v>44852</v>
      </c>
      <c r="C1608" s="2" t="s">
        <v>19</v>
      </c>
      <c r="D1608" s="8">
        <v>-40</v>
      </c>
      <c r="E1608" s="8">
        <f>E1607+(0-40)</f>
        <v>12673724.829999903</v>
      </c>
    </row>
    <row r="1609" spans="1:5" x14ac:dyDescent="0.25">
      <c r="A1609" s="2" t="s">
        <v>38</v>
      </c>
      <c r="B1609" s="6">
        <v>44852</v>
      </c>
      <c r="C1609" s="2" t="s">
        <v>19</v>
      </c>
      <c r="D1609" s="8">
        <v>-8</v>
      </c>
      <c r="E1609" s="8">
        <f>E1608+(0-8)</f>
        <v>12673716.829999903</v>
      </c>
    </row>
    <row r="1610" spans="1:5" x14ac:dyDescent="0.25">
      <c r="A1610" s="2" t="s">
        <v>38</v>
      </c>
      <c r="B1610" s="6">
        <v>44852</v>
      </c>
      <c r="C1610" s="2" t="s">
        <v>16</v>
      </c>
      <c r="D1610" s="8">
        <v>-750</v>
      </c>
      <c r="E1610" s="8">
        <f>E1609+(0-750)</f>
        <v>12672966.829999903</v>
      </c>
    </row>
    <row r="1611" spans="1:5" x14ac:dyDescent="0.25">
      <c r="A1611" s="2" t="s">
        <v>38</v>
      </c>
      <c r="B1611" s="6">
        <v>44853</v>
      </c>
      <c r="C1611" s="2" t="s">
        <v>19</v>
      </c>
      <c r="D1611" s="8">
        <v>-52</v>
      </c>
      <c r="E1611" s="8">
        <f>E1610+(0-52)</f>
        <v>12672914.829999903</v>
      </c>
    </row>
    <row r="1612" spans="1:5" x14ac:dyDescent="0.25">
      <c r="A1612" s="2" t="s">
        <v>38</v>
      </c>
      <c r="B1612" s="6">
        <v>44853</v>
      </c>
      <c r="C1612" s="2" t="s">
        <v>53</v>
      </c>
      <c r="D1612" s="8">
        <v>-50</v>
      </c>
      <c r="E1612" s="8">
        <f>E1611+(0-50)</f>
        <v>12672864.829999903</v>
      </c>
    </row>
    <row r="1613" spans="1:5" x14ac:dyDescent="0.25">
      <c r="A1613" s="2" t="s">
        <v>38</v>
      </c>
      <c r="B1613" s="6">
        <v>44853</v>
      </c>
      <c r="C1613" s="2" t="s">
        <v>53</v>
      </c>
      <c r="D1613" s="8">
        <v>-50</v>
      </c>
      <c r="E1613" s="8">
        <f>E1612+(0-50)</f>
        <v>12672814.829999903</v>
      </c>
    </row>
    <row r="1614" spans="1:5" x14ac:dyDescent="0.25">
      <c r="A1614" s="2" t="s">
        <v>38</v>
      </c>
      <c r="B1614" s="6">
        <v>44853</v>
      </c>
      <c r="C1614" s="2" t="s">
        <v>19</v>
      </c>
      <c r="D1614" s="8">
        <v>-76</v>
      </c>
      <c r="E1614" s="8">
        <f>E1613+(0-76)</f>
        <v>12672738.829999903</v>
      </c>
    </row>
    <row r="1615" spans="1:5" x14ac:dyDescent="0.25">
      <c r="A1615" s="2" t="s">
        <v>38</v>
      </c>
      <c r="B1615" s="6">
        <v>44853</v>
      </c>
      <c r="C1615" s="2" t="s">
        <v>53</v>
      </c>
      <c r="D1615" s="8">
        <v>-350</v>
      </c>
      <c r="E1615" s="8">
        <f>E1614+(0-350)</f>
        <v>12672388.829999903</v>
      </c>
    </row>
    <row r="1616" spans="1:5" x14ac:dyDescent="0.25">
      <c r="A1616" s="2" t="s">
        <v>38</v>
      </c>
      <c r="B1616" s="6">
        <v>44854</v>
      </c>
      <c r="C1616" s="2" t="s">
        <v>53</v>
      </c>
      <c r="D1616" s="8">
        <v>-53.75</v>
      </c>
      <c r="E1616" s="8">
        <f>E1615+(0-53.75)</f>
        <v>12672335.079999903</v>
      </c>
    </row>
    <row r="1617" spans="1:5" x14ac:dyDescent="0.25">
      <c r="A1617" s="2" t="s">
        <v>38</v>
      </c>
      <c r="B1617" s="6">
        <v>44854</v>
      </c>
      <c r="C1617" s="2" t="s">
        <v>53</v>
      </c>
      <c r="D1617" s="8">
        <v>-26.88</v>
      </c>
      <c r="E1617" s="8">
        <f>E1616+(0-26.88)</f>
        <v>12672308.199999902</v>
      </c>
    </row>
    <row r="1618" spans="1:5" x14ac:dyDescent="0.25">
      <c r="A1618" s="2" t="s">
        <v>38</v>
      </c>
      <c r="B1618" s="6">
        <v>44854</v>
      </c>
      <c r="C1618" s="2" t="s">
        <v>53</v>
      </c>
      <c r="D1618" s="8">
        <v>-53.75</v>
      </c>
      <c r="E1618" s="8">
        <f>E1617+(0-53.75)</f>
        <v>12672254.449999902</v>
      </c>
    </row>
    <row r="1619" spans="1:5" x14ac:dyDescent="0.25">
      <c r="A1619" s="2" t="s">
        <v>38</v>
      </c>
      <c r="B1619" s="6">
        <v>44854</v>
      </c>
      <c r="C1619" s="2" t="s">
        <v>16</v>
      </c>
      <c r="D1619" s="8">
        <v>-400</v>
      </c>
      <c r="E1619" s="8">
        <f>E1618+(0-400)</f>
        <v>12671854.449999902</v>
      </c>
    </row>
    <row r="1620" spans="1:5" x14ac:dyDescent="0.25">
      <c r="A1620" s="2" t="s">
        <v>38</v>
      </c>
      <c r="B1620" s="6">
        <v>44855</v>
      </c>
      <c r="C1620" s="2" t="s">
        <v>53</v>
      </c>
      <c r="D1620" s="8">
        <v>-53.75</v>
      </c>
      <c r="E1620" s="8">
        <f>E1619+(0-53.75)</f>
        <v>12671800.699999902</v>
      </c>
    </row>
    <row r="1621" spans="1:5" x14ac:dyDescent="0.25">
      <c r="A1621" s="2" t="s">
        <v>38</v>
      </c>
      <c r="B1621" s="6">
        <v>44855</v>
      </c>
      <c r="C1621" s="2" t="s">
        <v>19</v>
      </c>
      <c r="D1621" s="8">
        <v>-92</v>
      </c>
      <c r="E1621" s="8">
        <f>E1620+(0-92)</f>
        <v>12671708.699999902</v>
      </c>
    </row>
    <row r="1622" spans="1:5" x14ac:dyDescent="0.25">
      <c r="A1622" s="2" t="s">
        <v>38</v>
      </c>
      <c r="B1622" s="6">
        <v>44855</v>
      </c>
      <c r="C1622" s="2" t="s">
        <v>19</v>
      </c>
      <c r="D1622" s="8">
        <v>-64</v>
      </c>
      <c r="E1622" s="8">
        <f>E1621+(0-64)</f>
        <v>12671644.699999902</v>
      </c>
    </row>
    <row r="1623" spans="1:5" x14ac:dyDescent="0.25">
      <c r="A1623" s="2" t="s">
        <v>38</v>
      </c>
      <c r="B1623" s="6">
        <v>44855</v>
      </c>
      <c r="C1623" s="2" t="s">
        <v>16</v>
      </c>
      <c r="D1623" s="8">
        <v>-200</v>
      </c>
      <c r="E1623" s="8">
        <f>E1622+(0-200)</f>
        <v>12671444.699999902</v>
      </c>
    </row>
    <row r="1624" spans="1:5" x14ac:dyDescent="0.25">
      <c r="A1624" s="2" t="s">
        <v>38</v>
      </c>
      <c r="B1624" s="6">
        <v>44858</v>
      </c>
      <c r="C1624" s="2" t="s">
        <v>19</v>
      </c>
      <c r="D1624" s="8">
        <v>-48</v>
      </c>
      <c r="E1624" s="8">
        <f>E1623+(0-48)</f>
        <v>12671396.699999902</v>
      </c>
    </row>
    <row r="1625" spans="1:5" x14ac:dyDescent="0.25">
      <c r="A1625" s="2" t="s">
        <v>38</v>
      </c>
      <c r="B1625" s="6">
        <v>44858</v>
      </c>
      <c r="C1625" s="2" t="s">
        <v>53</v>
      </c>
      <c r="D1625" s="8">
        <v>-53.75</v>
      </c>
      <c r="E1625" s="8">
        <f>E1624+(0-53.75)</f>
        <v>12671342.949999902</v>
      </c>
    </row>
    <row r="1626" spans="1:5" x14ac:dyDescent="0.25">
      <c r="A1626" s="2" t="s">
        <v>38</v>
      </c>
      <c r="B1626" s="6">
        <v>44858</v>
      </c>
      <c r="C1626" s="2" t="s">
        <v>53</v>
      </c>
      <c r="D1626" s="8">
        <v>-400</v>
      </c>
      <c r="E1626" s="8">
        <f>E1625+(0-400)</f>
        <v>12670942.949999902</v>
      </c>
    </row>
    <row r="1627" spans="1:5" x14ac:dyDescent="0.25">
      <c r="A1627" s="2" t="s">
        <v>38</v>
      </c>
      <c r="B1627" s="6">
        <v>44859</v>
      </c>
      <c r="C1627" s="2" t="s">
        <v>53</v>
      </c>
      <c r="D1627" s="8">
        <v>-53.75</v>
      </c>
      <c r="E1627" s="8">
        <f>E1626+(0-53.75)</f>
        <v>12670889.199999902</v>
      </c>
    </row>
    <row r="1628" spans="1:5" x14ac:dyDescent="0.25">
      <c r="A1628" s="2" t="s">
        <v>38</v>
      </c>
      <c r="B1628" s="6">
        <v>44859</v>
      </c>
      <c r="C1628" s="2" t="s">
        <v>53</v>
      </c>
      <c r="D1628" s="8">
        <v>-400</v>
      </c>
      <c r="E1628" s="8">
        <f>E1627+(0-400)</f>
        <v>12670489.199999902</v>
      </c>
    </row>
    <row r="1629" spans="1:5" x14ac:dyDescent="0.25">
      <c r="A1629" s="2" t="s">
        <v>38</v>
      </c>
      <c r="B1629" s="6">
        <v>44860</v>
      </c>
      <c r="C1629" s="2" t="s">
        <v>53</v>
      </c>
      <c r="D1629" s="8">
        <v>-50</v>
      </c>
      <c r="E1629" s="8">
        <f>E1628+(0-50)</f>
        <v>12670439.199999902</v>
      </c>
    </row>
    <row r="1630" spans="1:5" x14ac:dyDescent="0.25">
      <c r="A1630" s="2" t="s">
        <v>38</v>
      </c>
      <c r="B1630" s="6">
        <v>44860</v>
      </c>
      <c r="C1630" s="2" t="s">
        <v>53</v>
      </c>
      <c r="D1630" s="8">
        <v>-300</v>
      </c>
      <c r="E1630" s="8">
        <f>E1629+(0-300)</f>
        <v>12670139.199999902</v>
      </c>
    </row>
    <row r="1631" spans="1:5" x14ac:dyDescent="0.25">
      <c r="A1631" s="2" t="s">
        <v>38</v>
      </c>
      <c r="B1631" s="6">
        <v>44861</v>
      </c>
      <c r="C1631" s="2" t="s">
        <v>53</v>
      </c>
      <c r="D1631" s="8">
        <v>-26.88</v>
      </c>
      <c r="E1631" s="8">
        <f>E1630+(0-26.88)</f>
        <v>12670112.319999902</v>
      </c>
    </row>
    <row r="1632" spans="1:5" x14ac:dyDescent="0.25">
      <c r="A1632" s="2" t="s">
        <v>38</v>
      </c>
      <c r="B1632" s="6">
        <v>44861</v>
      </c>
      <c r="C1632" s="2" t="s">
        <v>53</v>
      </c>
      <c r="D1632" s="8">
        <v>-53.75</v>
      </c>
      <c r="E1632" s="8">
        <f>E1631+(0-53.75)</f>
        <v>12670058.569999902</v>
      </c>
    </row>
    <row r="1633" spans="1:5" x14ac:dyDescent="0.25">
      <c r="A1633" s="2" t="s">
        <v>38</v>
      </c>
      <c r="B1633" s="6">
        <v>44861</v>
      </c>
      <c r="C1633" s="2" t="s">
        <v>53</v>
      </c>
      <c r="D1633" s="8">
        <v>-26.88</v>
      </c>
      <c r="E1633" s="8">
        <f>E1632+(0-26.88)</f>
        <v>12670031.689999901</v>
      </c>
    </row>
    <row r="1634" spans="1:5" x14ac:dyDescent="0.25">
      <c r="A1634" s="2" t="s">
        <v>38</v>
      </c>
      <c r="B1634" s="6">
        <v>44861</v>
      </c>
      <c r="C1634" s="2" t="s">
        <v>53</v>
      </c>
      <c r="D1634" s="8">
        <v>-26.88</v>
      </c>
      <c r="E1634" s="8">
        <f>E1633+(0-26.88)</f>
        <v>12670004.8099999</v>
      </c>
    </row>
    <row r="1635" spans="1:5" x14ac:dyDescent="0.25">
      <c r="A1635" s="2" t="s">
        <v>38</v>
      </c>
      <c r="B1635" s="6">
        <v>44861</v>
      </c>
      <c r="C1635" s="2" t="s">
        <v>53</v>
      </c>
      <c r="D1635" s="8">
        <v>-50</v>
      </c>
      <c r="E1635" s="8">
        <f>E1634+(0-50)</f>
        <v>12669954.8099999</v>
      </c>
    </row>
    <row r="1636" spans="1:5" x14ac:dyDescent="0.25">
      <c r="A1636" s="2" t="s">
        <v>38</v>
      </c>
      <c r="B1636" s="6">
        <v>44861</v>
      </c>
      <c r="C1636" s="2" t="s">
        <v>53</v>
      </c>
      <c r="D1636" s="8">
        <v>-53.75</v>
      </c>
      <c r="E1636" s="8">
        <f>E1635+(0-53.75)</f>
        <v>12669901.0599999</v>
      </c>
    </row>
    <row r="1637" spans="1:5" x14ac:dyDescent="0.25">
      <c r="A1637" s="2" t="s">
        <v>38</v>
      </c>
      <c r="B1637" s="6">
        <v>44861</v>
      </c>
      <c r="C1637" s="2" t="s">
        <v>53</v>
      </c>
      <c r="D1637" s="8">
        <v>-53.75</v>
      </c>
      <c r="E1637" s="8">
        <f>E1636+(0-53.75)</f>
        <v>12669847.3099999</v>
      </c>
    </row>
    <row r="1638" spans="1:5" x14ac:dyDescent="0.25">
      <c r="A1638" s="2" t="s">
        <v>38</v>
      </c>
      <c r="B1638" s="6">
        <v>44861</v>
      </c>
      <c r="C1638" s="2" t="s">
        <v>53</v>
      </c>
      <c r="D1638" s="8">
        <v>-26.88</v>
      </c>
      <c r="E1638" s="8">
        <f>E1637+(0-26.88)</f>
        <v>12669820.429999899</v>
      </c>
    </row>
    <row r="1639" spans="1:5" x14ac:dyDescent="0.25">
      <c r="A1639" s="2" t="s">
        <v>38</v>
      </c>
      <c r="B1639" s="6">
        <v>44861</v>
      </c>
      <c r="C1639" s="2" t="s">
        <v>53</v>
      </c>
      <c r="D1639" s="8">
        <v>-400</v>
      </c>
      <c r="E1639" s="8">
        <f>E1638+(0-400)</f>
        <v>12669420.429999899</v>
      </c>
    </row>
    <row r="1640" spans="1:5" x14ac:dyDescent="0.25">
      <c r="A1640" s="2" t="s">
        <v>38</v>
      </c>
      <c r="B1640" s="6">
        <v>44862</v>
      </c>
      <c r="C1640" s="2" t="s">
        <v>53</v>
      </c>
      <c r="D1640" s="8">
        <v>-300</v>
      </c>
      <c r="E1640" s="8">
        <f>E1639+(0-300)</f>
        <v>12669120.429999899</v>
      </c>
    </row>
    <row r="1641" spans="1:5" x14ac:dyDescent="0.25">
      <c r="A1641" s="2" t="s">
        <v>38</v>
      </c>
      <c r="B1641" s="6">
        <v>44862</v>
      </c>
      <c r="C1641" s="2" t="s">
        <v>53</v>
      </c>
      <c r="D1641" s="8">
        <v>-50</v>
      </c>
      <c r="E1641" s="8">
        <f>E1640+(0-50)</f>
        <v>12669070.429999899</v>
      </c>
    </row>
    <row r="1642" spans="1:5" x14ac:dyDescent="0.25">
      <c r="A1642" s="2" t="s">
        <v>38</v>
      </c>
      <c r="B1642" s="6">
        <v>44865</v>
      </c>
      <c r="C1642" s="2" t="s">
        <v>53</v>
      </c>
      <c r="D1642" s="8">
        <v>-53.75</v>
      </c>
      <c r="E1642" s="8">
        <f>E1641+(0-53.75)</f>
        <v>12669016.679999899</v>
      </c>
    </row>
    <row r="1643" spans="1:5" x14ac:dyDescent="0.25">
      <c r="A1643" s="2" t="s">
        <v>38</v>
      </c>
      <c r="B1643" s="6">
        <v>44865</v>
      </c>
      <c r="C1643" s="2" t="s">
        <v>53</v>
      </c>
      <c r="D1643" s="8">
        <v>-53.75</v>
      </c>
      <c r="E1643" s="8">
        <f>E1642+(0-53.75)</f>
        <v>12668962.929999899</v>
      </c>
    </row>
    <row r="1644" spans="1:5" x14ac:dyDescent="0.25">
      <c r="A1644" s="2" t="s">
        <v>38</v>
      </c>
      <c r="B1644" s="6">
        <v>44865</v>
      </c>
      <c r="C1644" s="2" t="s">
        <v>53</v>
      </c>
      <c r="D1644" s="8">
        <v>-53.75</v>
      </c>
      <c r="E1644" s="8">
        <f>E1643+(0-53.75)</f>
        <v>12668909.179999899</v>
      </c>
    </row>
    <row r="1645" spans="1:5" x14ac:dyDescent="0.25">
      <c r="A1645" s="2" t="s">
        <v>38</v>
      </c>
      <c r="B1645" s="6">
        <v>44865</v>
      </c>
      <c r="C1645" s="2" t="s">
        <v>53</v>
      </c>
      <c r="D1645" s="8">
        <v>-53.75</v>
      </c>
      <c r="E1645" s="8">
        <f>E1644+(0-53.75)</f>
        <v>12668855.429999899</v>
      </c>
    </row>
    <row r="1646" spans="1:5" x14ac:dyDescent="0.25">
      <c r="A1646" s="2" t="s">
        <v>38</v>
      </c>
      <c r="B1646" s="6">
        <v>44865</v>
      </c>
      <c r="C1646" s="2" t="s">
        <v>53</v>
      </c>
      <c r="D1646" s="8">
        <v>-50</v>
      </c>
      <c r="E1646" s="8">
        <f>E1645+(0-50)</f>
        <v>12668805.429999899</v>
      </c>
    </row>
    <row r="1647" spans="1:5" x14ac:dyDescent="0.25">
      <c r="A1647" s="2" t="s">
        <v>38</v>
      </c>
      <c r="B1647" s="6">
        <v>44865</v>
      </c>
      <c r="C1647" s="2" t="s">
        <v>53</v>
      </c>
      <c r="D1647" s="8">
        <v>-250</v>
      </c>
      <c r="E1647" s="8">
        <f>E1646+(0-250)</f>
        <v>12668555.429999899</v>
      </c>
    </row>
    <row r="1648" spans="1:5" x14ac:dyDescent="0.25">
      <c r="A1648" s="2" t="s">
        <v>38</v>
      </c>
      <c r="B1648" s="6">
        <v>44866</v>
      </c>
      <c r="C1648" s="2" t="s">
        <v>53</v>
      </c>
      <c r="D1648" s="8">
        <v>-50</v>
      </c>
      <c r="E1648" s="8">
        <f>E1647+(0-50)</f>
        <v>12668505.429999899</v>
      </c>
    </row>
    <row r="1649" spans="1:5" x14ac:dyDescent="0.25">
      <c r="A1649" s="2" t="s">
        <v>38</v>
      </c>
      <c r="B1649" s="6">
        <v>44866</v>
      </c>
      <c r="C1649" s="2" t="s">
        <v>53</v>
      </c>
      <c r="D1649" s="8">
        <v>-50</v>
      </c>
      <c r="E1649" s="8">
        <f>E1648+(0-50)</f>
        <v>12668455.429999899</v>
      </c>
    </row>
    <row r="1650" spans="1:5" x14ac:dyDescent="0.25">
      <c r="A1650" s="2" t="s">
        <v>38</v>
      </c>
      <c r="B1650" s="6">
        <v>44866</v>
      </c>
      <c r="C1650" s="2" t="s">
        <v>53</v>
      </c>
      <c r="D1650" s="8">
        <v>-350</v>
      </c>
      <c r="E1650" s="8">
        <f>E1649+(0-350)</f>
        <v>12668105.429999899</v>
      </c>
    </row>
    <row r="1651" spans="1:5" x14ac:dyDescent="0.25">
      <c r="A1651" s="2" t="s">
        <v>38</v>
      </c>
      <c r="B1651" s="6">
        <v>44867</v>
      </c>
      <c r="C1651" s="2" t="s">
        <v>53</v>
      </c>
      <c r="D1651" s="8">
        <v>-400</v>
      </c>
      <c r="E1651" s="8">
        <f>E1650+(0-400)</f>
        <v>12667705.429999899</v>
      </c>
    </row>
    <row r="1652" spans="1:5" x14ac:dyDescent="0.25">
      <c r="A1652" s="2" t="s">
        <v>38</v>
      </c>
      <c r="B1652" s="6">
        <v>44868</v>
      </c>
      <c r="C1652" s="2" t="s">
        <v>53</v>
      </c>
      <c r="D1652" s="8">
        <v>-150</v>
      </c>
      <c r="E1652" s="8">
        <f>E1651+(0-150)</f>
        <v>12667555.429999899</v>
      </c>
    </row>
    <row r="1653" spans="1:5" x14ac:dyDescent="0.25">
      <c r="A1653" s="2" t="s">
        <v>38</v>
      </c>
      <c r="B1653" s="6">
        <v>44869</v>
      </c>
      <c r="C1653" s="2" t="s">
        <v>53</v>
      </c>
      <c r="D1653" s="8">
        <v>-53.75</v>
      </c>
      <c r="E1653" s="8">
        <f>E1652+(0-53.75)</f>
        <v>12667501.679999899</v>
      </c>
    </row>
    <row r="1654" spans="1:5" x14ac:dyDescent="0.25">
      <c r="A1654" s="2" t="s">
        <v>38</v>
      </c>
      <c r="B1654" s="6">
        <v>44869</v>
      </c>
      <c r="C1654" s="2" t="s">
        <v>53</v>
      </c>
      <c r="D1654" s="8">
        <v>-300</v>
      </c>
      <c r="E1654" s="8">
        <f>E1653+(0-300)</f>
        <v>12667201.679999899</v>
      </c>
    </row>
    <row r="1655" spans="1:5" x14ac:dyDescent="0.25">
      <c r="A1655" s="2" t="s">
        <v>38</v>
      </c>
      <c r="B1655" s="6">
        <v>44872</v>
      </c>
      <c r="C1655" s="2" t="s">
        <v>53</v>
      </c>
      <c r="D1655" s="8">
        <v>-53.75</v>
      </c>
      <c r="E1655" s="8">
        <f>E1654+(0-53.75)</f>
        <v>12667147.929999899</v>
      </c>
    </row>
    <row r="1656" spans="1:5" x14ac:dyDescent="0.25">
      <c r="A1656" s="2" t="s">
        <v>38</v>
      </c>
      <c r="B1656" s="6">
        <v>44872</v>
      </c>
      <c r="C1656" s="2" t="s">
        <v>53</v>
      </c>
      <c r="D1656" s="8">
        <v>-50</v>
      </c>
      <c r="E1656" s="8">
        <f>E1655+(0-50)</f>
        <v>12667097.929999899</v>
      </c>
    </row>
    <row r="1657" spans="1:5" x14ac:dyDescent="0.25">
      <c r="A1657" s="2" t="s">
        <v>38</v>
      </c>
      <c r="B1657" s="6">
        <v>44872</v>
      </c>
      <c r="C1657" s="2" t="s">
        <v>53</v>
      </c>
      <c r="D1657" s="8">
        <v>-350</v>
      </c>
      <c r="E1657" s="8">
        <f>E1656+(0-350)</f>
        <v>12666747.929999899</v>
      </c>
    </row>
    <row r="1658" spans="1:5" x14ac:dyDescent="0.25">
      <c r="A1658" s="2" t="s">
        <v>38</v>
      </c>
      <c r="B1658" s="6">
        <v>44873</v>
      </c>
      <c r="C1658" s="2" t="s">
        <v>53</v>
      </c>
      <c r="D1658" s="8">
        <v>-50</v>
      </c>
      <c r="E1658" s="8">
        <f>E1657+(0-50)</f>
        <v>12666697.929999899</v>
      </c>
    </row>
    <row r="1659" spans="1:5" x14ac:dyDescent="0.25">
      <c r="A1659" s="2" t="s">
        <v>38</v>
      </c>
      <c r="B1659" s="6">
        <v>44873</v>
      </c>
      <c r="C1659" s="2" t="s">
        <v>53</v>
      </c>
      <c r="D1659" s="8">
        <v>-350</v>
      </c>
      <c r="E1659" s="8">
        <f>E1658+(0-350)</f>
        <v>12666347.929999899</v>
      </c>
    </row>
    <row r="1660" spans="1:5" x14ac:dyDescent="0.25">
      <c r="A1660" s="2" t="s">
        <v>38</v>
      </c>
      <c r="B1660" s="6">
        <v>44874</v>
      </c>
      <c r="C1660" s="2" t="s">
        <v>53</v>
      </c>
      <c r="D1660" s="8">
        <v>-450</v>
      </c>
      <c r="E1660" s="8">
        <f>E1659+(0-450)</f>
        <v>12665897.929999899</v>
      </c>
    </row>
    <row r="1661" spans="1:5" x14ac:dyDescent="0.25">
      <c r="A1661" s="2" t="s">
        <v>38</v>
      </c>
      <c r="B1661" s="6">
        <v>44875</v>
      </c>
      <c r="C1661" s="2" t="s">
        <v>53</v>
      </c>
      <c r="D1661" s="8">
        <v>-50</v>
      </c>
      <c r="E1661" s="8">
        <f>E1660+(0-50)</f>
        <v>12665847.929999899</v>
      </c>
    </row>
    <row r="1662" spans="1:5" x14ac:dyDescent="0.25">
      <c r="A1662" s="2" t="s">
        <v>38</v>
      </c>
      <c r="B1662" s="6">
        <v>44875</v>
      </c>
      <c r="C1662" s="2" t="s">
        <v>53</v>
      </c>
      <c r="D1662" s="8">
        <v>-450</v>
      </c>
      <c r="E1662" s="8">
        <f>E1661+(0-450)</f>
        <v>12665397.929999899</v>
      </c>
    </row>
    <row r="1663" spans="1:5" x14ac:dyDescent="0.25">
      <c r="A1663" s="2" t="s">
        <v>38</v>
      </c>
      <c r="B1663" s="6">
        <v>44875</v>
      </c>
      <c r="C1663" s="2" t="s">
        <v>53</v>
      </c>
      <c r="D1663" s="8">
        <v>-50</v>
      </c>
      <c r="E1663" s="8">
        <f>E1662+(0-50)</f>
        <v>12665347.929999899</v>
      </c>
    </row>
    <row r="1664" spans="1:5" x14ac:dyDescent="0.25">
      <c r="A1664" s="2" t="s">
        <v>38</v>
      </c>
      <c r="B1664" s="6">
        <v>44876</v>
      </c>
      <c r="C1664" s="2" t="s">
        <v>53</v>
      </c>
      <c r="D1664" s="8">
        <v>-50</v>
      </c>
      <c r="E1664" s="8">
        <f>E1663+(0-50)</f>
        <v>12665297.929999899</v>
      </c>
    </row>
    <row r="1665" spans="1:5" x14ac:dyDescent="0.25">
      <c r="A1665" s="2" t="s">
        <v>38</v>
      </c>
      <c r="B1665" s="6">
        <v>44876</v>
      </c>
      <c r="C1665" s="2" t="s">
        <v>53</v>
      </c>
      <c r="D1665" s="8">
        <v>-100</v>
      </c>
      <c r="E1665" s="8">
        <f>E1664+(0-100)</f>
        <v>12665197.929999899</v>
      </c>
    </row>
    <row r="1666" spans="1:5" x14ac:dyDescent="0.25">
      <c r="A1666" s="2" t="s">
        <v>38</v>
      </c>
      <c r="B1666" s="6">
        <v>44876</v>
      </c>
      <c r="C1666" s="2" t="s">
        <v>53</v>
      </c>
      <c r="D1666" s="8">
        <v>-53.75</v>
      </c>
      <c r="E1666" s="8">
        <f>E1665+(0-53.75)</f>
        <v>12665144.179999899</v>
      </c>
    </row>
    <row r="1667" spans="1:5" x14ac:dyDescent="0.25">
      <c r="A1667" s="2" t="s">
        <v>38</v>
      </c>
      <c r="B1667" s="6">
        <v>44879</v>
      </c>
      <c r="C1667" s="2" t="s">
        <v>53</v>
      </c>
      <c r="D1667" s="8">
        <v>-53.75</v>
      </c>
      <c r="E1667" s="8">
        <f>E1666+(0-53.75)</f>
        <v>12665090.429999899</v>
      </c>
    </row>
    <row r="1668" spans="1:5" x14ac:dyDescent="0.25">
      <c r="A1668" s="2" t="s">
        <v>38</v>
      </c>
      <c r="B1668" s="6">
        <v>44879</v>
      </c>
      <c r="C1668" s="2" t="s">
        <v>53</v>
      </c>
      <c r="D1668" s="8">
        <v>-26.88</v>
      </c>
      <c r="E1668" s="8">
        <f>E1667+(0-26.88)</f>
        <v>12665063.549999898</v>
      </c>
    </row>
    <row r="1669" spans="1:5" x14ac:dyDescent="0.25">
      <c r="A1669" s="2" t="s">
        <v>38</v>
      </c>
      <c r="B1669" s="6">
        <v>44879</v>
      </c>
      <c r="C1669" s="2" t="s">
        <v>53</v>
      </c>
      <c r="D1669" s="8">
        <v>-50</v>
      </c>
      <c r="E1669" s="8">
        <f>E1668+(0-50)</f>
        <v>12665013.549999898</v>
      </c>
    </row>
    <row r="1670" spans="1:5" x14ac:dyDescent="0.25">
      <c r="A1670" s="2" t="s">
        <v>38</v>
      </c>
      <c r="B1670" s="6">
        <v>44879</v>
      </c>
      <c r="C1670" s="2" t="s">
        <v>53</v>
      </c>
      <c r="D1670" s="8">
        <v>-50</v>
      </c>
      <c r="E1670" s="8">
        <f>E1669+(0-50)</f>
        <v>12664963.549999898</v>
      </c>
    </row>
    <row r="1671" spans="1:5" x14ac:dyDescent="0.25">
      <c r="A1671" s="2" t="s">
        <v>38</v>
      </c>
      <c r="B1671" s="6">
        <v>44879</v>
      </c>
      <c r="C1671" s="2" t="s">
        <v>53</v>
      </c>
      <c r="D1671" s="8">
        <v>-350</v>
      </c>
      <c r="E1671" s="8">
        <f>E1670+(0-350)</f>
        <v>12664613.549999898</v>
      </c>
    </row>
    <row r="1672" spans="1:5" x14ac:dyDescent="0.25">
      <c r="A1672" s="2" t="s">
        <v>38</v>
      </c>
      <c r="B1672" s="6">
        <v>44880</v>
      </c>
      <c r="C1672" s="2" t="s">
        <v>53</v>
      </c>
      <c r="D1672" s="8">
        <v>-50</v>
      </c>
      <c r="E1672" s="8">
        <f>E1671+(0-50)</f>
        <v>12664563.549999898</v>
      </c>
    </row>
    <row r="1673" spans="1:5" x14ac:dyDescent="0.25">
      <c r="A1673" s="2" t="s">
        <v>38</v>
      </c>
      <c r="B1673" s="6">
        <v>44880</v>
      </c>
      <c r="C1673" s="2" t="s">
        <v>53</v>
      </c>
      <c r="D1673" s="8">
        <v>-150</v>
      </c>
      <c r="E1673" s="8">
        <f>E1672+(0-150)</f>
        <v>12664413.549999898</v>
      </c>
    </row>
    <row r="1674" spans="1:5" x14ac:dyDescent="0.25">
      <c r="A1674" s="2" t="s">
        <v>38</v>
      </c>
      <c r="B1674" s="6">
        <v>44880</v>
      </c>
      <c r="C1674" s="2" t="s">
        <v>53</v>
      </c>
      <c r="D1674" s="8">
        <v>-26.88</v>
      </c>
      <c r="E1674" s="8">
        <f>E1673+(0-26.88)</f>
        <v>12664386.669999897</v>
      </c>
    </row>
    <row r="1675" spans="1:5" x14ac:dyDescent="0.25">
      <c r="A1675" s="2" t="s">
        <v>38</v>
      </c>
      <c r="B1675" s="6">
        <v>44881</v>
      </c>
      <c r="C1675" s="2" t="s">
        <v>53</v>
      </c>
      <c r="D1675" s="8">
        <v>-26.88</v>
      </c>
      <c r="E1675" s="8">
        <f>E1674+(0-26.88)</f>
        <v>12664359.789999897</v>
      </c>
    </row>
    <row r="1676" spans="1:5" x14ac:dyDescent="0.25">
      <c r="A1676" s="2" t="s">
        <v>38</v>
      </c>
      <c r="B1676" s="6">
        <v>44881</v>
      </c>
      <c r="C1676" s="2" t="s">
        <v>53</v>
      </c>
      <c r="D1676" s="8">
        <v>-10.75</v>
      </c>
      <c r="E1676" s="8">
        <f>E1675+(0-10.75)</f>
        <v>12664349.039999897</v>
      </c>
    </row>
    <row r="1677" spans="1:5" x14ac:dyDescent="0.25">
      <c r="A1677" s="2" t="s">
        <v>38</v>
      </c>
      <c r="B1677" s="6">
        <v>44881</v>
      </c>
      <c r="C1677" s="2" t="s">
        <v>53</v>
      </c>
      <c r="D1677" s="8">
        <v>-53.75</v>
      </c>
      <c r="E1677" s="8">
        <f>E1676+(0-53.75)</f>
        <v>12664295.289999897</v>
      </c>
    </row>
    <row r="1678" spans="1:5" x14ac:dyDescent="0.25">
      <c r="A1678" s="2" t="s">
        <v>38</v>
      </c>
      <c r="B1678" s="6">
        <v>44881</v>
      </c>
      <c r="C1678" s="2" t="s">
        <v>53</v>
      </c>
      <c r="D1678" s="8">
        <v>-250</v>
      </c>
      <c r="E1678" s="8">
        <f>E1677+(0-250)</f>
        <v>12664045.289999897</v>
      </c>
    </row>
    <row r="1679" spans="1:5" x14ac:dyDescent="0.25">
      <c r="A1679" s="2" t="s">
        <v>38</v>
      </c>
      <c r="B1679" s="6">
        <v>44881</v>
      </c>
      <c r="C1679" s="2" t="s">
        <v>53</v>
      </c>
      <c r="D1679" s="8">
        <v>-100</v>
      </c>
      <c r="E1679" s="8">
        <f>E1678+(0-100)</f>
        <v>12663945.289999897</v>
      </c>
    </row>
    <row r="1680" spans="1:5" x14ac:dyDescent="0.25">
      <c r="A1680" s="2" t="s">
        <v>38</v>
      </c>
      <c r="B1680" s="6">
        <v>44881</v>
      </c>
      <c r="C1680" s="2" t="s">
        <v>53</v>
      </c>
      <c r="D1680" s="8">
        <v>-53.75</v>
      </c>
      <c r="E1680" s="8">
        <f>E1679+(0-53.75)</f>
        <v>12663891.539999897</v>
      </c>
    </row>
    <row r="1681" spans="1:5" x14ac:dyDescent="0.25">
      <c r="A1681" s="2" t="s">
        <v>38</v>
      </c>
      <c r="B1681" s="6">
        <v>44882</v>
      </c>
      <c r="C1681" s="2" t="s">
        <v>53</v>
      </c>
      <c r="D1681" s="8">
        <v>-53.75</v>
      </c>
      <c r="E1681" s="8">
        <f>E1680+(0-53.75)</f>
        <v>12663837.789999897</v>
      </c>
    </row>
    <row r="1682" spans="1:5" x14ac:dyDescent="0.25">
      <c r="A1682" s="2" t="s">
        <v>38</v>
      </c>
      <c r="B1682" s="6">
        <v>44882</v>
      </c>
      <c r="C1682" s="2" t="s">
        <v>53</v>
      </c>
      <c r="D1682" s="8">
        <v>-300</v>
      </c>
      <c r="E1682" s="8">
        <f>E1681+(0-300)</f>
        <v>12663537.789999897</v>
      </c>
    </row>
    <row r="1683" spans="1:5" x14ac:dyDescent="0.25">
      <c r="A1683" s="2" t="s">
        <v>38</v>
      </c>
      <c r="B1683" s="6">
        <v>44883</v>
      </c>
      <c r="C1683" s="2" t="s">
        <v>53</v>
      </c>
      <c r="D1683" s="8">
        <v>-100</v>
      </c>
      <c r="E1683" s="8">
        <f>E1682+(0-100)</f>
        <v>12663437.789999897</v>
      </c>
    </row>
    <row r="1684" spans="1:5" x14ac:dyDescent="0.25">
      <c r="A1684" s="2" t="s">
        <v>38</v>
      </c>
      <c r="B1684" s="6">
        <v>44886</v>
      </c>
      <c r="C1684" s="2" t="s">
        <v>53</v>
      </c>
      <c r="D1684" s="8">
        <v>-26.88</v>
      </c>
      <c r="E1684" s="8">
        <f>E1683+(0-26.88)</f>
        <v>12663410.909999896</v>
      </c>
    </row>
    <row r="1685" spans="1:5" x14ac:dyDescent="0.25">
      <c r="A1685" s="2" t="s">
        <v>38</v>
      </c>
      <c r="B1685" s="6">
        <v>44886</v>
      </c>
      <c r="C1685" s="2" t="s">
        <v>19</v>
      </c>
      <c r="D1685" s="8">
        <v>-20</v>
      </c>
      <c r="E1685" s="8">
        <f>E1684+(0-20)</f>
        <v>12663390.909999896</v>
      </c>
    </row>
    <row r="1686" spans="1:5" x14ac:dyDescent="0.25">
      <c r="A1686" s="2" t="s">
        <v>38</v>
      </c>
      <c r="B1686" s="6">
        <v>44886</v>
      </c>
      <c r="C1686" s="2" t="s">
        <v>19</v>
      </c>
      <c r="D1686" s="8">
        <v>-4</v>
      </c>
      <c r="E1686" s="8">
        <f>E1685+(0-4)</f>
        <v>12663386.909999896</v>
      </c>
    </row>
    <row r="1687" spans="1:5" x14ac:dyDescent="0.25">
      <c r="A1687" s="2" t="s">
        <v>38</v>
      </c>
      <c r="B1687" s="6">
        <v>44886</v>
      </c>
      <c r="C1687" s="2" t="s">
        <v>19</v>
      </c>
      <c r="D1687" s="8">
        <v>-32</v>
      </c>
      <c r="E1687" s="8">
        <f>E1686+(0-32)</f>
        <v>12663354.909999896</v>
      </c>
    </row>
    <row r="1688" spans="1:5" x14ac:dyDescent="0.25">
      <c r="A1688" s="2" t="s">
        <v>38</v>
      </c>
      <c r="B1688" s="6">
        <v>44886</v>
      </c>
      <c r="C1688" s="2" t="s">
        <v>19</v>
      </c>
      <c r="D1688" s="8">
        <v>-48</v>
      </c>
      <c r="E1688" s="8">
        <f>E1687+(0-48)</f>
        <v>12663306.909999896</v>
      </c>
    </row>
    <row r="1689" spans="1:5" x14ac:dyDescent="0.25">
      <c r="A1689" s="2" t="s">
        <v>38</v>
      </c>
      <c r="B1689" s="6">
        <v>44886</v>
      </c>
      <c r="C1689" s="2" t="s">
        <v>19</v>
      </c>
      <c r="D1689" s="8">
        <v>-52</v>
      </c>
      <c r="E1689" s="8">
        <f>E1688+(0-52)</f>
        <v>12663254.909999896</v>
      </c>
    </row>
    <row r="1690" spans="1:5" x14ac:dyDescent="0.25">
      <c r="A1690" s="2" t="s">
        <v>38</v>
      </c>
      <c r="B1690" s="6">
        <v>44886</v>
      </c>
      <c r="C1690" s="2" t="s">
        <v>19</v>
      </c>
      <c r="D1690" s="8">
        <v>-124</v>
      </c>
      <c r="E1690" s="8">
        <f>E1689+(0-124)</f>
        <v>12663130.909999896</v>
      </c>
    </row>
    <row r="1691" spans="1:5" x14ac:dyDescent="0.25">
      <c r="A1691" s="2" t="s">
        <v>38</v>
      </c>
      <c r="B1691" s="6">
        <v>44886</v>
      </c>
      <c r="C1691" s="2" t="s">
        <v>19</v>
      </c>
      <c r="D1691" s="8">
        <v>-32</v>
      </c>
      <c r="E1691" s="8">
        <f>E1690+(0-32)</f>
        <v>12663098.909999896</v>
      </c>
    </row>
    <row r="1692" spans="1:5" x14ac:dyDescent="0.25">
      <c r="A1692" s="2" t="s">
        <v>38</v>
      </c>
      <c r="B1692" s="6">
        <v>44886</v>
      </c>
      <c r="C1692" s="2" t="s">
        <v>19</v>
      </c>
      <c r="D1692" s="8">
        <v>-8</v>
      </c>
      <c r="E1692" s="8">
        <f>E1691+(0-8)</f>
        <v>12663090.909999896</v>
      </c>
    </row>
    <row r="1693" spans="1:5" x14ac:dyDescent="0.25">
      <c r="A1693" s="2" t="s">
        <v>38</v>
      </c>
      <c r="B1693" s="6">
        <v>44886</v>
      </c>
      <c r="C1693" s="2" t="s">
        <v>19</v>
      </c>
      <c r="D1693" s="8">
        <v>-20</v>
      </c>
      <c r="E1693" s="8">
        <f>E1692+(0-20)</f>
        <v>12663070.909999896</v>
      </c>
    </row>
    <row r="1694" spans="1:5" x14ac:dyDescent="0.25">
      <c r="A1694" s="2" t="s">
        <v>38</v>
      </c>
      <c r="B1694" s="6">
        <v>44886</v>
      </c>
      <c r="C1694" s="2" t="s">
        <v>19</v>
      </c>
      <c r="D1694" s="8">
        <v>-56</v>
      </c>
      <c r="E1694" s="8">
        <f>E1693+(0-56)</f>
        <v>12663014.909999896</v>
      </c>
    </row>
    <row r="1695" spans="1:5" x14ac:dyDescent="0.25">
      <c r="A1695" s="2" t="s">
        <v>38</v>
      </c>
      <c r="B1695" s="6">
        <v>44886</v>
      </c>
      <c r="C1695" s="2" t="s">
        <v>19</v>
      </c>
      <c r="D1695" s="8">
        <v>-52</v>
      </c>
      <c r="E1695" s="8">
        <f>E1694+(0-52)</f>
        <v>12662962.909999896</v>
      </c>
    </row>
    <row r="1696" spans="1:5" x14ac:dyDescent="0.25">
      <c r="A1696" s="2" t="s">
        <v>38</v>
      </c>
      <c r="B1696" s="6">
        <v>44886</v>
      </c>
      <c r="C1696" s="2" t="s">
        <v>53</v>
      </c>
      <c r="D1696" s="8">
        <v>-50</v>
      </c>
      <c r="E1696" s="8">
        <f>E1695+(0-50)</f>
        <v>12662912.909999896</v>
      </c>
    </row>
    <row r="1697" spans="1:5" x14ac:dyDescent="0.25">
      <c r="A1697" s="2" t="s">
        <v>38</v>
      </c>
      <c r="B1697" s="6">
        <v>44886</v>
      </c>
      <c r="C1697" s="2" t="s">
        <v>19</v>
      </c>
      <c r="D1697" s="8">
        <v>-40</v>
      </c>
      <c r="E1697" s="8">
        <f>E1696+(0-40)</f>
        <v>12662872.909999896</v>
      </c>
    </row>
    <row r="1698" spans="1:5" x14ac:dyDescent="0.25">
      <c r="A1698" s="2" t="s">
        <v>38</v>
      </c>
      <c r="B1698" s="6">
        <v>44886</v>
      </c>
      <c r="C1698" s="2" t="s">
        <v>188</v>
      </c>
      <c r="D1698" s="8">
        <v>-450</v>
      </c>
      <c r="E1698" s="8">
        <f>E1697+(0-450)</f>
        <v>12662422.909999896</v>
      </c>
    </row>
    <row r="1699" spans="1:5" x14ac:dyDescent="0.25">
      <c r="A1699" s="2" t="s">
        <v>38</v>
      </c>
      <c r="B1699" s="6">
        <v>44887</v>
      </c>
      <c r="C1699" s="2" t="s">
        <v>19</v>
      </c>
      <c r="D1699" s="8">
        <v>-52</v>
      </c>
      <c r="E1699" s="8">
        <f>E1698+(0-52)</f>
        <v>12662370.909999896</v>
      </c>
    </row>
    <row r="1700" spans="1:5" x14ac:dyDescent="0.25">
      <c r="A1700" s="2" t="s">
        <v>38</v>
      </c>
      <c r="B1700" s="6">
        <v>44887</v>
      </c>
      <c r="C1700" s="2" t="s">
        <v>19</v>
      </c>
      <c r="D1700" s="8">
        <v>-48</v>
      </c>
      <c r="E1700" s="8">
        <f>E1699+(0-48)</f>
        <v>12662322.909999896</v>
      </c>
    </row>
    <row r="1701" spans="1:5" x14ac:dyDescent="0.25">
      <c r="A1701" s="2" t="s">
        <v>38</v>
      </c>
      <c r="B1701" s="6">
        <v>44887</v>
      </c>
      <c r="C1701" s="2" t="s">
        <v>53</v>
      </c>
      <c r="D1701" s="8">
        <v>-53.75</v>
      </c>
      <c r="E1701" s="8">
        <f>E1700+(0-53.75)</f>
        <v>12662269.159999896</v>
      </c>
    </row>
    <row r="1702" spans="1:5" x14ac:dyDescent="0.25">
      <c r="A1702" s="2" t="s">
        <v>38</v>
      </c>
      <c r="B1702" s="6">
        <v>44887</v>
      </c>
      <c r="C1702" s="2" t="s">
        <v>19</v>
      </c>
      <c r="D1702" s="8">
        <v>-52</v>
      </c>
      <c r="E1702" s="8">
        <f>E1701+(0-52)</f>
        <v>12662217.159999896</v>
      </c>
    </row>
    <row r="1703" spans="1:5" x14ac:dyDescent="0.25">
      <c r="A1703" s="2" t="s">
        <v>38</v>
      </c>
      <c r="B1703" s="6">
        <v>44887</v>
      </c>
      <c r="C1703" s="2" t="s">
        <v>53</v>
      </c>
      <c r="D1703" s="8">
        <v>-50</v>
      </c>
      <c r="E1703" s="8">
        <f>E1702+(0-50)</f>
        <v>12662167.159999896</v>
      </c>
    </row>
    <row r="1704" spans="1:5" x14ac:dyDescent="0.25">
      <c r="A1704" s="2" t="s">
        <v>38</v>
      </c>
      <c r="B1704" s="6">
        <v>44887</v>
      </c>
      <c r="C1704" s="2" t="s">
        <v>53</v>
      </c>
      <c r="D1704" s="8">
        <v>-50</v>
      </c>
      <c r="E1704" s="8">
        <f>E1703+(0-50)</f>
        <v>12662117.159999896</v>
      </c>
    </row>
    <row r="1705" spans="1:5" x14ac:dyDescent="0.25">
      <c r="A1705" s="2" t="s">
        <v>38</v>
      </c>
      <c r="B1705" s="6">
        <v>44887</v>
      </c>
      <c r="C1705" s="2" t="s">
        <v>53</v>
      </c>
      <c r="D1705" s="8">
        <v>-50</v>
      </c>
      <c r="E1705" s="8">
        <f>E1704+(0-50)</f>
        <v>12662067.159999896</v>
      </c>
    </row>
    <row r="1706" spans="1:5" x14ac:dyDescent="0.25">
      <c r="A1706" s="2" t="s">
        <v>38</v>
      </c>
      <c r="B1706" s="6">
        <v>44887</v>
      </c>
      <c r="C1706" s="2" t="s">
        <v>19</v>
      </c>
      <c r="D1706" s="8">
        <v>-64</v>
      </c>
      <c r="E1706" s="8">
        <f>E1705+(0-64)</f>
        <v>12662003.159999896</v>
      </c>
    </row>
    <row r="1707" spans="1:5" x14ac:dyDescent="0.25">
      <c r="A1707" s="2" t="s">
        <v>38</v>
      </c>
      <c r="B1707" s="6">
        <v>44887</v>
      </c>
      <c r="C1707" s="2" t="s">
        <v>19</v>
      </c>
      <c r="D1707" s="8">
        <v>-68</v>
      </c>
      <c r="E1707" s="8">
        <f>E1706+(0-68)</f>
        <v>12661935.159999896</v>
      </c>
    </row>
    <row r="1708" spans="1:5" x14ac:dyDescent="0.25">
      <c r="A1708" s="2" t="s">
        <v>38</v>
      </c>
      <c r="B1708" s="6">
        <v>44887</v>
      </c>
      <c r="C1708" s="2" t="s">
        <v>53</v>
      </c>
      <c r="D1708" s="8">
        <v>-150</v>
      </c>
      <c r="E1708" s="8">
        <f>E1707+(0-150)</f>
        <v>12661785.159999896</v>
      </c>
    </row>
    <row r="1709" spans="1:5" x14ac:dyDescent="0.25">
      <c r="A1709" s="2" t="s">
        <v>38</v>
      </c>
      <c r="B1709" s="6">
        <v>44887</v>
      </c>
      <c r="C1709" s="2" t="s">
        <v>19</v>
      </c>
      <c r="D1709" s="8">
        <v>-80</v>
      </c>
      <c r="E1709" s="8">
        <f>E1708+(0-80)</f>
        <v>12661705.159999896</v>
      </c>
    </row>
    <row r="1710" spans="1:5" x14ac:dyDescent="0.25">
      <c r="A1710" s="2" t="s">
        <v>38</v>
      </c>
      <c r="B1710" s="6">
        <v>44888</v>
      </c>
      <c r="C1710" s="2" t="s">
        <v>19</v>
      </c>
      <c r="D1710" s="8">
        <v>-44</v>
      </c>
      <c r="E1710" s="8">
        <f>E1709+(0-44)</f>
        <v>12661661.159999896</v>
      </c>
    </row>
    <row r="1711" spans="1:5" x14ac:dyDescent="0.25">
      <c r="A1711" s="2" t="s">
        <v>38</v>
      </c>
      <c r="B1711" s="6">
        <v>44888</v>
      </c>
      <c r="C1711" s="2" t="s">
        <v>53</v>
      </c>
      <c r="D1711" s="8">
        <v>-50</v>
      </c>
      <c r="E1711" s="8">
        <f>E1710+(0-50)</f>
        <v>12661611.159999896</v>
      </c>
    </row>
    <row r="1712" spans="1:5" x14ac:dyDescent="0.25">
      <c r="A1712" s="2" t="s">
        <v>38</v>
      </c>
      <c r="B1712" s="6">
        <v>44888</v>
      </c>
      <c r="C1712" s="2" t="s">
        <v>53</v>
      </c>
      <c r="D1712" s="8">
        <v>-53.75</v>
      </c>
      <c r="E1712" s="8">
        <f>E1711+(0-53.75)</f>
        <v>12661557.409999896</v>
      </c>
    </row>
    <row r="1713" spans="1:5" x14ac:dyDescent="0.25">
      <c r="A1713" s="2" t="s">
        <v>38</v>
      </c>
      <c r="B1713" s="6">
        <v>44888</v>
      </c>
      <c r="C1713" s="2" t="s">
        <v>53</v>
      </c>
      <c r="D1713" s="8">
        <v>-300</v>
      </c>
      <c r="E1713" s="8">
        <f>E1712+(0-300)</f>
        <v>12661257.409999896</v>
      </c>
    </row>
    <row r="1714" spans="1:5" x14ac:dyDescent="0.25">
      <c r="A1714" s="2" t="s">
        <v>38</v>
      </c>
      <c r="B1714" s="6">
        <v>44889</v>
      </c>
      <c r="C1714" s="2" t="s">
        <v>53</v>
      </c>
      <c r="D1714" s="8">
        <v>-200</v>
      </c>
      <c r="E1714" s="8">
        <f>E1713+(0-200)</f>
        <v>12661057.409999896</v>
      </c>
    </row>
    <row r="1715" spans="1:5" x14ac:dyDescent="0.25">
      <c r="A1715" s="2" t="s">
        <v>38</v>
      </c>
      <c r="B1715" s="6">
        <v>44890</v>
      </c>
      <c r="C1715" s="2" t="s">
        <v>189</v>
      </c>
      <c r="D1715" s="8">
        <v>-225</v>
      </c>
      <c r="E1715" s="8">
        <f>E1714+(0-225)</f>
        <v>12660832.409999896</v>
      </c>
    </row>
    <row r="1716" spans="1:5" x14ac:dyDescent="0.25">
      <c r="A1716" s="2" t="s">
        <v>38</v>
      </c>
      <c r="B1716" s="6">
        <v>44890</v>
      </c>
      <c r="C1716" s="2" t="s">
        <v>190</v>
      </c>
      <c r="D1716" s="8">
        <v>-3000</v>
      </c>
      <c r="E1716" s="8">
        <f>E1715+(0-3000)</f>
        <v>12657832.409999896</v>
      </c>
    </row>
    <row r="1717" spans="1:5" x14ac:dyDescent="0.25">
      <c r="A1717" s="2" t="s">
        <v>38</v>
      </c>
      <c r="B1717" s="6">
        <v>44890</v>
      </c>
      <c r="C1717" s="2" t="s">
        <v>53</v>
      </c>
      <c r="D1717" s="8">
        <v>-50</v>
      </c>
      <c r="E1717" s="8">
        <f>E1716+(0-50)</f>
        <v>12657782.409999896</v>
      </c>
    </row>
    <row r="1718" spans="1:5" x14ac:dyDescent="0.25">
      <c r="A1718" s="2" t="s">
        <v>38</v>
      </c>
      <c r="B1718" s="6">
        <v>44890</v>
      </c>
      <c r="C1718" s="2" t="s">
        <v>53</v>
      </c>
      <c r="D1718" s="8">
        <v>-200</v>
      </c>
      <c r="E1718" s="8">
        <f>E1717+(0-200)</f>
        <v>12657582.409999896</v>
      </c>
    </row>
    <row r="1719" spans="1:5" x14ac:dyDescent="0.25">
      <c r="A1719" s="2" t="s">
        <v>38</v>
      </c>
      <c r="B1719" s="6">
        <v>44893</v>
      </c>
      <c r="C1719" s="2" t="s">
        <v>53</v>
      </c>
      <c r="D1719" s="8">
        <v>-50</v>
      </c>
      <c r="E1719" s="8">
        <f>E1718+(0-50)</f>
        <v>12657532.409999896</v>
      </c>
    </row>
    <row r="1720" spans="1:5" x14ac:dyDescent="0.25">
      <c r="A1720" s="2" t="s">
        <v>38</v>
      </c>
      <c r="B1720" s="6">
        <v>44893</v>
      </c>
      <c r="C1720" s="2" t="s">
        <v>53</v>
      </c>
      <c r="D1720" s="8">
        <v>-50</v>
      </c>
      <c r="E1720" s="8">
        <f>E1719+(0-50)</f>
        <v>12657482.409999896</v>
      </c>
    </row>
    <row r="1721" spans="1:5" x14ac:dyDescent="0.25">
      <c r="A1721" s="2" t="s">
        <v>38</v>
      </c>
      <c r="B1721" s="6">
        <v>44894</v>
      </c>
      <c r="C1721" s="2" t="s">
        <v>53</v>
      </c>
      <c r="D1721" s="8">
        <v>-26.88</v>
      </c>
      <c r="E1721" s="8">
        <f>E1720+(0-26.88)</f>
        <v>12657455.529999895</v>
      </c>
    </row>
    <row r="1722" spans="1:5" x14ac:dyDescent="0.25">
      <c r="A1722" s="2" t="s">
        <v>38</v>
      </c>
      <c r="B1722" s="6">
        <v>44894</v>
      </c>
      <c r="C1722" s="2" t="s">
        <v>53</v>
      </c>
      <c r="D1722" s="8">
        <v>-53.75</v>
      </c>
      <c r="E1722" s="8">
        <f>E1721+(0-53.75)</f>
        <v>12657401.779999895</v>
      </c>
    </row>
    <row r="1723" spans="1:5" x14ac:dyDescent="0.25">
      <c r="A1723" s="2" t="s">
        <v>38</v>
      </c>
      <c r="B1723" s="6">
        <v>44894</v>
      </c>
      <c r="C1723" s="2" t="s">
        <v>53</v>
      </c>
      <c r="D1723" s="8">
        <v>-26.88</v>
      </c>
      <c r="E1723" s="8">
        <f>E1722+(0-26.88)</f>
        <v>12657374.899999894</v>
      </c>
    </row>
    <row r="1724" spans="1:5" x14ac:dyDescent="0.25">
      <c r="A1724" s="2" t="s">
        <v>38</v>
      </c>
      <c r="B1724" s="6">
        <v>44894</v>
      </c>
      <c r="C1724" s="2" t="s">
        <v>53</v>
      </c>
      <c r="D1724" s="8">
        <v>-53.75</v>
      </c>
      <c r="E1724" s="8">
        <f>E1723+(0-53.75)</f>
        <v>12657321.149999894</v>
      </c>
    </row>
    <row r="1725" spans="1:5" x14ac:dyDescent="0.25">
      <c r="A1725" s="2" t="s">
        <v>38</v>
      </c>
      <c r="B1725" s="6">
        <v>44894</v>
      </c>
      <c r="C1725" s="2" t="s">
        <v>53</v>
      </c>
      <c r="D1725" s="8">
        <v>-26.88</v>
      </c>
      <c r="E1725" s="8">
        <f>E1724+(0-26.88)</f>
        <v>12657294.269999893</v>
      </c>
    </row>
    <row r="1726" spans="1:5" x14ac:dyDescent="0.25">
      <c r="A1726" s="2" t="s">
        <v>38</v>
      </c>
      <c r="B1726" s="6">
        <v>44894</v>
      </c>
      <c r="C1726" s="2" t="s">
        <v>53</v>
      </c>
      <c r="D1726" s="8">
        <v>-26.88</v>
      </c>
      <c r="E1726" s="8">
        <f>E1725+(0-26.88)</f>
        <v>12657267.389999893</v>
      </c>
    </row>
    <row r="1727" spans="1:5" x14ac:dyDescent="0.25">
      <c r="A1727" s="2" t="s">
        <v>38</v>
      </c>
      <c r="B1727" s="6">
        <v>44894</v>
      </c>
      <c r="C1727" s="2" t="s">
        <v>53</v>
      </c>
      <c r="D1727" s="8">
        <v>-26.88</v>
      </c>
      <c r="E1727" s="8">
        <f>E1726+(0-26.88)</f>
        <v>12657240.509999892</v>
      </c>
    </row>
    <row r="1728" spans="1:5" x14ac:dyDescent="0.25">
      <c r="A1728" s="2" t="s">
        <v>38</v>
      </c>
      <c r="B1728" s="6">
        <v>44894</v>
      </c>
      <c r="C1728" s="2" t="s">
        <v>53</v>
      </c>
      <c r="D1728" s="8">
        <v>-500</v>
      </c>
      <c r="E1728" s="8">
        <f>E1727+(0-500)</f>
        <v>12656740.509999892</v>
      </c>
    </row>
    <row r="1729" spans="1:5" x14ac:dyDescent="0.25">
      <c r="A1729" s="2" t="s">
        <v>38</v>
      </c>
      <c r="B1729" s="6">
        <v>44895</v>
      </c>
      <c r="C1729" s="2" t="s">
        <v>53</v>
      </c>
      <c r="D1729" s="8">
        <v>-53.75</v>
      </c>
      <c r="E1729" s="8">
        <f>E1728+(0-53.75)</f>
        <v>12656686.759999892</v>
      </c>
    </row>
    <row r="1730" spans="1:5" x14ac:dyDescent="0.25">
      <c r="A1730" s="2" t="s">
        <v>38</v>
      </c>
      <c r="B1730" s="6">
        <v>44895</v>
      </c>
      <c r="C1730" s="2" t="s">
        <v>53</v>
      </c>
      <c r="D1730" s="8">
        <v>-26.88</v>
      </c>
      <c r="E1730" s="8">
        <f>E1729+(0-26.88)</f>
        <v>12656659.879999891</v>
      </c>
    </row>
    <row r="1731" spans="1:5" x14ac:dyDescent="0.25">
      <c r="A1731" s="2" t="s">
        <v>38</v>
      </c>
      <c r="B1731" s="6">
        <v>44895</v>
      </c>
      <c r="C1731" s="2" t="s">
        <v>53</v>
      </c>
      <c r="D1731" s="8">
        <v>-50</v>
      </c>
      <c r="E1731" s="8">
        <f>E1730+(0-50)</f>
        <v>12656609.879999891</v>
      </c>
    </row>
    <row r="1732" spans="1:5" x14ac:dyDescent="0.25">
      <c r="A1732" s="2" t="s">
        <v>38</v>
      </c>
      <c r="B1732" s="6">
        <v>44895</v>
      </c>
      <c r="C1732" s="2" t="s">
        <v>53</v>
      </c>
      <c r="D1732" s="8">
        <v>-50</v>
      </c>
      <c r="E1732" s="8">
        <f>E1731+(0-50)</f>
        <v>12656559.879999891</v>
      </c>
    </row>
    <row r="1733" spans="1:5" x14ac:dyDescent="0.25">
      <c r="A1733" s="2" t="s">
        <v>38</v>
      </c>
      <c r="B1733" s="6">
        <v>44896</v>
      </c>
      <c r="C1733" s="2" t="s">
        <v>53</v>
      </c>
      <c r="D1733" s="8">
        <v>-53.75</v>
      </c>
      <c r="E1733" s="8">
        <f>E1732+(0-53.75)</f>
        <v>12656506.129999891</v>
      </c>
    </row>
    <row r="1734" spans="1:5" x14ac:dyDescent="0.25">
      <c r="A1734" s="2" t="s">
        <v>38</v>
      </c>
      <c r="B1734" s="6">
        <v>44896</v>
      </c>
      <c r="C1734" s="2" t="s">
        <v>53</v>
      </c>
      <c r="D1734" s="8">
        <v>-50</v>
      </c>
      <c r="E1734" s="8">
        <f>E1733+(0-50)</f>
        <v>12656456.129999891</v>
      </c>
    </row>
    <row r="1735" spans="1:5" x14ac:dyDescent="0.25">
      <c r="A1735" s="2" t="s">
        <v>38</v>
      </c>
      <c r="B1735" s="6">
        <v>44896</v>
      </c>
      <c r="C1735" s="2" t="s">
        <v>53</v>
      </c>
      <c r="D1735" s="8">
        <v>-300</v>
      </c>
      <c r="E1735" s="8">
        <f>E1734+(0-300)</f>
        <v>12656156.129999891</v>
      </c>
    </row>
    <row r="1736" spans="1:5" x14ac:dyDescent="0.25">
      <c r="A1736" s="2" t="s">
        <v>38</v>
      </c>
      <c r="B1736" s="6">
        <v>44897</v>
      </c>
      <c r="C1736" s="2" t="s">
        <v>53</v>
      </c>
      <c r="D1736" s="8">
        <v>-26.88</v>
      </c>
      <c r="E1736" s="8">
        <f>E1735+(0-26.88)</f>
        <v>12656129.24999989</v>
      </c>
    </row>
    <row r="1737" spans="1:5" x14ac:dyDescent="0.25">
      <c r="A1737" s="2" t="s">
        <v>38</v>
      </c>
      <c r="B1737" s="6">
        <v>44897</v>
      </c>
      <c r="C1737" s="2" t="s">
        <v>53</v>
      </c>
      <c r="D1737" s="8">
        <v>-350</v>
      </c>
      <c r="E1737" s="8">
        <f>E1736+(0-350)</f>
        <v>12655779.24999989</v>
      </c>
    </row>
    <row r="1738" spans="1:5" x14ac:dyDescent="0.25">
      <c r="A1738" s="2" t="s">
        <v>38</v>
      </c>
      <c r="B1738" s="6">
        <v>44900</v>
      </c>
      <c r="C1738" s="2" t="s">
        <v>53</v>
      </c>
      <c r="D1738" s="8">
        <v>-53.75</v>
      </c>
      <c r="E1738" s="8">
        <f>E1737+(0-53.75)</f>
        <v>12655725.49999989</v>
      </c>
    </row>
    <row r="1739" spans="1:5" x14ac:dyDescent="0.25">
      <c r="A1739" s="2" t="s">
        <v>38</v>
      </c>
      <c r="B1739" s="6">
        <v>44900</v>
      </c>
      <c r="C1739" s="2" t="s">
        <v>53</v>
      </c>
      <c r="D1739" s="8">
        <v>-53.75</v>
      </c>
      <c r="E1739" s="8">
        <f>E1738+(0-53.75)</f>
        <v>12655671.74999989</v>
      </c>
    </row>
    <row r="1740" spans="1:5" x14ac:dyDescent="0.25">
      <c r="A1740" s="2" t="s">
        <v>38</v>
      </c>
      <c r="B1740" s="6">
        <v>44900</v>
      </c>
      <c r="C1740" s="2" t="s">
        <v>53</v>
      </c>
      <c r="D1740" s="8">
        <v>-26.88</v>
      </c>
      <c r="E1740" s="8">
        <f>E1739+(0-26.88)</f>
        <v>12655644.869999889</v>
      </c>
    </row>
    <row r="1741" spans="1:5" x14ac:dyDescent="0.25">
      <c r="A1741" s="2" t="s">
        <v>38</v>
      </c>
      <c r="B1741" s="6">
        <v>44900</v>
      </c>
      <c r="C1741" s="2" t="s">
        <v>53</v>
      </c>
      <c r="D1741" s="8">
        <v>-400</v>
      </c>
      <c r="E1741" s="8">
        <f>E1740+(0-400)</f>
        <v>12655244.869999889</v>
      </c>
    </row>
    <row r="1742" spans="1:5" x14ac:dyDescent="0.25">
      <c r="A1742" s="2" t="s">
        <v>38</v>
      </c>
      <c r="B1742" s="6">
        <v>44901</v>
      </c>
      <c r="C1742" s="2" t="s">
        <v>53</v>
      </c>
      <c r="D1742" s="8">
        <v>-53.75</v>
      </c>
      <c r="E1742" s="8">
        <f>E1741+(0-53.75)</f>
        <v>12655191.119999889</v>
      </c>
    </row>
    <row r="1743" spans="1:5" x14ac:dyDescent="0.25">
      <c r="A1743" s="2" t="s">
        <v>38</v>
      </c>
      <c r="B1743" s="6">
        <v>44901</v>
      </c>
      <c r="C1743" s="2" t="s">
        <v>53</v>
      </c>
      <c r="D1743" s="8">
        <v>-53.75</v>
      </c>
      <c r="E1743" s="8">
        <f>E1742+(0-53.75)</f>
        <v>12655137.369999889</v>
      </c>
    </row>
    <row r="1744" spans="1:5" x14ac:dyDescent="0.25">
      <c r="A1744" s="2" t="s">
        <v>38</v>
      </c>
      <c r="B1744" s="6">
        <v>44901</v>
      </c>
      <c r="C1744" s="2" t="s">
        <v>53</v>
      </c>
      <c r="D1744" s="8">
        <v>-53.75</v>
      </c>
      <c r="E1744" s="8">
        <f>E1743+(0-53.75)</f>
        <v>12655083.619999889</v>
      </c>
    </row>
    <row r="1745" spans="1:5" x14ac:dyDescent="0.25">
      <c r="A1745" s="2" t="s">
        <v>38</v>
      </c>
      <c r="B1745" s="6">
        <v>44901</v>
      </c>
      <c r="C1745" s="2" t="s">
        <v>53</v>
      </c>
      <c r="D1745" s="8">
        <v>-53.75</v>
      </c>
      <c r="E1745" s="8">
        <f>E1744+(0-53.75)</f>
        <v>12655029.869999889</v>
      </c>
    </row>
    <row r="1746" spans="1:5" x14ac:dyDescent="0.25">
      <c r="A1746" s="2" t="s">
        <v>38</v>
      </c>
      <c r="B1746" s="6">
        <v>44901</v>
      </c>
      <c r="C1746" s="2" t="s">
        <v>53</v>
      </c>
      <c r="D1746" s="8">
        <v>-300</v>
      </c>
      <c r="E1746" s="8">
        <f>E1745+(0-300)</f>
        <v>12654729.869999889</v>
      </c>
    </row>
    <row r="1747" spans="1:5" x14ac:dyDescent="0.25">
      <c r="A1747" s="2" t="s">
        <v>38</v>
      </c>
      <c r="B1747" s="6">
        <v>44901</v>
      </c>
      <c r="C1747" s="2" t="s">
        <v>53</v>
      </c>
      <c r="D1747" s="8">
        <v>-53.75</v>
      </c>
      <c r="E1747" s="8">
        <f>E1746+(0-53.75)</f>
        <v>12654676.119999889</v>
      </c>
    </row>
    <row r="1748" spans="1:5" x14ac:dyDescent="0.25">
      <c r="A1748" s="2" t="s">
        <v>38</v>
      </c>
      <c r="B1748" s="6">
        <v>44902</v>
      </c>
      <c r="C1748" s="2" t="s">
        <v>53</v>
      </c>
      <c r="D1748" s="8">
        <v>-150</v>
      </c>
      <c r="E1748" s="8">
        <f>E1747+(0-150)</f>
        <v>12654526.119999889</v>
      </c>
    </row>
    <row r="1749" spans="1:5" x14ac:dyDescent="0.25">
      <c r="A1749" s="2" t="s">
        <v>38</v>
      </c>
      <c r="B1749" s="6">
        <v>44903</v>
      </c>
      <c r="C1749" s="2" t="s">
        <v>53</v>
      </c>
      <c r="D1749" s="8">
        <v>-53.75</v>
      </c>
      <c r="E1749" s="8">
        <f>E1748+(0-53.75)</f>
        <v>12654472.369999889</v>
      </c>
    </row>
    <row r="1750" spans="1:5" x14ac:dyDescent="0.25">
      <c r="A1750" s="2" t="s">
        <v>38</v>
      </c>
      <c r="B1750" s="6">
        <v>44903</v>
      </c>
      <c r="C1750" s="2" t="s">
        <v>53</v>
      </c>
      <c r="D1750" s="8">
        <v>-50</v>
      </c>
      <c r="E1750" s="8">
        <f>E1749+(0-50)</f>
        <v>12654422.369999889</v>
      </c>
    </row>
    <row r="1751" spans="1:5" x14ac:dyDescent="0.25">
      <c r="A1751" s="2" t="s">
        <v>38</v>
      </c>
      <c r="B1751" s="6">
        <v>44903</v>
      </c>
      <c r="C1751" s="2" t="s">
        <v>53</v>
      </c>
      <c r="D1751" s="8">
        <v>-300</v>
      </c>
      <c r="E1751" s="8">
        <f>E1750+(0-300)</f>
        <v>12654122.369999889</v>
      </c>
    </row>
    <row r="1752" spans="1:5" x14ac:dyDescent="0.25">
      <c r="A1752" s="2" t="s">
        <v>38</v>
      </c>
      <c r="B1752" s="6">
        <v>44904</v>
      </c>
      <c r="C1752" s="2" t="s">
        <v>53</v>
      </c>
      <c r="D1752" s="8">
        <v>-53.75</v>
      </c>
      <c r="E1752" s="8">
        <f>E1751+(0-53.75)</f>
        <v>12654068.619999889</v>
      </c>
    </row>
    <row r="1753" spans="1:5" x14ac:dyDescent="0.25">
      <c r="A1753" s="2" t="s">
        <v>38</v>
      </c>
      <c r="B1753" s="6">
        <v>44904</v>
      </c>
      <c r="C1753" s="2" t="s">
        <v>53</v>
      </c>
      <c r="D1753" s="8">
        <v>-10.75</v>
      </c>
      <c r="E1753" s="8">
        <f>E1752+(0-10.75)</f>
        <v>12654057.869999889</v>
      </c>
    </row>
    <row r="1754" spans="1:5" x14ac:dyDescent="0.25">
      <c r="A1754" s="2" t="s">
        <v>38</v>
      </c>
      <c r="B1754" s="6">
        <v>44904</v>
      </c>
      <c r="C1754" s="2" t="s">
        <v>53</v>
      </c>
      <c r="D1754" s="8">
        <v>-400</v>
      </c>
      <c r="E1754" s="8">
        <f>E1753+(0-400)</f>
        <v>12653657.869999889</v>
      </c>
    </row>
    <row r="1755" spans="1:5" x14ac:dyDescent="0.25">
      <c r="A1755" s="2" t="s">
        <v>38</v>
      </c>
      <c r="B1755" s="6">
        <v>44907</v>
      </c>
      <c r="C1755" s="2" t="s">
        <v>53</v>
      </c>
      <c r="D1755" s="8">
        <v>-53.75</v>
      </c>
      <c r="E1755" s="8">
        <f>E1754+(0-53.75)</f>
        <v>12653604.119999889</v>
      </c>
    </row>
    <row r="1756" spans="1:5" x14ac:dyDescent="0.25">
      <c r="A1756" s="2" t="s">
        <v>38</v>
      </c>
      <c r="B1756" s="6">
        <v>44907</v>
      </c>
      <c r="C1756" s="2" t="s">
        <v>19</v>
      </c>
      <c r="D1756" s="8">
        <v>-12</v>
      </c>
      <c r="E1756" s="8">
        <f>E1755+(0-12)</f>
        <v>12653592.119999889</v>
      </c>
    </row>
    <row r="1757" spans="1:5" x14ac:dyDescent="0.25">
      <c r="A1757" s="2" t="s">
        <v>38</v>
      </c>
      <c r="B1757" s="6">
        <v>44907</v>
      </c>
      <c r="C1757" s="2" t="s">
        <v>19</v>
      </c>
      <c r="D1757" s="8">
        <v>-8</v>
      </c>
      <c r="E1757" s="8">
        <f>E1756+(0-8)</f>
        <v>12653584.119999889</v>
      </c>
    </row>
    <row r="1758" spans="1:5" x14ac:dyDescent="0.25">
      <c r="A1758" s="2" t="s">
        <v>38</v>
      </c>
      <c r="B1758" s="6">
        <v>44907</v>
      </c>
      <c r="C1758" s="2" t="s">
        <v>19</v>
      </c>
      <c r="D1758" s="8">
        <v>-60</v>
      </c>
      <c r="E1758" s="8">
        <f>E1757+(0-60)</f>
        <v>12653524.119999889</v>
      </c>
    </row>
    <row r="1759" spans="1:5" x14ac:dyDescent="0.25">
      <c r="A1759" s="2" t="s">
        <v>38</v>
      </c>
      <c r="B1759" s="6">
        <v>44907</v>
      </c>
      <c r="C1759" s="2" t="s">
        <v>19</v>
      </c>
      <c r="D1759" s="8">
        <v>-40</v>
      </c>
      <c r="E1759" s="8">
        <f>E1758+(0-40)</f>
        <v>12653484.119999889</v>
      </c>
    </row>
    <row r="1760" spans="1:5" x14ac:dyDescent="0.25">
      <c r="A1760" s="2" t="s">
        <v>38</v>
      </c>
      <c r="B1760" s="6">
        <v>44907</v>
      </c>
      <c r="C1760" s="2" t="s">
        <v>53</v>
      </c>
      <c r="D1760" s="8">
        <v>-53.75</v>
      </c>
      <c r="E1760" s="8">
        <f>E1759+(0-53.75)</f>
        <v>12653430.369999889</v>
      </c>
    </row>
    <row r="1761" spans="1:5" x14ac:dyDescent="0.25">
      <c r="A1761" s="2" t="s">
        <v>38</v>
      </c>
      <c r="B1761" s="6">
        <v>44907</v>
      </c>
      <c r="C1761" s="2" t="s">
        <v>53</v>
      </c>
      <c r="D1761" s="8">
        <v>-200</v>
      </c>
      <c r="E1761" s="8">
        <f>E1760+(0-200)</f>
        <v>12653230.369999889</v>
      </c>
    </row>
    <row r="1762" spans="1:5" x14ac:dyDescent="0.25">
      <c r="A1762" s="2" t="s">
        <v>38</v>
      </c>
      <c r="B1762" s="6">
        <v>44907</v>
      </c>
      <c r="C1762" s="2" t="s">
        <v>53</v>
      </c>
      <c r="D1762" s="8">
        <v>-50</v>
      </c>
      <c r="E1762" s="8">
        <f>E1761+(0-50)</f>
        <v>12653180.369999889</v>
      </c>
    </row>
    <row r="1763" spans="1:5" x14ac:dyDescent="0.25">
      <c r="A1763" s="2" t="s">
        <v>38</v>
      </c>
      <c r="B1763" s="6">
        <v>44908</v>
      </c>
      <c r="C1763" s="2" t="s">
        <v>53</v>
      </c>
      <c r="D1763" s="8">
        <v>-200</v>
      </c>
      <c r="E1763" s="8">
        <f>E1762+(0-200)</f>
        <v>12652980.369999889</v>
      </c>
    </row>
    <row r="1764" spans="1:5" x14ac:dyDescent="0.25">
      <c r="A1764" s="2" t="s">
        <v>38</v>
      </c>
      <c r="B1764" s="6">
        <v>44908</v>
      </c>
      <c r="C1764" s="2" t="s">
        <v>53</v>
      </c>
      <c r="D1764" s="8">
        <v>-50</v>
      </c>
      <c r="E1764" s="8">
        <f>E1763+(0-50)</f>
        <v>12652930.369999889</v>
      </c>
    </row>
    <row r="1765" spans="1:5" x14ac:dyDescent="0.25">
      <c r="A1765" s="2" t="s">
        <v>38</v>
      </c>
      <c r="B1765" s="6">
        <v>44909</v>
      </c>
      <c r="C1765" s="2" t="s">
        <v>53</v>
      </c>
      <c r="D1765" s="8">
        <v>-50</v>
      </c>
      <c r="E1765" s="8">
        <f>E1764+(0-50)</f>
        <v>12652880.369999889</v>
      </c>
    </row>
    <row r="1766" spans="1:5" x14ac:dyDescent="0.25">
      <c r="A1766" s="2" t="s">
        <v>38</v>
      </c>
      <c r="B1766" s="6">
        <v>44909</v>
      </c>
      <c r="C1766" s="2" t="s">
        <v>53</v>
      </c>
      <c r="D1766" s="8">
        <v>-50</v>
      </c>
      <c r="E1766" s="8">
        <f>E1765+(0-50)</f>
        <v>12652830.369999889</v>
      </c>
    </row>
    <row r="1767" spans="1:5" x14ac:dyDescent="0.25">
      <c r="A1767" s="2" t="s">
        <v>38</v>
      </c>
      <c r="B1767" s="6">
        <v>44909</v>
      </c>
      <c r="C1767" s="2" t="s">
        <v>53</v>
      </c>
      <c r="D1767" s="8">
        <v>-100</v>
      </c>
      <c r="E1767" s="8">
        <f>E1766+(0-100)</f>
        <v>12652730.369999889</v>
      </c>
    </row>
    <row r="1768" spans="1:5" x14ac:dyDescent="0.25">
      <c r="A1768" s="2" t="s">
        <v>38</v>
      </c>
      <c r="B1768" s="6">
        <v>44909</v>
      </c>
      <c r="C1768" s="2" t="s">
        <v>53</v>
      </c>
      <c r="D1768" s="8">
        <v>-53.75</v>
      </c>
      <c r="E1768" s="8">
        <f>E1767+(0-53.75)</f>
        <v>12652676.619999889</v>
      </c>
    </row>
    <row r="1769" spans="1:5" x14ac:dyDescent="0.25">
      <c r="A1769" s="2" t="s">
        <v>38</v>
      </c>
      <c r="B1769" s="6">
        <v>44910</v>
      </c>
      <c r="C1769" s="2" t="s">
        <v>53</v>
      </c>
      <c r="D1769" s="8">
        <v>-26.88</v>
      </c>
      <c r="E1769" s="8">
        <f>E1768+(0-26.88)</f>
        <v>12652649.739999888</v>
      </c>
    </row>
    <row r="1770" spans="1:5" x14ac:dyDescent="0.25">
      <c r="A1770" s="2" t="s">
        <v>38</v>
      </c>
      <c r="B1770" s="6">
        <v>44910</v>
      </c>
      <c r="C1770" s="2" t="s">
        <v>53</v>
      </c>
      <c r="D1770" s="8">
        <v>-50</v>
      </c>
      <c r="E1770" s="8">
        <f>E1769+(0-50)</f>
        <v>12652599.739999888</v>
      </c>
    </row>
    <row r="1771" spans="1:5" x14ac:dyDescent="0.25">
      <c r="A1771" s="2" t="s">
        <v>38</v>
      </c>
      <c r="B1771" s="6">
        <v>44910</v>
      </c>
      <c r="C1771" s="2" t="s">
        <v>53</v>
      </c>
      <c r="D1771" s="8">
        <v>-50</v>
      </c>
      <c r="E1771" s="8">
        <f>E1770+(0-50)</f>
        <v>12652549.739999888</v>
      </c>
    </row>
    <row r="1772" spans="1:5" x14ac:dyDescent="0.25">
      <c r="A1772" s="2" t="s">
        <v>38</v>
      </c>
      <c r="B1772" s="6">
        <v>44910</v>
      </c>
      <c r="C1772" s="2" t="s">
        <v>53</v>
      </c>
      <c r="D1772" s="8">
        <v>-10.75</v>
      </c>
      <c r="E1772" s="8">
        <f>E1771+(0-10.75)</f>
        <v>12652538.989999888</v>
      </c>
    </row>
    <row r="1773" spans="1:5" x14ac:dyDescent="0.25">
      <c r="A1773" s="2" t="s">
        <v>38</v>
      </c>
      <c r="B1773" s="6">
        <v>44910</v>
      </c>
      <c r="C1773" s="2" t="s">
        <v>53</v>
      </c>
      <c r="D1773" s="8">
        <v>-53.75</v>
      </c>
      <c r="E1773" s="8">
        <f>E1772+(0-53.75)</f>
        <v>12652485.239999888</v>
      </c>
    </row>
    <row r="1774" spans="1:5" x14ac:dyDescent="0.25">
      <c r="A1774" s="2" t="s">
        <v>38</v>
      </c>
      <c r="B1774" s="6">
        <v>44910</v>
      </c>
      <c r="C1774" s="2" t="s">
        <v>53</v>
      </c>
      <c r="D1774" s="8">
        <v>-300</v>
      </c>
      <c r="E1774" s="8">
        <f>E1773+(0-300)</f>
        <v>12652185.239999888</v>
      </c>
    </row>
    <row r="1775" spans="1:5" x14ac:dyDescent="0.25">
      <c r="A1775" s="2" t="s">
        <v>38</v>
      </c>
      <c r="B1775" s="6">
        <v>44910</v>
      </c>
      <c r="C1775" s="2" t="s">
        <v>53</v>
      </c>
      <c r="D1775" s="8">
        <v>-50</v>
      </c>
      <c r="E1775" s="8">
        <f>E1774+(0-50)</f>
        <v>12652135.239999888</v>
      </c>
    </row>
    <row r="1776" spans="1:5" x14ac:dyDescent="0.25">
      <c r="A1776" s="2" t="s">
        <v>38</v>
      </c>
      <c r="B1776" s="6">
        <v>44911</v>
      </c>
      <c r="C1776" s="2" t="s">
        <v>53</v>
      </c>
      <c r="D1776" s="8">
        <v>-550</v>
      </c>
      <c r="E1776" s="8">
        <f>E1775+(0-550)</f>
        <v>12651585.239999888</v>
      </c>
    </row>
    <row r="1777" spans="1:5" x14ac:dyDescent="0.25">
      <c r="A1777" s="2" t="s">
        <v>38</v>
      </c>
      <c r="B1777" s="6">
        <v>44914</v>
      </c>
      <c r="C1777" s="2" t="s">
        <v>53</v>
      </c>
      <c r="D1777" s="8">
        <v>-53.75</v>
      </c>
      <c r="E1777" s="8">
        <f>E1776+(0-53.75)</f>
        <v>12651531.489999888</v>
      </c>
    </row>
    <row r="1778" spans="1:5" x14ac:dyDescent="0.25">
      <c r="A1778" s="2" t="s">
        <v>38</v>
      </c>
      <c r="B1778" s="6">
        <v>44914</v>
      </c>
      <c r="C1778" s="2" t="s">
        <v>53</v>
      </c>
      <c r="D1778" s="8">
        <v>-53.75</v>
      </c>
      <c r="E1778" s="8">
        <f>E1777+(0-53.75)</f>
        <v>12651477.739999888</v>
      </c>
    </row>
    <row r="1779" spans="1:5" x14ac:dyDescent="0.25">
      <c r="A1779" s="2" t="s">
        <v>38</v>
      </c>
      <c r="B1779" s="6">
        <v>44914</v>
      </c>
      <c r="C1779" s="2" t="s">
        <v>53</v>
      </c>
      <c r="D1779" s="8">
        <v>-50</v>
      </c>
      <c r="E1779" s="8">
        <f>E1778+(0-50)</f>
        <v>12651427.739999888</v>
      </c>
    </row>
    <row r="1780" spans="1:5" x14ac:dyDescent="0.25">
      <c r="A1780" s="2" t="s">
        <v>38</v>
      </c>
      <c r="B1780" s="6">
        <v>44914</v>
      </c>
      <c r="C1780" s="2" t="s">
        <v>53</v>
      </c>
      <c r="D1780" s="8">
        <v>-300</v>
      </c>
      <c r="E1780" s="8">
        <f>E1779+(0-300)</f>
        <v>12651127.739999888</v>
      </c>
    </row>
    <row r="1781" spans="1:5" x14ac:dyDescent="0.25">
      <c r="A1781" s="2" t="s">
        <v>38</v>
      </c>
      <c r="B1781" s="6">
        <v>44915</v>
      </c>
      <c r="C1781" s="2" t="s">
        <v>53</v>
      </c>
      <c r="D1781" s="8">
        <v>-53.75</v>
      </c>
      <c r="E1781" s="8">
        <f>E1780+(0-53.75)</f>
        <v>12651073.989999888</v>
      </c>
    </row>
    <row r="1782" spans="1:5" x14ac:dyDescent="0.25">
      <c r="A1782" s="2" t="s">
        <v>38</v>
      </c>
      <c r="B1782" s="6">
        <v>44915</v>
      </c>
      <c r="C1782" s="2" t="s">
        <v>53</v>
      </c>
      <c r="D1782" s="8">
        <v>-50</v>
      </c>
      <c r="E1782" s="8">
        <f>E1781+(0-50)</f>
        <v>12651023.989999888</v>
      </c>
    </row>
    <row r="1783" spans="1:5" x14ac:dyDescent="0.25">
      <c r="A1783" s="2" t="s">
        <v>38</v>
      </c>
      <c r="B1783" s="6">
        <v>44915</v>
      </c>
      <c r="C1783" s="2" t="s">
        <v>53</v>
      </c>
      <c r="D1783" s="8">
        <v>-50</v>
      </c>
      <c r="E1783" s="8">
        <f>E1782+(0-50)</f>
        <v>12650973.989999888</v>
      </c>
    </row>
    <row r="1784" spans="1:5" x14ac:dyDescent="0.25">
      <c r="A1784" s="2" t="s">
        <v>38</v>
      </c>
      <c r="B1784" s="6">
        <v>44915</v>
      </c>
      <c r="C1784" s="2" t="s">
        <v>53</v>
      </c>
      <c r="D1784" s="8">
        <v>-300</v>
      </c>
      <c r="E1784" s="8">
        <f>E1783+(0-300)</f>
        <v>12650673.989999888</v>
      </c>
    </row>
    <row r="1785" spans="1:5" x14ac:dyDescent="0.25">
      <c r="A1785" s="2" t="s">
        <v>38</v>
      </c>
      <c r="B1785" s="6">
        <v>44915</v>
      </c>
      <c r="C1785" s="2" t="s">
        <v>53</v>
      </c>
      <c r="D1785" s="8">
        <v>-50</v>
      </c>
      <c r="E1785" s="8">
        <f>E1784+(0-50)</f>
        <v>12650623.989999888</v>
      </c>
    </row>
    <row r="1786" spans="1:5" x14ac:dyDescent="0.25">
      <c r="A1786" s="2" t="s">
        <v>38</v>
      </c>
      <c r="B1786" s="6">
        <v>44916</v>
      </c>
      <c r="C1786" s="2" t="s">
        <v>53</v>
      </c>
      <c r="D1786" s="8">
        <v>-50</v>
      </c>
      <c r="E1786" s="8">
        <f>E1785+(0-50)</f>
        <v>12650573.989999888</v>
      </c>
    </row>
    <row r="1787" spans="1:5" x14ac:dyDescent="0.25">
      <c r="A1787" s="2" t="s">
        <v>38</v>
      </c>
      <c r="B1787" s="6">
        <v>44917</v>
      </c>
      <c r="C1787" s="2" t="s">
        <v>53</v>
      </c>
      <c r="D1787" s="8">
        <v>-200</v>
      </c>
      <c r="E1787" s="8">
        <f>E1786+(0-200)</f>
        <v>12650373.989999888</v>
      </c>
    </row>
    <row r="1788" spans="1:5" x14ac:dyDescent="0.25">
      <c r="A1788" s="2" t="s">
        <v>38</v>
      </c>
      <c r="B1788" s="6">
        <v>44917</v>
      </c>
      <c r="C1788" s="2" t="s">
        <v>53</v>
      </c>
      <c r="D1788" s="8">
        <v>-150</v>
      </c>
      <c r="E1788" s="8">
        <f>E1787+(0-150)</f>
        <v>12650223.989999888</v>
      </c>
    </row>
    <row r="1789" spans="1:5" x14ac:dyDescent="0.25">
      <c r="A1789" s="2" t="s">
        <v>38</v>
      </c>
      <c r="B1789" s="6">
        <v>44918</v>
      </c>
      <c r="C1789" s="2" t="s">
        <v>53</v>
      </c>
      <c r="D1789" s="8">
        <v>-50</v>
      </c>
      <c r="E1789" s="8">
        <f>E1788+(0-50)</f>
        <v>12650173.989999888</v>
      </c>
    </row>
    <row r="1790" spans="1:5" x14ac:dyDescent="0.25">
      <c r="A1790" s="2" t="s">
        <v>38</v>
      </c>
      <c r="B1790" s="6">
        <v>44918</v>
      </c>
      <c r="C1790" s="2" t="s">
        <v>53</v>
      </c>
      <c r="D1790" s="8">
        <v>-50</v>
      </c>
      <c r="E1790" s="8">
        <f>E1789+(0-50)</f>
        <v>12650123.989999888</v>
      </c>
    </row>
    <row r="1791" spans="1:5" x14ac:dyDescent="0.25">
      <c r="A1791" s="2" t="s">
        <v>38</v>
      </c>
      <c r="B1791" s="6">
        <v>44918</v>
      </c>
      <c r="C1791" s="2" t="s">
        <v>53</v>
      </c>
      <c r="D1791" s="8">
        <v>-53.75</v>
      </c>
      <c r="E1791" s="8">
        <f>E1790+(0-53.75)</f>
        <v>12650070.239999888</v>
      </c>
    </row>
    <row r="1792" spans="1:5" x14ac:dyDescent="0.25">
      <c r="A1792" s="2" t="s">
        <v>38</v>
      </c>
      <c r="B1792" s="6">
        <v>44918</v>
      </c>
      <c r="C1792" s="2" t="s">
        <v>53</v>
      </c>
      <c r="D1792" s="8">
        <v>-50</v>
      </c>
      <c r="E1792" s="8">
        <f>E1791+(0-50)</f>
        <v>12650020.239999888</v>
      </c>
    </row>
    <row r="1793" spans="1:5" x14ac:dyDescent="0.25">
      <c r="A1793" s="2" t="s">
        <v>38</v>
      </c>
      <c r="B1793" s="6">
        <v>44918</v>
      </c>
      <c r="C1793" s="2" t="s">
        <v>53</v>
      </c>
      <c r="D1793" s="8">
        <v>-200</v>
      </c>
      <c r="E1793" s="8">
        <f>E1792+(0-200)</f>
        <v>12649820.239999888</v>
      </c>
    </row>
    <row r="1794" spans="1:5" x14ac:dyDescent="0.25">
      <c r="A1794" s="2" t="s">
        <v>38</v>
      </c>
      <c r="B1794" s="6">
        <v>44923</v>
      </c>
      <c r="C1794" s="2" t="s">
        <v>53</v>
      </c>
      <c r="D1794" s="8">
        <v>-53.75</v>
      </c>
      <c r="E1794" s="8">
        <f>E1793+(0-53.75)</f>
        <v>12649766.489999888</v>
      </c>
    </row>
    <row r="1795" spans="1:5" x14ac:dyDescent="0.25">
      <c r="A1795" s="2" t="s">
        <v>38</v>
      </c>
      <c r="B1795" s="6">
        <v>44923</v>
      </c>
      <c r="C1795" s="2" t="s">
        <v>53</v>
      </c>
      <c r="D1795" s="8">
        <v>-26.88</v>
      </c>
      <c r="E1795" s="8">
        <f>E1794+(0-26.88)</f>
        <v>12649739.609999888</v>
      </c>
    </row>
    <row r="1796" spans="1:5" x14ac:dyDescent="0.25">
      <c r="A1796" s="2" t="s">
        <v>38</v>
      </c>
      <c r="B1796" s="6">
        <v>44923</v>
      </c>
      <c r="C1796" s="2" t="s">
        <v>53</v>
      </c>
      <c r="D1796" s="8">
        <v>-53.75</v>
      </c>
      <c r="E1796" s="8">
        <f>E1795+(0-53.75)</f>
        <v>12649685.859999888</v>
      </c>
    </row>
    <row r="1797" spans="1:5" x14ac:dyDescent="0.25">
      <c r="A1797" s="2" t="s">
        <v>38</v>
      </c>
      <c r="B1797" s="6">
        <v>44923</v>
      </c>
      <c r="C1797" s="2" t="s">
        <v>53</v>
      </c>
      <c r="D1797" s="8">
        <v>-26.88</v>
      </c>
      <c r="E1797" s="8">
        <f>E1796+(0-26.88)</f>
        <v>12649658.979999887</v>
      </c>
    </row>
    <row r="1798" spans="1:5" x14ac:dyDescent="0.25">
      <c r="A1798" s="2" t="s">
        <v>38</v>
      </c>
      <c r="B1798" s="6">
        <v>44923</v>
      </c>
      <c r="C1798" s="2" t="s">
        <v>53</v>
      </c>
      <c r="D1798" s="8">
        <v>-53.75</v>
      </c>
      <c r="E1798" s="8">
        <f>E1797+(0-53.75)</f>
        <v>12649605.229999887</v>
      </c>
    </row>
    <row r="1799" spans="1:5" x14ac:dyDescent="0.25">
      <c r="A1799" s="2" t="s">
        <v>38</v>
      </c>
      <c r="B1799" s="6">
        <v>44923</v>
      </c>
      <c r="C1799" s="2" t="s">
        <v>53</v>
      </c>
      <c r="D1799" s="8">
        <v>-26.88</v>
      </c>
      <c r="E1799" s="8">
        <f>E1798+(0-26.88)</f>
        <v>12649578.349999886</v>
      </c>
    </row>
    <row r="1800" spans="1:5" x14ac:dyDescent="0.25">
      <c r="A1800" s="2" t="s">
        <v>38</v>
      </c>
      <c r="B1800" s="6">
        <v>44923</v>
      </c>
      <c r="C1800" s="2" t="s">
        <v>53</v>
      </c>
      <c r="D1800" s="8">
        <v>-26.88</v>
      </c>
      <c r="E1800" s="8">
        <f>E1799+(0-26.88)</f>
        <v>12649551.469999885</v>
      </c>
    </row>
    <row r="1801" spans="1:5" x14ac:dyDescent="0.25">
      <c r="A1801" s="2" t="s">
        <v>38</v>
      </c>
      <c r="B1801" s="6">
        <v>44923</v>
      </c>
      <c r="C1801" s="2" t="s">
        <v>19</v>
      </c>
      <c r="D1801" s="8">
        <v>-48</v>
      </c>
      <c r="E1801" s="8">
        <f>E1800+(0-48)</f>
        <v>12649503.469999885</v>
      </c>
    </row>
    <row r="1802" spans="1:5" x14ac:dyDescent="0.25">
      <c r="A1802" s="2" t="s">
        <v>38</v>
      </c>
      <c r="B1802" s="6">
        <v>44923</v>
      </c>
      <c r="C1802" s="2" t="s">
        <v>53</v>
      </c>
      <c r="D1802" s="8">
        <v>-50</v>
      </c>
      <c r="E1802" s="8">
        <f>E1801+(0-50)</f>
        <v>12649453.469999885</v>
      </c>
    </row>
    <row r="1803" spans="1:5" x14ac:dyDescent="0.25">
      <c r="A1803" s="2" t="s">
        <v>38</v>
      </c>
      <c r="B1803" s="6">
        <v>44923</v>
      </c>
      <c r="C1803" s="2" t="s">
        <v>53</v>
      </c>
      <c r="D1803" s="8">
        <v>-400</v>
      </c>
      <c r="E1803" s="8">
        <f>E1802+(0-400)</f>
        <v>12649053.469999885</v>
      </c>
    </row>
    <row r="1804" spans="1:5" x14ac:dyDescent="0.25">
      <c r="A1804" s="2" t="s">
        <v>38</v>
      </c>
      <c r="B1804" s="6">
        <v>44923</v>
      </c>
      <c r="C1804" s="2" t="s">
        <v>19</v>
      </c>
      <c r="D1804" s="8">
        <v>-80</v>
      </c>
      <c r="E1804" s="8">
        <f>E1803+(0-80)</f>
        <v>12648973.469999885</v>
      </c>
    </row>
    <row r="1805" spans="1:5" x14ac:dyDescent="0.25">
      <c r="A1805" s="2" t="s">
        <v>38</v>
      </c>
      <c r="B1805" s="6">
        <v>44923</v>
      </c>
      <c r="C1805" s="2" t="s">
        <v>53</v>
      </c>
      <c r="D1805" s="8">
        <v>-53.75</v>
      </c>
      <c r="E1805" s="8">
        <f>E1804+(0-53.75)</f>
        <v>12648919.719999885</v>
      </c>
    </row>
    <row r="1806" spans="1:5" x14ac:dyDescent="0.25">
      <c r="A1806" s="2" t="s">
        <v>38</v>
      </c>
      <c r="B1806" s="6">
        <v>44923</v>
      </c>
      <c r="C1806" s="2" t="s">
        <v>53</v>
      </c>
      <c r="D1806" s="8">
        <v>-26.88</v>
      </c>
      <c r="E1806" s="8">
        <f>E1805+(0-26.88)</f>
        <v>12648892.839999884</v>
      </c>
    </row>
    <row r="1807" spans="1:5" x14ac:dyDescent="0.25">
      <c r="A1807" s="2" t="s">
        <v>38</v>
      </c>
      <c r="B1807" s="6">
        <v>44924</v>
      </c>
      <c r="C1807" s="2" t="s">
        <v>19</v>
      </c>
      <c r="D1807" s="8">
        <v>-20</v>
      </c>
      <c r="E1807" s="8">
        <f>E1806+(0-20)</f>
        <v>12648872.839999884</v>
      </c>
    </row>
    <row r="1808" spans="1:5" x14ac:dyDescent="0.25">
      <c r="A1808" s="2" t="s">
        <v>38</v>
      </c>
      <c r="B1808" s="6">
        <v>44924</v>
      </c>
      <c r="C1808" s="2" t="s">
        <v>19</v>
      </c>
      <c r="D1808" s="8">
        <v>-20</v>
      </c>
      <c r="E1808" s="8">
        <f>E1807+(0-20)</f>
        <v>12648852.839999884</v>
      </c>
    </row>
    <row r="1809" spans="1:5" x14ac:dyDescent="0.25">
      <c r="A1809" s="2" t="s">
        <v>38</v>
      </c>
      <c r="B1809" s="6">
        <v>44924</v>
      </c>
      <c r="C1809" s="2" t="s">
        <v>19</v>
      </c>
      <c r="D1809" s="8">
        <v>-36</v>
      </c>
      <c r="E1809" s="8">
        <f>E1808+(0-36)</f>
        <v>12648816.839999884</v>
      </c>
    </row>
    <row r="1810" spans="1:5" x14ac:dyDescent="0.25">
      <c r="A1810" s="2" t="s">
        <v>38</v>
      </c>
      <c r="B1810" s="6">
        <v>44924</v>
      </c>
      <c r="C1810" s="2" t="s">
        <v>53</v>
      </c>
      <c r="D1810" s="8">
        <v>-50</v>
      </c>
      <c r="E1810" s="8">
        <f>E1809+(0-50)</f>
        <v>12648766.839999884</v>
      </c>
    </row>
    <row r="1811" spans="1:5" x14ac:dyDescent="0.25">
      <c r="A1811" s="2" t="s">
        <v>38</v>
      </c>
      <c r="B1811" s="6">
        <v>44924</v>
      </c>
      <c r="C1811" s="2" t="s">
        <v>19</v>
      </c>
      <c r="D1811" s="8">
        <v>-64</v>
      </c>
      <c r="E1811" s="8">
        <f>E1810+(0-64)</f>
        <v>12648702.839999884</v>
      </c>
    </row>
    <row r="1812" spans="1:5" x14ac:dyDescent="0.25">
      <c r="A1812" s="2" t="s">
        <v>38</v>
      </c>
      <c r="B1812" s="6">
        <v>44924</v>
      </c>
      <c r="C1812" s="2" t="s">
        <v>19</v>
      </c>
      <c r="D1812" s="8">
        <v>-56</v>
      </c>
      <c r="E1812" s="8">
        <f>E1811+(0-56)</f>
        <v>12648646.839999884</v>
      </c>
    </row>
    <row r="1813" spans="1:5" x14ac:dyDescent="0.25">
      <c r="A1813" s="2" t="s">
        <v>38</v>
      </c>
      <c r="B1813" s="6">
        <v>44924</v>
      </c>
      <c r="C1813" s="2" t="s">
        <v>53</v>
      </c>
      <c r="D1813" s="8">
        <v>-200</v>
      </c>
      <c r="E1813" s="8">
        <f>E1812+(0-200)</f>
        <v>12648446.839999884</v>
      </c>
    </row>
    <row r="1814" spans="1:5" x14ac:dyDescent="0.25">
      <c r="A1814" s="2" t="s">
        <v>38</v>
      </c>
      <c r="B1814" s="6">
        <v>44925</v>
      </c>
      <c r="C1814" s="2" t="s">
        <v>19</v>
      </c>
      <c r="D1814" s="8">
        <v>-36</v>
      </c>
      <c r="E1814" s="8">
        <f>E1813+(0-36)</f>
        <v>12648410.839999884</v>
      </c>
    </row>
    <row r="1815" spans="1:5" x14ac:dyDescent="0.25">
      <c r="A1815" s="2" t="s">
        <v>38</v>
      </c>
      <c r="B1815" s="6">
        <v>44925</v>
      </c>
      <c r="C1815" s="2" t="s">
        <v>19</v>
      </c>
      <c r="D1815" s="8">
        <v>-36</v>
      </c>
      <c r="E1815" s="8">
        <f>E1814+(0-36)</f>
        <v>12648374.839999884</v>
      </c>
    </row>
    <row r="1816" spans="1:5" x14ac:dyDescent="0.25">
      <c r="A1816" s="2" t="s">
        <v>38</v>
      </c>
      <c r="B1816" s="6">
        <v>44925</v>
      </c>
      <c r="C1816" s="2" t="s">
        <v>19</v>
      </c>
      <c r="D1816" s="8">
        <v>-4</v>
      </c>
      <c r="E1816" s="8">
        <f>E1815+(0-4)</f>
        <v>12648370.839999884</v>
      </c>
    </row>
    <row r="1817" spans="1:5" x14ac:dyDescent="0.25">
      <c r="A1817" s="2" t="s">
        <v>38</v>
      </c>
      <c r="B1817" s="6">
        <v>44925</v>
      </c>
      <c r="C1817" s="2" t="s">
        <v>19</v>
      </c>
      <c r="D1817" s="8">
        <v>-8</v>
      </c>
      <c r="E1817" s="8">
        <f>E1816+(0-8)</f>
        <v>12648362.839999884</v>
      </c>
    </row>
    <row r="1818" spans="1:5" x14ac:dyDescent="0.25">
      <c r="A1818" s="2" t="s">
        <v>38</v>
      </c>
      <c r="B1818" s="6">
        <v>44925</v>
      </c>
      <c r="C1818" s="2" t="s">
        <v>19</v>
      </c>
      <c r="D1818" s="8">
        <v>-44</v>
      </c>
      <c r="E1818" s="8">
        <f>E1817+(0-44)</f>
        <v>12648318.839999884</v>
      </c>
    </row>
    <row r="1819" spans="1:5" x14ac:dyDescent="0.25">
      <c r="A1819" s="2" t="s">
        <v>38</v>
      </c>
      <c r="B1819" s="6">
        <v>44925</v>
      </c>
      <c r="C1819" s="2" t="s">
        <v>19</v>
      </c>
      <c r="D1819" s="8">
        <v>-108</v>
      </c>
      <c r="E1819" s="8">
        <f>E1818+(0-108)</f>
        <v>12648210.839999884</v>
      </c>
    </row>
    <row r="1820" spans="1:5" x14ac:dyDescent="0.25">
      <c r="A1820" s="2" t="s">
        <v>38</v>
      </c>
      <c r="B1820" s="6">
        <v>44925</v>
      </c>
      <c r="C1820" s="2" t="s">
        <v>19</v>
      </c>
      <c r="D1820" s="8">
        <v>-56</v>
      </c>
      <c r="E1820" s="8">
        <f>E1819+(0-56)</f>
        <v>12648154.839999884</v>
      </c>
    </row>
    <row r="1821" spans="1:5" x14ac:dyDescent="0.25">
      <c r="A1821" s="2" t="s">
        <v>38</v>
      </c>
      <c r="B1821" s="6">
        <v>44925</v>
      </c>
      <c r="C1821" s="2" t="s">
        <v>53</v>
      </c>
      <c r="D1821" s="8">
        <v>-50</v>
      </c>
      <c r="E1821" s="8">
        <f>E1820+(0-50)</f>
        <v>12648104.839999884</v>
      </c>
    </row>
    <row r="1822" spans="1:5" x14ac:dyDescent="0.25">
      <c r="A1822" s="2" t="s">
        <v>38</v>
      </c>
      <c r="B1822" s="6">
        <v>44925</v>
      </c>
      <c r="C1822" s="2" t="s">
        <v>19</v>
      </c>
      <c r="D1822" s="8">
        <v>-56</v>
      </c>
      <c r="E1822" s="8">
        <f>E1821+(0-56)</f>
        <v>12648048.839999884</v>
      </c>
    </row>
    <row r="1823" spans="1:5" x14ac:dyDescent="0.25">
      <c r="A1823" s="2" t="s">
        <v>38</v>
      </c>
      <c r="B1823" s="6">
        <v>44925</v>
      </c>
      <c r="C1823" s="2" t="s">
        <v>19</v>
      </c>
      <c r="D1823" s="8">
        <v>-48</v>
      </c>
      <c r="E1823" s="8">
        <f>E1822+(0-48)</f>
        <v>12648000.839999884</v>
      </c>
    </row>
    <row r="1824" spans="1:5" x14ac:dyDescent="0.25">
      <c r="A1824" s="2" t="s">
        <v>38</v>
      </c>
      <c r="B1824" s="6">
        <v>44926</v>
      </c>
      <c r="C1824" s="2" t="s">
        <v>19</v>
      </c>
      <c r="D1824" s="8">
        <v>-92</v>
      </c>
      <c r="E1824" s="8">
        <f>E1823+(0-92)</f>
        <v>12647908.839999884</v>
      </c>
    </row>
    <row r="1825" spans="1:5" x14ac:dyDescent="0.25">
      <c r="A1825" s="2" t="s">
        <v>38</v>
      </c>
      <c r="B1825" s="6">
        <v>44926</v>
      </c>
      <c r="C1825" s="2" t="s">
        <v>19</v>
      </c>
      <c r="D1825" s="8">
        <v>-40</v>
      </c>
      <c r="E1825" s="8">
        <f>E1824+(0-40)</f>
        <v>12647868.839999884</v>
      </c>
    </row>
    <row r="1826" spans="1:5" x14ac:dyDescent="0.25">
      <c r="A1826" s="2" t="s">
        <v>38</v>
      </c>
      <c r="B1826" s="6">
        <v>44926</v>
      </c>
      <c r="C1826" s="2" t="s">
        <v>19</v>
      </c>
      <c r="D1826" s="8">
        <v>-68</v>
      </c>
      <c r="E1826" s="8">
        <f>E1825+(0-68)</f>
        <v>12647800.839999884</v>
      </c>
    </row>
    <row r="1827" spans="1:5" x14ac:dyDescent="0.25">
      <c r="A1827" s="2" t="s">
        <v>38</v>
      </c>
      <c r="B1827" s="6">
        <v>44926</v>
      </c>
      <c r="C1827" s="2" t="s">
        <v>19</v>
      </c>
      <c r="D1827" s="8">
        <v>-64</v>
      </c>
      <c r="E1827" s="8">
        <f>E1826+(0-64)</f>
        <v>12647736.839999884</v>
      </c>
    </row>
    <row r="1828" spans="1:5" x14ac:dyDescent="0.25">
      <c r="A1828" s="2" t="s">
        <v>38</v>
      </c>
      <c r="B1828" s="6">
        <v>44926</v>
      </c>
      <c r="C1828" s="2" t="s">
        <v>19</v>
      </c>
      <c r="D1828" s="8">
        <v>-12</v>
      </c>
      <c r="E1828" s="8">
        <f>E1827+(0-12)</f>
        <v>12647724.839999884</v>
      </c>
    </row>
    <row r="1829" spans="1:5" x14ac:dyDescent="0.25">
      <c r="A1829" s="2" t="s">
        <v>38</v>
      </c>
      <c r="B1829" s="6">
        <v>44929</v>
      </c>
      <c r="C1829" s="2" t="s">
        <v>53</v>
      </c>
      <c r="D1829" s="8">
        <v>-53.75</v>
      </c>
      <c r="E1829" s="8">
        <f>E1828+(0-53.75)</f>
        <v>12647671.089999884</v>
      </c>
    </row>
    <row r="1830" spans="1:5" x14ac:dyDescent="0.25">
      <c r="A1830" s="2" t="s">
        <v>38</v>
      </c>
      <c r="B1830" s="6">
        <v>44929</v>
      </c>
      <c r="C1830" s="2" t="s">
        <v>19</v>
      </c>
      <c r="D1830" s="8">
        <v>-40</v>
      </c>
      <c r="E1830" s="8">
        <f>E1829+(0-40)</f>
        <v>12647631.089999884</v>
      </c>
    </row>
    <row r="1831" spans="1:5" x14ac:dyDescent="0.25">
      <c r="A1831" s="2" t="s">
        <v>38</v>
      </c>
      <c r="B1831" s="6">
        <v>44929</v>
      </c>
      <c r="C1831" s="2" t="s">
        <v>19</v>
      </c>
      <c r="D1831" s="8">
        <v>-44</v>
      </c>
      <c r="E1831" s="8">
        <f>E1830+(0-44)</f>
        <v>12647587.089999884</v>
      </c>
    </row>
    <row r="1832" spans="1:5" x14ac:dyDescent="0.25">
      <c r="A1832" s="2" t="s">
        <v>38</v>
      </c>
      <c r="B1832" s="6">
        <v>44929</v>
      </c>
      <c r="C1832" s="2" t="s">
        <v>19</v>
      </c>
      <c r="D1832" s="8">
        <v>-56</v>
      </c>
      <c r="E1832" s="8">
        <f>E1831+(0-56)</f>
        <v>12647531.089999884</v>
      </c>
    </row>
    <row r="1833" spans="1:5" x14ac:dyDescent="0.25">
      <c r="A1833" s="2" t="s">
        <v>38</v>
      </c>
      <c r="B1833" s="6">
        <v>44929</v>
      </c>
      <c r="C1833" s="2" t="s">
        <v>19</v>
      </c>
      <c r="D1833" s="8">
        <v>-100</v>
      </c>
      <c r="E1833" s="8">
        <f>E1832+(0-100)</f>
        <v>12647431.089999884</v>
      </c>
    </row>
    <row r="1834" spans="1:5" x14ac:dyDescent="0.25">
      <c r="A1834" s="2" t="s">
        <v>38</v>
      </c>
      <c r="B1834" s="6">
        <v>44929</v>
      </c>
      <c r="C1834" s="2" t="s">
        <v>19</v>
      </c>
      <c r="D1834" s="8">
        <v>-60</v>
      </c>
      <c r="E1834" s="8">
        <f>E1833+(0-60)</f>
        <v>12647371.089999884</v>
      </c>
    </row>
    <row r="1835" spans="1:5" x14ac:dyDescent="0.25">
      <c r="A1835" s="2" t="s">
        <v>38</v>
      </c>
      <c r="B1835" s="6">
        <v>44929</v>
      </c>
      <c r="C1835" s="2" t="s">
        <v>19</v>
      </c>
      <c r="D1835" s="8">
        <v>-12</v>
      </c>
      <c r="E1835" s="8">
        <f>E1834+(0-12)</f>
        <v>12647359.089999884</v>
      </c>
    </row>
    <row r="1836" spans="1:5" x14ac:dyDescent="0.25">
      <c r="A1836" s="2" t="s">
        <v>38</v>
      </c>
      <c r="B1836" s="6">
        <v>44929</v>
      </c>
      <c r="C1836" s="2" t="s">
        <v>19</v>
      </c>
      <c r="D1836" s="8">
        <v>-8</v>
      </c>
      <c r="E1836" s="8">
        <f>E1835+(0-8)</f>
        <v>12647351.089999884</v>
      </c>
    </row>
    <row r="1837" spans="1:5" x14ac:dyDescent="0.25">
      <c r="A1837" s="2" t="s">
        <v>38</v>
      </c>
      <c r="B1837" s="6">
        <v>44929</v>
      </c>
      <c r="C1837" s="2" t="s">
        <v>19</v>
      </c>
      <c r="D1837" s="8">
        <v>-64</v>
      </c>
      <c r="E1837" s="8">
        <f>E1836+(0-64)</f>
        <v>12647287.089999884</v>
      </c>
    </row>
    <row r="1838" spans="1:5" x14ac:dyDescent="0.25">
      <c r="A1838" s="2" t="s">
        <v>38</v>
      </c>
      <c r="B1838" s="6">
        <v>44929</v>
      </c>
      <c r="C1838" s="2" t="s">
        <v>19</v>
      </c>
      <c r="D1838" s="8">
        <v>-80</v>
      </c>
      <c r="E1838" s="8">
        <f>E1837+(0-80)</f>
        <v>12647207.089999884</v>
      </c>
    </row>
    <row r="1839" spans="1:5" x14ac:dyDescent="0.25">
      <c r="A1839" s="2" t="s">
        <v>38</v>
      </c>
      <c r="B1839" s="6">
        <v>44929</v>
      </c>
      <c r="C1839" s="2" t="s">
        <v>19</v>
      </c>
      <c r="D1839" s="8">
        <v>-44</v>
      </c>
      <c r="E1839" s="8">
        <f>E1838+(0-44)</f>
        <v>12647163.089999884</v>
      </c>
    </row>
    <row r="1840" spans="1:5" x14ac:dyDescent="0.25">
      <c r="A1840" s="2" t="s">
        <v>38</v>
      </c>
      <c r="B1840" s="6">
        <v>44929</v>
      </c>
      <c r="C1840" s="2" t="s">
        <v>19</v>
      </c>
      <c r="D1840" s="8">
        <v>-60</v>
      </c>
      <c r="E1840" s="8">
        <f>E1839+(0-60)</f>
        <v>12647103.089999884</v>
      </c>
    </row>
    <row r="1841" spans="1:5" x14ac:dyDescent="0.25">
      <c r="A1841" s="2" t="s">
        <v>38</v>
      </c>
      <c r="B1841" s="6">
        <v>44929</v>
      </c>
      <c r="C1841" s="2" t="s">
        <v>19</v>
      </c>
      <c r="D1841" s="8">
        <v>-68</v>
      </c>
      <c r="E1841" s="8">
        <f>E1840+(0-68)</f>
        <v>12647035.089999884</v>
      </c>
    </row>
    <row r="1842" spans="1:5" x14ac:dyDescent="0.25">
      <c r="A1842" s="2" t="s">
        <v>38</v>
      </c>
      <c r="B1842" s="6">
        <v>44929</v>
      </c>
      <c r="C1842" s="2" t="s">
        <v>19</v>
      </c>
      <c r="D1842" s="8">
        <v>-44</v>
      </c>
      <c r="E1842" s="8">
        <f>E1841+(0-44)</f>
        <v>12646991.089999884</v>
      </c>
    </row>
    <row r="1843" spans="1:5" x14ac:dyDescent="0.25">
      <c r="A1843" s="2" t="s">
        <v>38</v>
      </c>
      <c r="B1843" s="6">
        <v>44929</v>
      </c>
      <c r="C1843" s="2" t="s">
        <v>19</v>
      </c>
      <c r="D1843" s="8">
        <v>-4</v>
      </c>
      <c r="E1843" s="8">
        <f>E1842+(0-4)</f>
        <v>12646987.089999884</v>
      </c>
    </row>
    <row r="1844" spans="1:5" x14ac:dyDescent="0.25">
      <c r="A1844" s="2" t="s">
        <v>38</v>
      </c>
      <c r="B1844" s="6">
        <v>44929</v>
      </c>
      <c r="C1844" s="2" t="s">
        <v>19</v>
      </c>
      <c r="D1844" s="8">
        <v>-8</v>
      </c>
      <c r="E1844" s="8">
        <f>E1843+(0-8)</f>
        <v>12646979.089999884</v>
      </c>
    </row>
    <row r="1845" spans="1:5" x14ac:dyDescent="0.25">
      <c r="A1845" s="2" t="s">
        <v>38</v>
      </c>
      <c r="B1845" s="6">
        <v>44929</v>
      </c>
      <c r="C1845" s="2" t="s">
        <v>19</v>
      </c>
      <c r="D1845" s="8">
        <v>-92</v>
      </c>
      <c r="E1845" s="8">
        <f>E1844+(0-92)</f>
        <v>12646887.089999884</v>
      </c>
    </row>
    <row r="1846" spans="1:5" x14ac:dyDescent="0.25">
      <c r="A1846" s="2" t="s">
        <v>38</v>
      </c>
      <c r="B1846" s="6">
        <v>44929</v>
      </c>
      <c r="C1846" s="2" t="s">
        <v>19</v>
      </c>
      <c r="D1846" s="8">
        <v>-52</v>
      </c>
      <c r="E1846" s="8">
        <f>E1845+(0-52)</f>
        <v>12646835.089999884</v>
      </c>
    </row>
    <row r="1847" spans="1:5" x14ac:dyDescent="0.25">
      <c r="A1847" s="2" t="s">
        <v>38</v>
      </c>
      <c r="B1847" s="6">
        <v>44929</v>
      </c>
      <c r="C1847" s="2" t="s">
        <v>53</v>
      </c>
      <c r="D1847" s="8">
        <v>-50</v>
      </c>
      <c r="E1847" s="8">
        <f>E1846+(0-50)</f>
        <v>12646785.089999884</v>
      </c>
    </row>
    <row r="1848" spans="1:5" x14ac:dyDescent="0.25">
      <c r="A1848" s="2" t="s">
        <v>38</v>
      </c>
      <c r="B1848" s="6">
        <v>44929</v>
      </c>
      <c r="C1848" s="2" t="s">
        <v>53</v>
      </c>
      <c r="D1848" s="8">
        <v>-200</v>
      </c>
      <c r="E1848" s="8">
        <f>E1847+(0-200)</f>
        <v>12646585.089999884</v>
      </c>
    </row>
    <row r="1849" spans="1:5" x14ac:dyDescent="0.25">
      <c r="A1849" s="2" t="s">
        <v>38</v>
      </c>
      <c r="B1849" s="6">
        <v>44930</v>
      </c>
      <c r="C1849" s="2" t="s">
        <v>53</v>
      </c>
      <c r="D1849" s="8">
        <v>-50</v>
      </c>
      <c r="E1849" s="8">
        <f>E1848+(0-50)</f>
        <v>12646535.089999884</v>
      </c>
    </row>
    <row r="1850" spans="1:5" x14ac:dyDescent="0.25">
      <c r="A1850" s="2" t="s">
        <v>38</v>
      </c>
      <c r="B1850" s="6">
        <v>44931</v>
      </c>
      <c r="C1850" s="2" t="s">
        <v>53</v>
      </c>
      <c r="D1850" s="8">
        <v>-150</v>
      </c>
      <c r="E1850" s="8">
        <f>E1849+(0-150)</f>
        <v>12646385.089999884</v>
      </c>
    </row>
    <row r="1851" spans="1:5" x14ac:dyDescent="0.25">
      <c r="A1851" s="2" t="s">
        <v>38</v>
      </c>
      <c r="B1851" s="6">
        <v>44932</v>
      </c>
      <c r="C1851" s="2" t="s">
        <v>19</v>
      </c>
      <c r="D1851" s="8">
        <v>-12</v>
      </c>
      <c r="E1851" s="8">
        <f>E1850+(0-12)</f>
        <v>12646373.089999884</v>
      </c>
    </row>
    <row r="1852" spans="1:5" x14ac:dyDescent="0.25">
      <c r="A1852" s="2" t="s">
        <v>38</v>
      </c>
      <c r="B1852" s="6">
        <v>44932</v>
      </c>
      <c r="C1852" s="2" t="s">
        <v>19</v>
      </c>
      <c r="D1852" s="8">
        <v>-16</v>
      </c>
      <c r="E1852" s="8">
        <f>E1851+(0-16)</f>
        <v>12646357.089999884</v>
      </c>
    </row>
    <row r="1853" spans="1:5" x14ac:dyDescent="0.25">
      <c r="A1853" s="2" t="s">
        <v>38</v>
      </c>
      <c r="B1853" s="6">
        <v>44932</v>
      </c>
      <c r="C1853" s="2" t="s">
        <v>53</v>
      </c>
      <c r="D1853" s="8">
        <v>-200</v>
      </c>
      <c r="E1853" s="8">
        <f>E1852+(0-200)</f>
        <v>12646157.089999884</v>
      </c>
    </row>
    <row r="1854" spans="1:5" x14ac:dyDescent="0.25">
      <c r="A1854" s="2" t="s">
        <v>38</v>
      </c>
      <c r="B1854" s="6">
        <v>44932</v>
      </c>
      <c r="C1854" s="2" t="s">
        <v>53</v>
      </c>
      <c r="D1854" s="8">
        <v>-50</v>
      </c>
      <c r="E1854" s="8">
        <f>E1853+(0-50)</f>
        <v>12646107.089999884</v>
      </c>
    </row>
    <row r="1855" spans="1:5" x14ac:dyDescent="0.25">
      <c r="A1855" s="2" t="s">
        <v>38</v>
      </c>
      <c r="B1855" s="6">
        <v>44935</v>
      </c>
      <c r="C1855" s="2" t="s">
        <v>19</v>
      </c>
      <c r="D1855" s="8">
        <v>-64</v>
      </c>
      <c r="E1855" s="8">
        <f>E1854+(0-64)</f>
        <v>12646043.089999884</v>
      </c>
    </row>
    <row r="1856" spans="1:5" x14ac:dyDescent="0.25">
      <c r="A1856" s="2" t="s">
        <v>38</v>
      </c>
      <c r="B1856" s="6">
        <v>44935</v>
      </c>
      <c r="C1856" s="2" t="s">
        <v>19</v>
      </c>
      <c r="D1856" s="8">
        <v>-12</v>
      </c>
      <c r="E1856" s="8">
        <f>E1855+(0-12)</f>
        <v>12646031.089999884</v>
      </c>
    </row>
    <row r="1857" spans="1:5" x14ac:dyDescent="0.25">
      <c r="A1857" s="2" t="s">
        <v>38</v>
      </c>
      <c r="B1857" s="6">
        <v>44935</v>
      </c>
      <c r="C1857" s="2" t="s">
        <v>53</v>
      </c>
      <c r="D1857" s="8">
        <v>-26.88</v>
      </c>
      <c r="E1857" s="8">
        <f>E1856+(0-26.88)</f>
        <v>12646004.209999884</v>
      </c>
    </row>
    <row r="1858" spans="1:5" x14ac:dyDescent="0.25">
      <c r="A1858" s="2" t="s">
        <v>38</v>
      </c>
      <c r="B1858" s="6">
        <v>44935</v>
      </c>
      <c r="C1858" s="2" t="s">
        <v>53</v>
      </c>
      <c r="D1858" s="8">
        <v>-53.75</v>
      </c>
      <c r="E1858" s="8">
        <f>E1857+(0-53.75)</f>
        <v>12645950.459999884</v>
      </c>
    </row>
    <row r="1859" spans="1:5" x14ac:dyDescent="0.25">
      <c r="A1859" s="2" t="s">
        <v>38</v>
      </c>
      <c r="B1859" s="6">
        <v>44935</v>
      </c>
      <c r="C1859" s="2" t="s">
        <v>53</v>
      </c>
      <c r="D1859" s="8">
        <v>-300</v>
      </c>
      <c r="E1859" s="8">
        <f>E1858+(0-300)</f>
        <v>12645650.459999884</v>
      </c>
    </row>
    <row r="1860" spans="1:5" x14ac:dyDescent="0.25">
      <c r="A1860" s="2" t="s">
        <v>38</v>
      </c>
      <c r="B1860" s="6">
        <v>44936</v>
      </c>
      <c r="C1860" s="2" t="s">
        <v>53</v>
      </c>
      <c r="D1860" s="8">
        <v>-26.88</v>
      </c>
      <c r="E1860" s="8">
        <f>E1859+(0-26.88)</f>
        <v>12645623.579999883</v>
      </c>
    </row>
    <row r="1861" spans="1:5" x14ac:dyDescent="0.25">
      <c r="A1861" s="2" t="s">
        <v>38</v>
      </c>
      <c r="B1861" s="6">
        <v>44936</v>
      </c>
      <c r="C1861" s="2" t="s">
        <v>53</v>
      </c>
      <c r="D1861" s="8">
        <v>-50</v>
      </c>
      <c r="E1861" s="8">
        <f>E1860+(0-50)</f>
        <v>12645573.579999883</v>
      </c>
    </row>
    <row r="1862" spans="1:5" x14ac:dyDescent="0.25">
      <c r="A1862" s="2" t="s">
        <v>38</v>
      </c>
      <c r="B1862" s="6">
        <v>44936</v>
      </c>
      <c r="C1862" s="2" t="s">
        <v>53</v>
      </c>
      <c r="D1862" s="8">
        <v>-350</v>
      </c>
      <c r="E1862" s="8">
        <f>E1861+(0-350)</f>
        <v>12645223.579999883</v>
      </c>
    </row>
    <row r="1863" spans="1:5" x14ac:dyDescent="0.25">
      <c r="A1863" s="2" t="s">
        <v>38</v>
      </c>
      <c r="B1863" s="6">
        <v>44937</v>
      </c>
      <c r="C1863" s="2" t="s">
        <v>53</v>
      </c>
      <c r="D1863" s="8">
        <v>-400</v>
      </c>
      <c r="E1863" s="8">
        <f>E1862+(0-400)</f>
        <v>12644823.579999883</v>
      </c>
    </row>
    <row r="1864" spans="1:5" x14ac:dyDescent="0.25">
      <c r="A1864" s="2" t="s">
        <v>38</v>
      </c>
      <c r="B1864" s="6">
        <v>44938</v>
      </c>
      <c r="C1864" s="2" t="s">
        <v>53</v>
      </c>
      <c r="D1864" s="8">
        <v>-50</v>
      </c>
      <c r="E1864" s="8">
        <f>E1863+(0-50)</f>
        <v>12644773.579999883</v>
      </c>
    </row>
    <row r="1865" spans="1:5" x14ac:dyDescent="0.25">
      <c r="A1865" s="2" t="s">
        <v>38</v>
      </c>
      <c r="B1865" s="6">
        <v>44938</v>
      </c>
      <c r="C1865" s="2" t="s">
        <v>53</v>
      </c>
      <c r="D1865" s="8">
        <v>-53.75</v>
      </c>
      <c r="E1865" s="8">
        <f>E1864+(0-53.75)</f>
        <v>12644719.829999883</v>
      </c>
    </row>
    <row r="1866" spans="1:5" x14ac:dyDescent="0.25">
      <c r="A1866" s="2" t="s">
        <v>38</v>
      </c>
      <c r="B1866" s="6">
        <v>44938</v>
      </c>
      <c r="C1866" s="2" t="s">
        <v>53</v>
      </c>
      <c r="D1866" s="8">
        <v>-350</v>
      </c>
      <c r="E1866" s="8">
        <f>E1865+(0-350)</f>
        <v>12644369.829999883</v>
      </c>
    </row>
    <row r="1867" spans="1:5" x14ac:dyDescent="0.25">
      <c r="A1867" s="2" t="s">
        <v>38</v>
      </c>
      <c r="B1867" s="6">
        <v>44938</v>
      </c>
      <c r="C1867" s="2" t="s">
        <v>53</v>
      </c>
      <c r="D1867" s="8">
        <v>-50</v>
      </c>
      <c r="E1867" s="8">
        <f>E1866+(0-50)</f>
        <v>12644319.829999883</v>
      </c>
    </row>
    <row r="1868" spans="1:5" x14ac:dyDescent="0.25">
      <c r="A1868" s="2" t="s">
        <v>38</v>
      </c>
      <c r="B1868" s="6">
        <v>44939</v>
      </c>
      <c r="C1868" s="2" t="s">
        <v>53</v>
      </c>
      <c r="D1868" s="8">
        <v>-26.88</v>
      </c>
      <c r="E1868" s="8">
        <f>E1867+(0-26.88)</f>
        <v>12644292.949999882</v>
      </c>
    </row>
    <row r="1869" spans="1:5" x14ac:dyDescent="0.25">
      <c r="A1869" s="2" t="s">
        <v>38</v>
      </c>
      <c r="B1869" s="6">
        <v>44939</v>
      </c>
      <c r="C1869" s="2" t="s">
        <v>53</v>
      </c>
      <c r="D1869" s="8">
        <v>-100</v>
      </c>
      <c r="E1869" s="8">
        <f>E1868+(0-100)</f>
        <v>12644192.949999882</v>
      </c>
    </row>
    <row r="1870" spans="1:5" x14ac:dyDescent="0.25">
      <c r="A1870" s="2" t="s">
        <v>38</v>
      </c>
      <c r="B1870" s="6">
        <v>44942</v>
      </c>
      <c r="C1870" s="2" t="s">
        <v>53</v>
      </c>
      <c r="D1870" s="8">
        <v>-53.75</v>
      </c>
      <c r="E1870" s="8">
        <f>E1869+(0-53.75)</f>
        <v>12644139.199999882</v>
      </c>
    </row>
    <row r="1871" spans="1:5" x14ac:dyDescent="0.25">
      <c r="A1871" s="2" t="s">
        <v>38</v>
      </c>
      <c r="B1871" s="6">
        <v>44942</v>
      </c>
      <c r="C1871" s="2" t="s">
        <v>53</v>
      </c>
      <c r="D1871" s="8">
        <v>-53.75</v>
      </c>
      <c r="E1871" s="8">
        <f>E1870+(0-53.75)</f>
        <v>12644085.449999882</v>
      </c>
    </row>
    <row r="1872" spans="1:5" x14ac:dyDescent="0.25">
      <c r="A1872" s="2" t="s">
        <v>38</v>
      </c>
      <c r="B1872" s="6">
        <v>44942</v>
      </c>
      <c r="C1872" s="2" t="s">
        <v>53</v>
      </c>
      <c r="D1872" s="8">
        <v>-50</v>
      </c>
      <c r="E1872" s="8">
        <f>E1871+(0-50)</f>
        <v>12644035.449999882</v>
      </c>
    </row>
    <row r="1873" spans="1:5" x14ac:dyDescent="0.25">
      <c r="A1873" s="2" t="s">
        <v>38</v>
      </c>
      <c r="B1873" s="6">
        <v>44942</v>
      </c>
      <c r="C1873" s="2" t="s">
        <v>53</v>
      </c>
      <c r="D1873" s="8">
        <v>-50</v>
      </c>
      <c r="E1873" s="8">
        <f>E1872+(0-50)</f>
        <v>12643985.449999882</v>
      </c>
    </row>
    <row r="1874" spans="1:5" x14ac:dyDescent="0.25">
      <c r="A1874" s="2" t="s">
        <v>38</v>
      </c>
      <c r="B1874" s="6">
        <v>44942</v>
      </c>
      <c r="C1874" s="2" t="s">
        <v>53</v>
      </c>
      <c r="D1874" s="8">
        <v>-300</v>
      </c>
      <c r="E1874" s="8">
        <f>E1873+(0-300)</f>
        <v>12643685.449999882</v>
      </c>
    </row>
    <row r="1875" spans="1:5" x14ac:dyDescent="0.25">
      <c r="A1875" s="2" t="s">
        <v>38</v>
      </c>
      <c r="B1875" s="6">
        <v>44943</v>
      </c>
      <c r="C1875" s="2" t="s">
        <v>53</v>
      </c>
      <c r="D1875" s="8">
        <v>-50</v>
      </c>
      <c r="E1875" s="8">
        <f>E1874+(0-50)</f>
        <v>12643635.449999882</v>
      </c>
    </row>
    <row r="1876" spans="1:5" x14ac:dyDescent="0.25">
      <c r="A1876" s="2" t="s">
        <v>38</v>
      </c>
      <c r="B1876" s="6">
        <v>44943</v>
      </c>
      <c r="C1876" s="2" t="s">
        <v>53</v>
      </c>
      <c r="D1876" s="8">
        <v>-53.75</v>
      </c>
      <c r="E1876" s="8">
        <f>E1875+(0-53.75)</f>
        <v>12643581.699999882</v>
      </c>
    </row>
    <row r="1877" spans="1:5" x14ac:dyDescent="0.25">
      <c r="A1877" s="2" t="s">
        <v>38</v>
      </c>
      <c r="B1877" s="6">
        <v>44943</v>
      </c>
      <c r="C1877" s="2" t="s">
        <v>53</v>
      </c>
      <c r="D1877" s="8">
        <v>-50</v>
      </c>
      <c r="E1877" s="8">
        <f>E1876+(0-50)</f>
        <v>12643531.699999882</v>
      </c>
    </row>
    <row r="1878" spans="1:5" x14ac:dyDescent="0.25">
      <c r="A1878" s="2" t="s">
        <v>38</v>
      </c>
      <c r="B1878" s="6">
        <v>44944</v>
      </c>
      <c r="C1878" s="2" t="s">
        <v>53</v>
      </c>
      <c r="D1878" s="8">
        <v>-200</v>
      </c>
      <c r="E1878" s="8">
        <f>E1877+(0-200)</f>
        <v>12643331.699999882</v>
      </c>
    </row>
    <row r="1879" spans="1:5" x14ac:dyDescent="0.25">
      <c r="A1879" s="2" t="s">
        <v>38</v>
      </c>
      <c r="B1879" s="6">
        <v>44945</v>
      </c>
      <c r="C1879" s="2" t="s">
        <v>53</v>
      </c>
      <c r="D1879" s="8">
        <v>-53.75</v>
      </c>
      <c r="E1879" s="8">
        <f>E1878+(0-53.75)</f>
        <v>12643277.949999882</v>
      </c>
    </row>
    <row r="1880" spans="1:5" x14ac:dyDescent="0.25">
      <c r="A1880" s="2" t="s">
        <v>38</v>
      </c>
      <c r="B1880" s="6">
        <v>44945</v>
      </c>
      <c r="C1880" s="2" t="s">
        <v>53</v>
      </c>
      <c r="D1880" s="8">
        <v>-53.75</v>
      </c>
      <c r="E1880" s="8">
        <f>E1879+(0-53.75)</f>
        <v>12643224.199999882</v>
      </c>
    </row>
    <row r="1881" spans="1:5" x14ac:dyDescent="0.25">
      <c r="A1881" s="2" t="s">
        <v>38</v>
      </c>
      <c r="B1881" s="6">
        <v>44945</v>
      </c>
      <c r="C1881" s="2" t="s">
        <v>53</v>
      </c>
      <c r="D1881" s="8">
        <v>-53.75</v>
      </c>
      <c r="E1881" s="8">
        <f>E1880+(0-53.75)</f>
        <v>12643170.449999882</v>
      </c>
    </row>
    <row r="1882" spans="1:5" x14ac:dyDescent="0.25">
      <c r="A1882" s="2" t="s">
        <v>38</v>
      </c>
      <c r="B1882" s="6">
        <v>44945</v>
      </c>
      <c r="C1882" s="2" t="s">
        <v>53</v>
      </c>
      <c r="D1882" s="8">
        <v>-500</v>
      </c>
      <c r="E1882" s="8">
        <f>E1881+(0-500)</f>
        <v>12642670.449999882</v>
      </c>
    </row>
    <row r="1883" spans="1:5" x14ac:dyDescent="0.25">
      <c r="A1883" s="2" t="s">
        <v>38</v>
      </c>
      <c r="B1883" s="6">
        <v>44946</v>
      </c>
      <c r="C1883" s="2" t="s">
        <v>53</v>
      </c>
      <c r="D1883" s="8">
        <v>-300</v>
      </c>
      <c r="E1883" s="8">
        <f>E1882+(0-300)</f>
        <v>12642370.449999882</v>
      </c>
    </row>
    <row r="1884" spans="1:5" x14ac:dyDescent="0.25">
      <c r="A1884" s="2" t="s">
        <v>38</v>
      </c>
      <c r="B1884" s="6">
        <v>44946</v>
      </c>
      <c r="C1884" s="2" t="s">
        <v>53</v>
      </c>
      <c r="D1884" s="8">
        <v>-50</v>
      </c>
      <c r="E1884" s="8">
        <f>E1883+(0-50)</f>
        <v>12642320.449999882</v>
      </c>
    </row>
    <row r="1885" spans="1:5" x14ac:dyDescent="0.25">
      <c r="A1885" s="2" t="s">
        <v>38</v>
      </c>
      <c r="B1885" s="6">
        <v>44949</v>
      </c>
      <c r="C1885" s="2" t="s">
        <v>53</v>
      </c>
      <c r="D1885" s="8">
        <v>-53.75</v>
      </c>
      <c r="E1885" s="8">
        <f>E1884+(0-53.75)</f>
        <v>12642266.699999882</v>
      </c>
    </row>
    <row r="1886" spans="1:5" x14ac:dyDescent="0.25">
      <c r="A1886" s="2" t="s">
        <v>38</v>
      </c>
      <c r="B1886" s="6">
        <v>44949</v>
      </c>
      <c r="C1886" s="2" t="s">
        <v>19</v>
      </c>
      <c r="D1886" s="8">
        <v>-24</v>
      </c>
      <c r="E1886" s="8">
        <f>E1885+(0-24)</f>
        <v>12642242.699999882</v>
      </c>
    </row>
    <row r="1887" spans="1:5" x14ac:dyDescent="0.25">
      <c r="A1887" s="2" t="s">
        <v>38</v>
      </c>
      <c r="B1887" s="6">
        <v>44949</v>
      </c>
      <c r="C1887" s="2" t="s">
        <v>53</v>
      </c>
      <c r="D1887" s="8">
        <v>-26.88</v>
      </c>
      <c r="E1887" s="8">
        <f>E1886+(0-26.88)</f>
        <v>12642215.819999881</v>
      </c>
    </row>
    <row r="1888" spans="1:5" x14ac:dyDescent="0.25">
      <c r="A1888" s="2" t="s">
        <v>38</v>
      </c>
      <c r="B1888" s="6">
        <v>44949</v>
      </c>
      <c r="C1888" s="2" t="s">
        <v>53</v>
      </c>
      <c r="D1888" s="8">
        <v>-50</v>
      </c>
      <c r="E1888" s="8">
        <f>E1887+(0-50)</f>
        <v>12642165.819999881</v>
      </c>
    </row>
    <row r="1889" spans="1:5" x14ac:dyDescent="0.25">
      <c r="A1889" s="2" t="s">
        <v>38</v>
      </c>
      <c r="B1889" s="6">
        <v>44949</v>
      </c>
      <c r="C1889" s="2" t="s">
        <v>53</v>
      </c>
      <c r="D1889" s="8">
        <v>-50</v>
      </c>
      <c r="E1889" s="8">
        <f>E1888+(0-50)</f>
        <v>12642115.819999881</v>
      </c>
    </row>
    <row r="1890" spans="1:5" x14ac:dyDescent="0.25">
      <c r="A1890" s="2" t="s">
        <v>38</v>
      </c>
      <c r="B1890" s="6">
        <v>44949</v>
      </c>
      <c r="C1890" s="2" t="s">
        <v>53</v>
      </c>
      <c r="D1890" s="8">
        <v>-50</v>
      </c>
      <c r="E1890" s="8">
        <f>E1889+(0-50)</f>
        <v>12642065.819999881</v>
      </c>
    </row>
    <row r="1891" spans="1:5" x14ac:dyDescent="0.25">
      <c r="A1891" s="2" t="s">
        <v>38</v>
      </c>
      <c r="B1891" s="6">
        <v>44949</v>
      </c>
      <c r="C1891" s="2" t="s">
        <v>53</v>
      </c>
      <c r="D1891" s="8">
        <v>-50</v>
      </c>
      <c r="E1891" s="8">
        <f>E1890+(0-50)</f>
        <v>12642015.819999881</v>
      </c>
    </row>
    <row r="1892" spans="1:5" x14ac:dyDescent="0.25">
      <c r="A1892" s="2" t="s">
        <v>38</v>
      </c>
      <c r="B1892" s="6">
        <v>44949</v>
      </c>
      <c r="C1892" s="2" t="s">
        <v>53</v>
      </c>
      <c r="D1892" s="8">
        <v>-50</v>
      </c>
      <c r="E1892" s="8">
        <f>E1891+(0-50)</f>
        <v>12641965.819999881</v>
      </c>
    </row>
    <row r="1893" spans="1:5" x14ac:dyDescent="0.25">
      <c r="A1893" s="2" t="s">
        <v>38</v>
      </c>
      <c r="B1893" s="6">
        <v>44949</v>
      </c>
      <c r="C1893" s="2" t="s">
        <v>53</v>
      </c>
      <c r="D1893" s="8">
        <v>-200</v>
      </c>
      <c r="E1893" s="8">
        <f>E1892+(0-200)</f>
        <v>12641765.819999881</v>
      </c>
    </row>
    <row r="1894" spans="1:5" x14ac:dyDescent="0.25">
      <c r="A1894" s="2" t="s">
        <v>38</v>
      </c>
      <c r="B1894" s="6">
        <v>44950</v>
      </c>
      <c r="C1894" s="2" t="s">
        <v>53</v>
      </c>
      <c r="D1894" s="8">
        <v>-50</v>
      </c>
      <c r="E1894" s="8">
        <f>E1893+(0-50)</f>
        <v>12641715.819999881</v>
      </c>
    </row>
    <row r="1895" spans="1:5" x14ac:dyDescent="0.25">
      <c r="A1895" s="2" t="s">
        <v>38</v>
      </c>
      <c r="B1895" s="6">
        <v>44950</v>
      </c>
      <c r="C1895" s="2" t="s">
        <v>53</v>
      </c>
      <c r="D1895" s="8">
        <v>-250</v>
      </c>
      <c r="E1895" s="8">
        <f>E1894+(0-250)</f>
        <v>12641465.819999881</v>
      </c>
    </row>
    <row r="1896" spans="1:5" x14ac:dyDescent="0.25">
      <c r="A1896" s="2" t="s">
        <v>38</v>
      </c>
      <c r="B1896" s="6">
        <v>44951</v>
      </c>
      <c r="C1896" s="2" t="s">
        <v>53</v>
      </c>
      <c r="D1896" s="8">
        <v>-53.75</v>
      </c>
      <c r="E1896" s="8">
        <f>E1895+(0-53.75)</f>
        <v>12641412.069999881</v>
      </c>
    </row>
    <row r="1897" spans="1:5" x14ac:dyDescent="0.25">
      <c r="A1897" s="2" t="s">
        <v>38</v>
      </c>
      <c r="B1897" s="6">
        <v>44951</v>
      </c>
      <c r="C1897" s="2" t="s">
        <v>53</v>
      </c>
      <c r="D1897" s="8">
        <v>-300</v>
      </c>
      <c r="E1897" s="8">
        <f>E1896+(0-300)</f>
        <v>12641112.069999881</v>
      </c>
    </row>
    <row r="1898" spans="1:5" x14ac:dyDescent="0.25">
      <c r="A1898" s="2" t="s">
        <v>38</v>
      </c>
      <c r="B1898" s="6">
        <v>44952</v>
      </c>
      <c r="C1898" s="2" t="s">
        <v>53</v>
      </c>
      <c r="D1898" s="8">
        <v>-53.75</v>
      </c>
      <c r="E1898" s="8">
        <f>E1897+(0-53.75)</f>
        <v>12641058.319999881</v>
      </c>
    </row>
    <row r="1899" spans="1:5" x14ac:dyDescent="0.25">
      <c r="A1899" s="2" t="s">
        <v>38</v>
      </c>
      <c r="B1899" s="6">
        <v>44952</v>
      </c>
      <c r="C1899" s="2" t="s">
        <v>53</v>
      </c>
      <c r="D1899" s="8">
        <v>-53.75</v>
      </c>
      <c r="E1899" s="8">
        <f>E1898+(0-53.75)</f>
        <v>12641004.569999881</v>
      </c>
    </row>
    <row r="1900" spans="1:5" x14ac:dyDescent="0.25">
      <c r="A1900" s="2" t="s">
        <v>38</v>
      </c>
      <c r="B1900" s="6">
        <v>44952</v>
      </c>
      <c r="C1900" s="2" t="s">
        <v>53</v>
      </c>
      <c r="D1900" s="8">
        <v>-26.88</v>
      </c>
      <c r="E1900" s="8">
        <f>E1899+(0-26.88)</f>
        <v>12640977.68999988</v>
      </c>
    </row>
    <row r="1901" spans="1:5" x14ac:dyDescent="0.25">
      <c r="A1901" s="2" t="s">
        <v>38</v>
      </c>
      <c r="B1901" s="6">
        <v>44952</v>
      </c>
      <c r="C1901" s="2" t="s">
        <v>53</v>
      </c>
      <c r="D1901" s="8">
        <v>-26.88</v>
      </c>
      <c r="E1901" s="8">
        <f>E1900+(0-26.88)</f>
        <v>12640950.809999879</v>
      </c>
    </row>
    <row r="1902" spans="1:5" x14ac:dyDescent="0.25">
      <c r="A1902" s="2" t="s">
        <v>38</v>
      </c>
      <c r="B1902" s="6">
        <v>44952</v>
      </c>
      <c r="C1902" s="2" t="s">
        <v>53</v>
      </c>
      <c r="D1902" s="8">
        <v>-53.75</v>
      </c>
      <c r="E1902" s="8">
        <f>E1901+(0-53.75)</f>
        <v>12640897.059999879</v>
      </c>
    </row>
    <row r="1903" spans="1:5" x14ac:dyDescent="0.25">
      <c r="A1903" s="2" t="s">
        <v>38</v>
      </c>
      <c r="B1903" s="6">
        <v>44952</v>
      </c>
      <c r="C1903" s="2" t="s">
        <v>53</v>
      </c>
      <c r="D1903" s="8">
        <v>-26.88</v>
      </c>
      <c r="E1903" s="8">
        <f>E1902+(0-26.88)</f>
        <v>12640870.179999879</v>
      </c>
    </row>
    <row r="1904" spans="1:5" x14ac:dyDescent="0.25">
      <c r="A1904" s="2" t="s">
        <v>38</v>
      </c>
      <c r="B1904" s="6">
        <v>44952</v>
      </c>
      <c r="C1904" s="2" t="s">
        <v>53</v>
      </c>
      <c r="D1904" s="8">
        <v>-26.88</v>
      </c>
      <c r="E1904" s="8">
        <f>E1903+(0-26.88)</f>
        <v>12640843.299999878</v>
      </c>
    </row>
    <row r="1905" spans="1:5" x14ac:dyDescent="0.25">
      <c r="A1905" s="2" t="s">
        <v>38</v>
      </c>
      <c r="B1905" s="6">
        <v>44952</v>
      </c>
      <c r="C1905" s="2" t="s">
        <v>53</v>
      </c>
      <c r="D1905" s="8">
        <v>-53.75</v>
      </c>
      <c r="E1905" s="8">
        <f>E1904+(0-53.75)</f>
        <v>12640789.549999878</v>
      </c>
    </row>
    <row r="1906" spans="1:5" x14ac:dyDescent="0.25">
      <c r="A1906" s="2" t="s">
        <v>38</v>
      </c>
      <c r="B1906" s="6">
        <v>44952</v>
      </c>
      <c r="C1906" s="2" t="s">
        <v>53</v>
      </c>
      <c r="D1906" s="8">
        <v>-100</v>
      </c>
      <c r="E1906" s="8">
        <f>E1905+(0-100)</f>
        <v>12640689.549999878</v>
      </c>
    </row>
    <row r="1907" spans="1:5" x14ac:dyDescent="0.25">
      <c r="A1907" s="2" t="s">
        <v>38</v>
      </c>
      <c r="B1907" s="6">
        <v>44953</v>
      </c>
      <c r="C1907" s="2" t="s">
        <v>53</v>
      </c>
      <c r="D1907" s="8">
        <v>-53.75</v>
      </c>
      <c r="E1907" s="8">
        <f>E1906+(0-53.75)</f>
        <v>12640635.799999878</v>
      </c>
    </row>
    <row r="1908" spans="1:5" x14ac:dyDescent="0.25">
      <c r="A1908" s="2" t="s">
        <v>38</v>
      </c>
      <c r="B1908" s="6">
        <v>44953</v>
      </c>
      <c r="C1908" s="2" t="s">
        <v>53</v>
      </c>
      <c r="D1908" s="8">
        <v>-53.75</v>
      </c>
      <c r="E1908" s="8">
        <f>E1907+(0-53.75)</f>
        <v>12640582.049999878</v>
      </c>
    </row>
    <row r="1909" spans="1:5" x14ac:dyDescent="0.25">
      <c r="A1909" s="2" t="s">
        <v>38</v>
      </c>
      <c r="B1909" s="6">
        <v>44953</v>
      </c>
      <c r="C1909" s="2" t="s">
        <v>53</v>
      </c>
      <c r="D1909" s="8">
        <v>-53.75</v>
      </c>
      <c r="E1909" s="8">
        <f>E1908+(0-53.75)</f>
        <v>12640528.299999878</v>
      </c>
    </row>
    <row r="1910" spans="1:5" x14ac:dyDescent="0.25">
      <c r="A1910" s="2" t="s">
        <v>38</v>
      </c>
      <c r="B1910" s="6">
        <v>44953</v>
      </c>
      <c r="C1910" s="2" t="s">
        <v>53</v>
      </c>
      <c r="D1910" s="8">
        <v>-50</v>
      </c>
      <c r="E1910" s="8">
        <f>E1909+(0-50)</f>
        <v>12640478.299999878</v>
      </c>
    </row>
    <row r="1911" spans="1:5" x14ac:dyDescent="0.25">
      <c r="A1911" s="2" t="s">
        <v>38</v>
      </c>
      <c r="B1911" s="6">
        <v>44953</v>
      </c>
      <c r="C1911" s="2" t="s">
        <v>53</v>
      </c>
      <c r="D1911" s="8">
        <v>-50</v>
      </c>
      <c r="E1911" s="8">
        <f>E1910+(0-50)</f>
        <v>12640428.299999878</v>
      </c>
    </row>
    <row r="1912" spans="1:5" x14ac:dyDescent="0.25">
      <c r="A1912" s="2" t="s">
        <v>38</v>
      </c>
      <c r="B1912" s="6">
        <v>44953</v>
      </c>
      <c r="C1912" s="2" t="s">
        <v>53</v>
      </c>
      <c r="D1912" s="8">
        <v>-400</v>
      </c>
      <c r="E1912" s="8">
        <f>E1911+(0-400)</f>
        <v>12640028.299999878</v>
      </c>
    </row>
    <row r="1913" spans="1:5" x14ac:dyDescent="0.25">
      <c r="A1913" s="2" t="s">
        <v>38</v>
      </c>
      <c r="B1913" s="6">
        <v>44953</v>
      </c>
      <c r="C1913" s="2" t="s">
        <v>53</v>
      </c>
      <c r="D1913" s="8">
        <v>-50</v>
      </c>
      <c r="E1913" s="8">
        <f>E1912+(0-50)</f>
        <v>12639978.299999878</v>
      </c>
    </row>
    <row r="1914" spans="1:5" x14ac:dyDescent="0.25">
      <c r="A1914" s="2" t="s">
        <v>38</v>
      </c>
      <c r="B1914" s="6">
        <v>44956</v>
      </c>
      <c r="C1914" s="2" t="s">
        <v>53</v>
      </c>
      <c r="D1914" s="8">
        <v>-26.88</v>
      </c>
      <c r="E1914" s="8">
        <f>E1913+(0-26.88)</f>
        <v>12639951.419999877</v>
      </c>
    </row>
    <row r="1915" spans="1:5" x14ac:dyDescent="0.25">
      <c r="A1915" s="2" t="s">
        <v>38</v>
      </c>
      <c r="B1915" s="6">
        <v>44956</v>
      </c>
      <c r="C1915" s="2" t="s">
        <v>53</v>
      </c>
      <c r="D1915" s="8">
        <v>-53.75</v>
      </c>
      <c r="E1915" s="8">
        <f>E1914+(0-53.75)</f>
        <v>12639897.669999877</v>
      </c>
    </row>
    <row r="1916" spans="1:5" x14ac:dyDescent="0.25">
      <c r="A1916" s="2" t="s">
        <v>38</v>
      </c>
      <c r="B1916" s="6">
        <v>44956</v>
      </c>
      <c r="C1916" s="2" t="s">
        <v>19</v>
      </c>
      <c r="D1916" s="8">
        <v>-52</v>
      </c>
      <c r="E1916" s="8">
        <f>E1915+(0-52)</f>
        <v>12639845.669999877</v>
      </c>
    </row>
    <row r="1917" spans="1:5" x14ac:dyDescent="0.25">
      <c r="A1917" s="2" t="s">
        <v>38</v>
      </c>
      <c r="B1917" s="6">
        <v>44956</v>
      </c>
      <c r="C1917" s="2" t="s">
        <v>53</v>
      </c>
      <c r="D1917" s="8">
        <v>-53.75</v>
      </c>
      <c r="E1917" s="8">
        <f>E1916+(0-53.75)</f>
        <v>12639791.919999877</v>
      </c>
    </row>
    <row r="1918" spans="1:5" x14ac:dyDescent="0.25">
      <c r="A1918" s="2" t="s">
        <v>38</v>
      </c>
      <c r="B1918" s="6">
        <v>44956</v>
      </c>
      <c r="C1918" s="2" t="s">
        <v>19</v>
      </c>
      <c r="D1918" s="8">
        <v>-20</v>
      </c>
      <c r="E1918" s="8">
        <f>E1917+(0-20)</f>
        <v>12639771.919999877</v>
      </c>
    </row>
    <row r="1919" spans="1:5" x14ac:dyDescent="0.25">
      <c r="A1919" s="2" t="s">
        <v>38</v>
      </c>
      <c r="B1919" s="6">
        <v>44956</v>
      </c>
      <c r="C1919" s="2" t="s">
        <v>53</v>
      </c>
      <c r="D1919" s="8">
        <v>-150</v>
      </c>
      <c r="E1919" s="8">
        <f>E1918+(0-150)</f>
        <v>12639621.919999877</v>
      </c>
    </row>
    <row r="1920" spans="1:5" x14ac:dyDescent="0.25">
      <c r="A1920" s="2" t="s">
        <v>38</v>
      </c>
      <c r="B1920" s="6">
        <v>44956</v>
      </c>
      <c r="C1920" s="2" t="s">
        <v>53</v>
      </c>
      <c r="D1920" s="8">
        <v>-50</v>
      </c>
      <c r="E1920" s="8">
        <f>E1919+(0-50)</f>
        <v>12639571.919999877</v>
      </c>
    </row>
    <row r="1921" spans="1:5" x14ac:dyDescent="0.25">
      <c r="A1921" s="2" t="s">
        <v>38</v>
      </c>
      <c r="B1921" s="6">
        <v>44956</v>
      </c>
      <c r="C1921" s="2" t="s">
        <v>19</v>
      </c>
      <c r="D1921" s="8">
        <v>-12</v>
      </c>
      <c r="E1921" s="8">
        <f>E1920+(0-12)</f>
        <v>12639559.919999877</v>
      </c>
    </row>
    <row r="1922" spans="1:5" x14ac:dyDescent="0.25">
      <c r="A1922" s="2" t="s">
        <v>38</v>
      </c>
      <c r="B1922" s="6">
        <v>44956</v>
      </c>
      <c r="C1922" s="2" t="s">
        <v>19</v>
      </c>
      <c r="D1922" s="8">
        <v>-16</v>
      </c>
      <c r="E1922" s="8">
        <f>E1921+(0-16)</f>
        <v>12639543.919999877</v>
      </c>
    </row>
    <row r="1923" spans="1:5" x14ac:dyDescent="0.25">
      <c r="A1923" s="2" t="s">
        <v>38</v>
      </c>
      <c r="B1923" s="6">
        <v>44957</v>
      </c>
      <c r="C1923" s="2" t="s">
        <v>19</v>
      </c>
      <c r="D1923" s="8">
        <v>-64</v>
      </c>
      <c r="E1923" s="8">
        <f>E1922+(0-64)</f>
        <v>12639479.919999877</v>
      </c>
    </row>
    <row r="1924" spans="1:5" x14ac:dyDescent="0.25">
      <c r="A1924" s="2" t="s">
        <v>38</v>
      </c>
      <c r="B1924" s="6">
        <v>44957</v>
      </c>
      <c r="C1924" s="2" t="s">
        <v>19</v>
      </c>
      <c r="D1924" s="8">
        <v>-80</v>
      </c>
      <c r="E1924" s="8">
        <f>E1923+(0-80)</f>
        <v>12639399.919999877</v>
      </c>
    </row>
    <row r="1925" spans="1:5" x14ac:dyDescent="0.25">
      <c r="A1925" s="2" t="s">
        <v>38</v>
      </c>
      <c r="B1925" s="6">
        <v>44957</v>
      </c>
      <c r="C1925" s="2" t="s">
        <v>19</v>
      </c>
      <c r="D1925" s="8">
        <v>-96</v>
      </c>
      <c r="E1925" s="8">
        <f>E1924+(0-96)</f>
        <v>12639303.919999877</v>
      </c>
    </row>
    <row r="1926" spans="1:5" x14ac:dyDescent="0.25">
      <c r="A1926" s="2" t="s">
        <v>38</v>
      </c>
      <c r="B1926" s="6">
        <v>44957</v>
      </c>
      <c r="C1926" s="2" t="s">
        <v>19</v>
      </c>
      <c r="D1926" s="8">
        <v>-44</v>
      </c>
      <c r="E1926" s="8">
        <f>E1925+(0-44)</f>
        <v>12639259.919999877</v>
      </c>
    </row>
    <row r="1927" spans="1:5" x14ac:dyDescent="0.25">
      <c r="A1927" s="2" t="s">
        <v>38</v>
      </c>
      <c r="B1927" s="6">
        <v>44957</v>
      </c>
      <c r="C1927" s="2" t="s">
        <v>53</v>
      </c>
      <c r="D1927" s="8">
        <v>-53.75</v>
      </c>
      <c r="E1927" s="8">
        <f>E1926+(0-53.75)</f>
        <v>12639206.169999877</v>
      </c>
    </row>
    <row r="1928" spans="1:5" x14ac:dyDescent="0.25">
      <c r="A1928" s="2" t="s">
        <v>38</v>
      </c>
      <c r="B1928" s="6">
        <v>44957</v>
      </c>
      <c r="C1928" s="2" t="s">
        <v>53</v>
      </c>
      <c r="D1928" s="8">
        <v>-53.75</v>
      </c>
      <c r="E1928" s="8">
        <f>E1927+(0-53.75)</f>
        <v>12639152.419999877</v>
      </c>
    </row>
    <row r="1929" spans="1:5" x14ac:dyDescent="0.25">
      <c r="A1929" s="2" t="s">
        <v>38</v>
      </c>
      <c r="B1929" s="6">
        <v>44957</v>
      </c>
      <c r="C1929" s="2" t="s">
        <v>19</v>
      </c>
      <c r="D1929" s="8">
        <v>-12</v>
      </c>
      <c r="E1929" s="8">
        <f>E1928+(0-12)</f>
        <v>12639140.419999877</v>
      </c>
    </row>
    <row r="1930" spans="1:5" x14ac:dyDescent="0.25">
      <c r="A1930" s="2" t="s">
        <v>38</v>
      </c>
      <c r="B1930" s="6">
        <v>44957</v>
      </c>
      <c r="C1930" s="2" t="s">
        <v>19</v>
      </c>
      <c r="D1930" s="8">
        <v>-8</v>
      </c>
      <c r="E1930" s="8">
        <f>E1929+(0-8)</f>
        <v>12639132.419999877</v>
      </c>
    </row>
    <row r="1931" spans="1:5" x14ac:dyDescent="0.25">
      <c r="A1931" s="2" t="s">
        <v>38</v>
      </c>
      <c r="B1931" s="6">
        <v>44957</v>
      </c>
      <c r="C1931" s="2" t="s">
        <v>53</v>
      </c>
      <c r="D1931" s="8">
        <v>-50</v>
      </c>
      <c r="E1931" s="8">
        <f>E1930+(0-50)</f>
        <v>12639082.419999877</v>
      </c>
    </row>
    <row r="1932" spans="1:5" x14ac:dyDescent="0.25">
      <c r="A1932" s="2" t="s">
        <v>38</v>
      </c>
      <c r="B1932" s="6">
        <v>44957</v>
      </c>
      <c r="C1932" s="2" t="s">
        <v>53</v>
      </c>
      <c r="D1932" s="8">
        <v>-400</v>
      </c>
      <c r="E1932" s="8">
        <f>E1931+(0-400)</f>
        <v>12638682.419999877</v>
      </c>
    </row>
    <row r="1933" spans="1:5" x14ac:dyDescent="0.25">
      <c r="A1933" s="2" t="s">
        <v>38</v>
      </c>
      <c r="B1933" s="6">
        <v>44957</v>
      </c>
      <c r="C1933" s="2" t="s">
        <v>19</v>
      </c>
      <c r="D1933" s="8">
        <v>-56</v>
      </c>
      <c r="E1933" s="8">
        <f>E1932+(0-56)</f>
        <v>12638626.419999877</v>
      </c>
    </row>
    <row r="1934" spans="1:5" x14ac:dyDescent="0.25">
      <c r="A1934" s="2" t="s">
        <v>38</v>
      </c>
      <c r="B1934" s="6">
        <v>44957</v>
      </c>
      <c r="C1934" s="2" t="s">
        <v>19</v>
      </c>
      <c r="D1934" s="8">
        <v>-24</v>
      </c>
      <c r="E1934" s="8">
        <f>E1933+(0-24)</f>
        <v>12638602.419999877</v>
      </c>
    </row>
    <row r="1935" spans="1:5" x14ac:dyDescent="0.25">
      <c r="A1935" s="2" t="s">
        <v>38</v>
      </c>
      <c r="B1935" s="6">
        <v>44958</v>
      </c>
      <c r="C1935" s="2" t="s">
        <v>19</v>
      </c>
      <c r="D1935" s="8">
        <v>-32</v>
      </c>
      <c r="E1935" s="8">
        <f>E1934+(0-32)</f>
        <v>12638570.419999877</v>
      </c>
    </row>
    <row r="1936" spans="1:5" x14ac:dyDescent="0.25">
      <c r="A1936" s="2" t="s">
        <v>38</v>
      </c>
      <c r="B1936" s="6">
        <v>44958</v>
      </c>
      <c r="C1936" s="2" t="s">
        <v>19</v>
      </c>
      <c r="D1936" s="8">
        <v>-96</v>
      </c>
      <c r="E1936" s="8">
        <f>E1935+(0-96)</f>
        <v>12638474.419999877</v>
      </c>
    </row>
    <row r="1937" spans="1:5" x14ac:dyDescent="0.25">
      <c r="A1937" s="2" t="s">
        <v>38</v>
      </c>
      <c r="B1937" s="6">
        <v>44958</v>
      </c>
      <c r="C1937" s="2" t="s">
        <v>19</v>
      </c>
      <c r="D1937" s="8">
        <v>-40</v>
      </c>
      <c r="E1937" s="8">
        <f>E1936+(0-40)</f>
        <v>12638434.419999877</v>
      </c>
    </row>
    <row r="1938" spans="1:5" x14ac:dyDescent="0.25">
      <c r="A1938" s="2" t="s">
        <v>38</v>
      </c>
      <c r="B1938" s="6">
        <v>44958</v>
      </c>
      <c r="C1938" s="2" t="s">
        <v>19</v>
      </c>
      <c r="D1938" s="8">
        <v>-12</v>
      </c>
      <c r="E1938" s="8">
        <f>E1937+(0-12)</f>
        <v>12638422.419999877</v>
      </c>
    </row>
    <row r="1939" spans="1:5" x14ac:dyDescent="0.25">
      <c r="A1939" s="2" t="s">
        <v>38</v>
      </c>
      <c r="B1939" s="6">
        <v>44958</v>
      </c>
      <c r="C1939" s="2" t="s">
        <v>19</v>
      </c>
      <c r="D1939" s="8">
        <v>-8</v>
      </c>
      <c r="E1939" s="8">
        <f>E1938+(0-8)</f>
        <v>12638414.419999877</v>
      </c>
    </row>
    <row r="1940" spans="1:5" x14ac:dyDescent="0.25">
      <c r="A1940" s="2" t="s">
        <v>38</v>
      </c>
      <c r="B1940" s="6">
        <v>44958</v>
      </c>
      <c r="C1940" s="2" t="s">
        <v>53</v>
      </c>
      <c r="D1940" s="8">
        <v>-350</v>
      </c>
      <c r="E1940" s="8">
        <f>E1939+(0-350)</f>
        <v>12638064.419999877</v>
      </c>
    </row>
    <row r="1941" spans="1:5" x14ac:dyDescent="0.25">
      <c r="A1941" s="2" t="s">
        <v>38</v>
      </c>
      <c r="B1941" s="6">
        <v>44958</v>
      </c>
      <c r="C1941" s="2" t="s">
        <v>19</v>
      </c>
      <c r="D1941" s="8">
        <v>-64</v>
      </c>
      <c r="E1941" s="8">
        <f>E1940+(0-64)</f>
        <v>12638000.419999877</v>
      </c>
    </row>
    <row r="1942" spans="1:5" x14ac:dyDescent="0.25">
      <c r="A1942" s="2" t="s">
        <v>38</v>
      </c>
      <c r="B1942" s="6">
        <v>44959</v>
      </c>
      <c r="C1942" s="2" t="s">
        <v>19</v>
      </c>
      <c r="D1942" s="8">
        <v>-52</v>
      </c>
      <c r="E1942" s="8">
        <f>E1941+(0-52)</f>
        <v>12637948.419999877</v>
      </c>
    </row>
    <row r="1943" spans="1:5" x14ac:dyDescent="0.25">
      <c r="A1943" s="2" t="s">
        <v>38</v>
      </c>
      <c r="B1943" s="6">
        <v>44959</v>
      </c>
      <c r="C1943" s="2" t="s">
        <v>19</v>
      </c>
      <c r="D1943" s="8">
        <v>-56</v>
      </c>
      <c r="E1943" s="8">
        <f>E1942+(0-56)</f>
        <v>12637892.419999877</v>
      </c>
    </row>
    <row r="1944" spans="1:5" x14ac:dyDescent="0.25">
      <c r="A1944" s="2" t="s">
        <v>38</v>
      </c>
      <c r="B1944" s="6">
        <v>44959</v>
      </c>
      <c r="C1944" s="2" t="s">
        <v>53</v>
      </c>
      <c r="D1944" s="8">
        <v>-26.88</v>
      </c>
      <c r="E1944" s="8">
        <f>E1943+(0-26.88)</f>
        <v>12637865.539999876</v>
      </c>
    </row>
    <row r="1945" spans="1:5" x14ac:dyDescent="0.25">
      <c r="A1945" s="2" t="s">
        <v>38</v>
      </c>
      <c r="B1945" s="6">
        <v>44959</v>
      </c>
      <c r="C1945" s="2" t="s">
        <v>53</v>
      </c>
      <c r="D1945" s="8">
        <v>-50</v>
      </c>
      <c r="E1945" s="8">
        <f>E1944+(0-50)</f>
        <v>12637815.539999876</v>
      </c>
    </row>
    <row r="1946" spans="1:5" x14ac:dyDescent="0.25">
      <c r="A1946" s="2" t="s">
        <v>38</v>
      </c>
      <c r="B1946" s="6">
        <v>44959</v>
      </c>
      <c r="C1946" s="2" t="s">
        <v>53</v>
      </c>
      <c r="D1946" s="8">
        <v>-26.88</v>
      </c>
      <c r="E1946" s="8">
        <f>E1945+(0-26.88)</f>
        <v>12637788.659999875</v>
      </c>
    </row>
    <row r="1947" spans="1:5" x14ac:dyDescent="0.25">
      <c r="A1947" s="2" t="s">
        <v>38</v>
      </c>
      <c r="B1947" s="6">
        <v>44959</v>
      </c>
      <c r="C1947" s="2" t="s">
        <v>19</v>
      </c>
      <c r="D1947" s="8">
        <v>-76</v>
      </c>
      <c r="E1947" s="8">
        <f>E1946+(0-76)</f>
        <v>12637712.659999875</v>
      </c>
    </row>
    <row r="1948" spans="1:5" x14ac:dyDescent="0.25">
      <c r="A1948" s="2" t="s">
        <v>38</v>
      </c>
      <c r="B1948" s="6">
        <v>44959</v>
      </c>
      <c r="C1948" s="2" t="s">
        <v>19</v>
      </c>
      <c r="D1948" s="8">
        <v>-100</v>
      </c>
      <c r="E1948" s="8">
        <f>E1947+(0-100)</f>
        <v>12637612.659999875</v>
      </c>
    </row>
    <row r="1949" spans="1:5" x14ac:dyDescent="0.25">
      <c r="A1949" s="2" t="s">
        <v>38</v>
      </c>
      <c r="B1949" s="6">
        <v>44959</v>
      </c>
      <c r="C1949" s="2" t="s">
        <v>53</v>
      </c>
      <c r="D1949" s="8">
        <v>-400</v>
      </c>
      <c r="E1949" s="8">
        <f>E1948+(0-400)</f>
        <v>12637212.659999875</v>
      </c>
    </row>
    <row r="1950" spans="1:5" x14ac:dyDescent="0.25">
      <c r="A1950" s="2" t="s">
        <v>38</v>
      </c>
      <c r="B1950" s="6">
        <v>44960</v>
      </c>
      <c r="C1950" s="2" t="s">
        <v>19</v>
      </c>
      <c r="D1950" s="8">
        <v>-36</v>
      </c>
      <c r="E1950" s="8">
        <f>E1949+(0-36)</f>
        <v>12637176.659999875</v>
      </c>
    </row>
    <row r="1951" spans="1:5" x14ac:dyDescent="0.25">
      <c r="A1951" s="2" t="s">
        <v>38</v>
      </c>
      <c r="B1951" s="6">
        <v>44960</v>
      </c>
      <c r="C1951" s="2" t="s">
        <v>53</v>
      </c>
      <c r="D1951" s="8">
        <v>-53.75</v>
      </c>
      <c r="E1951" s="8">
        <f>E1950+(0-53.75)</f>
        <v>12637122.909999875</v>
      </c>
    </row>
    <row r="1952" spans="1:5" x14ac:dyDescent="0.25">
      <c r="A1952" s="2" t="s">
        <v>38</v>
      </c>
      <c r="B1952" s="6">
        <v>44960</v>
      </c>
      <c r="C1952" s="2" t="s">
        <v>19</v>
      </c>
      <c r="D1952" s="8">
        <v>-64</v>
      </c>
      <c r="E1952" s="8">
        <f>E1951+(0-64)</f>
        <v>12637058.909999875</v>
      </c>
    </row>
    <row r="1953" spans="1:5" x14ac:dyDescent="0.25">
      <c r="A1953" s="2" t="s">
        <v>38</v>
      </c>
      <c r="B1953" s="6">
        <v>44960</v>
      </c>
      <c r="C1953" s="2" t="s">
        <v>19</v>
      </c>
      <c r="D1953" s="8">
        <v>-52</v>
      </c>
      <c r="E1953" s="8">
        <f>E1952+(0-52)</f>
        <v>12637006.909999875</v>
      </c>
    </row>
    <row r="1954" spans="1:5" x14ac:dyDescent="0.25">
      <c r="A1954" s="2" t="s">
        <v>38</v>
      </c>
      <c r="B1954" s="6">
        <v>44960</v>
      </c>
      <c r="C1954" s="2" t="s">
        <v>19</v>
      </c>
      <c r="D1954" s="8">
        <v>-68</v>
      </c>
      <c r="E1954" s="8">
        <f>E1953+(0-68)</f>
        <v>12636938.909999875</v>
      </c>
    </row>
    <row r="1955" spans="1:5" x14ac:dyDescent="0.25">
      <c r="A1955" s="2" t="s">
        <v>38</v>
      </c>
      <c r="B1955" s="6">
        <v>44960</v>
      </c>
      <c r="C1955" s="2" t="s">
        <v>53</v>
      </c>
      <c r="D1955" s="8">
        <v>-53.75</v>
      </c>
      <c r="E1955" s="8">
        <f>E1954+(0-53.75)</f>
        <v>12636885.159999875</v>
      </c>
    </row>
    <row r="1956" spans="1:5" x14ac:dyDescent="0.25">
      <c r="A1956" s="2" t="s">
        <v>38</v>
      </c>
      <c r="B1956" s="6">
        <v>44960</v>
      </c>
      <c r="C1956" s="2" t="s">
        <v>53</v>
      </c>
      <c r="D1956" s="8">
        <v>-53.75</v>
      </c>
      <c r="E1956" s="8">
        <f>E1955+(0-53.75)</f>
        <v>12636831.409999875</v>
      </c>
    </row>
    <row r="1957" spans="1:5" x14ac:dyDescent="0.25">
      <c r="A1957" s="2" t="s">
        <v>38</v>
      </c>
      <c r="B1957" s="6">
        <v>44960</v>
      </c>
      <c r="C1957" s="2" t="s">
        <v>53</v>
      </c>
      <c r="D1957" s="8">
        <v>-350</v>
      </c>
      <c r="E1957" s="8">
        <f>E1956+(0-350)</f>
        <v>12636481.409999875</v>
      </c>
    </row>
    <row r="1958" spans="1:5" x14ac:dyDescent="0.25">
      <c r="A1958" s="2" t="s">
        <v>38</v>
      </c>
      <c r="B1958" s="6">
        <v>44963</v>
      </c>
      <c r="C1958" s="2" t="s">
        <v>19</v>
      </c>
      <c r="D1958" s="8">
        <v>-24</v>
      </c>
      <c r="E1958" s="8">
        <f>E1957+(0-24)</f>
        <v>12636457.409999875</v>
      </c>
    </row>
    <row r="1959" spans="1:5" x14ac:dyDescent="0.25">
      <c r="A1959" s="2" t="s">
        <v>38</v>
      </c>
      <c r="B1959" s="6">
        <v>44963</v>
      </c>
      <c r="C1959" s="2" t="s">
        <v>19</v>
      </c>
      <c r="D1959" s="8">
        <v>-4</v>
      </c>
      <c r="E1959" s="8">
        <f>E1958+(0-4)</f>
        <v>12636453.409999875</v>
      </c>
    </row>
    <row r="1960" spans="1:5" x14ac:dyDescent="0.25">
      <c r="A1960" s="2" t="s">
        <v>38</v>
      </c>
      <c r="B1960" s="6">
        <v>44963</v>
      </c>
      <c r="C1960" s="2" t="s">
        <v>53</v>
      </c>
      <c r="D1960" s="8">
        <v>-50</v>
      </c>
      <c r="E1960" s="8">
        <f>E1959+(0-50)</f>
        <v>12636403.409999875</v>
      </c>
    </row>
    <row r="1961" spans="1:5" x14ac:dyDescent="0.25">
      <c r="A1961" s="2" t="s">
        <v>38</v>
      </c>
      <c r="B1961" s="6">
        <v>44963</v>
      </c>
      <c r="C1961" s="2" t="s">
        <v>53</v>
      </c>
      <c r="D1961" s="8">
        <v>-350</v>
      </c>
      <c r="E1961" s="8">
        <f>E1960+(0-350)</f>
        <v>12636053.409999875</v>
      </c>
    </row>
    <row r="1962" spans="1:5" x14ac:dyDescent="0.25">
      <c r="A1962" s="2" t="s">
        <v>38</v>
      </c>
      <c r="B1962" s="6">
        <v>44964</v>
      </c>
      <c r="C1962" s="2" t="s">
        <v>19</v>
      </c>
      <c r="D1962" s="8">
        <v>-44</v>
      </c>
      <c r="E1962" s="8">
        <f>E1961+(0-44)</f>
        <v>12636009.409999875</v>
      </c>
    </row>
    <row r="1963" spans="1:5" x14ac:dyDescent="0.25">
      <c r="A1963" s="2" t="s">
        <v>38</v>
      </c>
      <c r="B1963" s="6">
        <v>44964</v>
      </c>
      <c r="C1963" s="2" t="s">
        <v>53</v>
      </c>
      <c r="D1963" s="8">
        <v>-53.75</v>
      </c>
      <c r="E1963" s="8">
        <f>E1962+(0-53.75)</f>
        <v>12635955.659999875</v>
      </c>
    </row>
    <row r="1964" spans="1:5" x14ac:dyDescent="0.25">
      <c r="A1964" s="2" t="s">
        <v>38</v>
      </c>
      <c r="B1964" s="6">
        <v>44964</v>
      </c>
      <c r="C1964" s="2" t="s">
        <v>53</v>
      </c>
      <c r="D1964" s="8">
        <v>-100</v>
      </c>
      <c r="E1964" s="8">
        <f>E1963+(0-100)</f>
        <v>12635855.659999875</v>
      </c>
    </row>
    <row r="1965" spans="1:5" x14ac:dyDescent="0.25">
      <c r="A1965" s="2" t="s">
        <v>38</v>
      </c>
      <c r="B1965" s="6">
        <v>44964</v>
      </c>
      <c r="C1965" s="2" t="s">
        <v>19</v>
      </c>
      <c r="D1965" s="8">
        <v>-36</v>
      </c>
      <c r="E1965" s="8">
        <f>E1964+(0-36)</f>
        <v>12635819.659999875</v>
      </c>
    </row>
    <row r="1966" spans="1:5" x14ac:dyDescent="0.25">
      <c r="A1966" s="2" t="s">
        <v>38</v>
      </c>
      <c r="B1966" s="6">
        <v>44965</v>
      </c>
      <c r="C1966" s="2" t="s">
        <v>53</v>
      </c>
      <c r="D1966" s="8">
        <v>-50</v>
      </c>
      <c r="E1966" s="8">
        <f>E1965+(0-50)</f>
        <v>12635769.659999875</v>
      </c>
    </row>
    <row r="1967" spans="1:5" x14ac:dyDescent="0.25">
      <c r="A1967" s="2" t="s">
        <v>38</v>
      </c>
      <c r="B1967" s="6">
        <v>44965</v>
      </c>
      <c r="C1967" s="2" t="s">
        <v>53</v>
      </c>
      <c r="D1967" s="8">
        <v>-550</v>
      </c>
      <c r="E1967" s="8">
        <f>E1966+(0-550)</f>
        <v>12635219.659999875</v>
      </c>
    </row>
    <row r="1968" spans="1:5" x14ac:dyDescent="0.25">
      <c r="A1968" s="2" t="s">
        <v>38</v>
      </c>
      <c r="B1968" s="6">
        <v>44966</v>
      </c>
      <c r="C1968" s="2" t="s">
        <v>53</v>
      </c>
      <c r="D1968" s="8">
        <v>-500</v>
      </c>
      <c r="E1968" s="8">
        <f>E1967+(0-500)</f>
        <v>12634719.659999875</v>
      </c>
    </row>
    <row r="1969" spans="1:5" x14ac:dyDescent="0.25">
      <c r="A1969" s="2" t="s">
        <v>38</v>
      </c>
      <c r="B1969" s="6">
        <v>44966</v>
      </c>
      <c r="C1969" s="2" t="s">
        <v>53</v>
      </c>
      <c r="D1969" s="8">
        <v>-50</v>
      </c>
      <c r="E1969" s="8">
        <f>E1968+(0-50)</f>
        <v>12634669.659999875</v>
      </c>
    </row>
    <row r="1970" spans="1:5" x14ac:dyDescent="0.25">
      <c r="A1970" s="2" t="s">
        <v>38</v>
      </c>
      <c r="B1970" s="6">
        <v>44966</v>
      </c>
      <c r="C1970" s="2" t="s">
        <v>53</v>
      </c>
      <c r="D1970" s="8">
        <v>-26.88</v>
      </c>
      <c r="E1970" s="8">
        <f>E1969+(0-26.88)</f>
        <v>12634642.779999875</v>
      </c>
    </row>
    <row r="1971" spans="1:5" x14ac:dyDescent="0.25">
      <c r="A1971" s="2" t="s">
        <v>38</v>
      </c>
      <c r="B1971" s="6">
        <v>44967</v>
      </c>
      <c r="C1971" s="2" t="s">
        <v>53</v>
      </c>
      <c r="D1971" s="8">
        <v>-26.88</v>
      </c>
      <c r="E1971" s="8">
        <f>E1970+(0-26.88)</f>
        <v>12634615.899999874</v>
      </c>
    </row>
    <row r="1972" spans="1:5" x14ac:dyDescent="0.25">
      <c r="A1972" s="2" t="s">
        <v>38</v>
      </c>
      <c r="B1972" s="6">
        <v>44967</v>
      </c>
      <c r="C1972" s="2" t="s">
        <v>53</v>
      </c>
      <c r="D1972" s="8">
        <v>-50</v>
      </c>
      <c r="E1972" s="8">
        <f>E1971+(0-50)</f>
        <v>12634565.899999874</v>
      </c>
    </row>
    <row r="1973" spans="1:5" x14ac:dyDescent="0.25">
      <c r="A1973" s="2" t="s">
        <v>38</v>
      </c>
      <c r="B1973" s="6">
        <v>44967</v>
      </c>
      <c r="C1973" s="2" t="s">
        <v>53</v>
      </c>
      <c r="D1973" s="8">
        <v>-50</v>
      </c>
      <c r="E1973" s="8">
        <f>E1972+(0-50)</f>
        <v>12634515.899999874</v>
      </c>
    </row>
    <row r="1974" spans="1:5" x14ac:dyDescent="0.25">
      <c r="A1974" s="2" t="s">
        <v>38</v>
      </c>
      <c r="B1974" s="6">
        <v>44967</v>
      </c>
      <c r="C1974" s="2" t="s">
        <v>53</v>
      </c>
      <c r="D1974" s="8">
        <v>-350</v>
      </c>
      <c r="E1974" s="8">
        <f>E1973+(0-350)</f>
        <v>12634165.899999874</v>
      </c>
    </row>
    <row r="1975" spans="1:5" x14ac:dyDescent="0.25">
      <c r="A1975" s="2" t="s">
        <v>38</v>
      </c>
      <c r="B1975" s="6">
        <v>44970</v>
      </c>
      <c r="C1975" s="2" t="s">
        <v>19</v>
      </c>
      <c r="D1975" s="8">
        <v>-20</v>
      </c>
      <c r="E1975" s="8">
        <f>E1974+(0-20)</f>
        <v>12634145.899999874</v>
      </c>
    </row>
    <row r="1976" spans="1:5" x14ac:dyDescent="0.25">
      <c r="A1976" s="2" t="s">
        <v>38</v>
      </c>
      <c r="B1976" s="6">
        <v>44970</v>
      </c>
      <c r="C1976" s="2" t="s">
        <v>19</v>
      </c>
      <c r="D1976" s="8">
        <v>-64</v>
      </c>
      <c r="E1976" s="8">
        <f>E1975+(0-64)</f>
        <v>12634081.899999874</v>
      </c>
    </row>
    <row r="1977" spans="1:5" x14ac:dyDescent="0.25">
      <c r="A1977" s="2" t="s">
        <v>38</v>
      </c>
      <c r="B1977" s="6">
        <v>44970</v>
      </c>
      <c r="C1977" s="2" t="s">
        <v>19</v>
      </c>
      <c r="D1977" s="8">
        <v>-60</v>
      </c>
      <c r="E1977" s="8">
        <f>E1976+(0-60)</f>
        <v>12634021.899999874</v>
      </c>
    </row>
    <row r="1978" spans="1:5" x14ac:dyDescent="0.25">
      <c r="A1978" s="2" t="s">
        <v>38</v>
      </c>
      <c r="B1978" s="6">
        <v>44970</v>
      </c>
      <c r="C1978" s="2" t="s">
        <v>19</v>
      </c>
      <c r="D1978" s="8">
        <v>-68</v>
      </c>
      <c r="E1978" s="8">
        <f>E1977+(0-68)</f>
        <v>12633953.899999874</v>
      </c>
    </row>
    <row r="1979" spans="1:5" x14ac:dyDescent="0.25">
      <c r="A1979" s="2" t="s">
        <v>38</v>
      </c>
      <c r="B1979" s="6">
        <v>44970</v>
      </c>
      <c r="C1979" s="2" t="s">
        <v>53</v>
      </c>
      <c r="D1979" s="8">
        <v>-26.88</v>
      </c>
      <c r="E1979" s="8">
        <f>E1978+(0-26.88)</f>
        <v>12633927.019999873</v>
      </c>
    </row>
    <row r="1980" spans="1:5" x14ac:dyDescent="0.25">
      <c r="A1980" s="2" t="s">
        <v>38</v>
      </c>
      <c r="B1980" s="6">
        <v>44970</v>
      </c>
      <c r="C1980" s="2" t="s">
        <v>53</v>
      </c>
      <c r="D1980" s="8">
        <v>-300</v>
      </c>
      <c r="E1980" s="8">
        <f>E1979+(0-300)</f>
        <v>12633627.019999873</v>
      </c>
    </row>
    <row r="1981" spans="1:5" x14ac:dyDescent="0.25">
      <c r="A1981" s="2" t="s">
        <v>38</v>
      </c>
      <c r="B1981" s="6">
        <v>44970</v>
      </c>
      <c r="C1981" s="2" t="s">
        <v>19</v>
      </c>
      <c r="D1981" s="8">
        <v>-64</v>
      </c>
      <c r="E1981" s="8">
        <f>E1980+(0-64)</f>
        <v>12633563.019999873</v>
      </c>
    </row>
    <row r="1982" spans="1:5" x14ac:dyDescent="0.25">
      <c r="A1982" s="2" t="s">
        <v>38</v>
      </c>
      <c r="B1982" s="6">
        <v>44971</v>
      </c>
      <c r="C1982" s="2" t="s">
        <v>53</v>
      </c>
      <c r="D1982" s="8">
        <v>-750</v>
      </c>
      <c r="E1982" s="8">
        <f>E1981+(0-750)</f>
        <v>12632813.019999873</v>
      </c>
    </row>
    <row r="1983" spans="1:5" x14ac:dyDescent="0.25">
      <c r="A1983" s="2" t="s">
        <v>38</v>
      </c>
      <c r="B1983" s="6">
        <v>44971</v>
      </c>
      <c r="C1983" s="2" t="s">
        <v>53</v>
      </c>
      <c r="D1983" s="8">
        <v>-53.75</v>
      </c>
      <c r="E1983" s="8">
        <f>E1982+(0-53.75)</f>
        <v>12632759.269999873</v>
      </c>
    </row>
    <row r="1984" spans="1:5" x14ac:dyDescent="0.25">
      <c r="A1984" s="2" t="s">
        <v>38</v>
      </c>
      <c r="B1984" s="6">
        <v>44971</v>
      </c>
      <c r="C1984" s="2" t="s">
        <v>53</v>
      </c>
      <c r="D1984" s="8">
        <v>-26.88</v>
      </c>
      <c r="E1984" s="8">
        <f>E1983+(0-26.88)</f>
        <v>12632732.389999872</v>
      </c>
    </row>
    <row r="1985" spans="1:5" x14ac:dyDescent="0.25">
      <c r="A1985" s="2" t="s">
        <v>38</v>
      </c>
      <c r="B1985" s="6">
        <v>44971</v>
      </c>
      <c r="C1985" s="2" t="s">
        <v>53</v>
      </c>
      <c r="D1985" s="8">
        <v>-26.88</v>
      </c>
      <c r="E1985" s="8">
        <f>E1984+(0-26.88)</f>
        <v>12632705.509999871</v>
      </c>
    </row>
    <row r="1986" spans="1:5" x14ac:dyDescent="0.25">
      <c r="A1986" s="2" t="s">
        <v>38</v>
      </c>
      <c r="B1986" s="6">
        <v>44972</v>
      </c>
      <c r="C1986" s="2" t="s">
        <v>53</v>
      </c>
      <c r="D1986" s="8">
        <v>-53.75</v>
      </c>
      <c r="E1986" s="8">
        <f>E1985+(0-53.75)</f>
        <v>12632651.759999871</v>
      </c>
    </row>
    <row r="1987" spans="1:5" x14ac:dyDescent="0.25">
      <c r="A1987" s="2" t="s">
        <v>38</v>
      </c>
      <c r="B1987" s="6">
        <v>44972</v>
      </c>
      <c r="C1987" s="2" t="s">
        <v>53</v>
      </c>
      <c r="D1987" s="8">
        <v>-50</v>
      </c>
      <c r="E1987" s="8">
        <f>E1986+(0-50)</f>
        <v>12632601.759999871</v>
      </c>
    </row>
    <row r="1988" spans="1:5" x14ac:dyDescent="0.25">
      <c r="A1988" s="2" t="s">
        <v>38</v>
      </c>
      <c r="B1988" s="6">
        <v>44972</v>
      </c>
      <c r="C1988" s="2" t="s">
        <v>53</v>
      </c>
      <c r="D1988" s="8">
        <v>-300</v>
      </c>
      <c r="E1988" s="8">
        <f>E1987+(0-300)</f>
        <v>12632301.759999871</v>
      </c>
    </row>
    <row r="1989" spans="1:5" x14ac:dyDescent="0.25">
      <c r="A1989" s="2" t="s">
        <v>38</v>
      </c>
      <c r="B1989" s="6">
        <v>44973</v>
      </c>
      <c r="C1989" s="2" t="s">
        <v>19</v>
      </c>
      <c r="D1989" s="8">
        <v>-8</v>
      </c>
      <c r="E1989" s="8">
        <f>E1988+(0-8)</f>
        <v>12632293.759999871</v>
      </c>
    </row>
    <row r="1990" spans="1:5" x14ac:dyDescent="0.25">
      <c r="A1990" s="2" t="s">
        <v>38</v>
      </c>
      <c r="B1990" s="6">
        <v>44973</v>
      </c>
      <c r="C1990" s="2" t="s">
        <v>53</v>
      </c>
      <c r="D1990" s="8">
        <v>-53.75</v>
      </c>
      <c r="E1990" s="8">
        <f>E1989+(0-53.75)</f>
        <v>12632240.009999871</v>
      </c>
    </row>
    <row r="1991" spans="1:5" x14ac:dyDescent="0.25">
      <c r="A1991" s="2" t="s">
        <v>38</v>
      </c>
      <c r="B1991" s="6">
        <v>44973</v>
      </c>
      <c r="C1991" s="2" t="s">
        <v>53</v>
      </c>
      <c r="D1991" s="8">
        <v>-26.88</v>
      </c>
      <c r="E1991" s="8">
        <f>E1990+(0-26.88)</f>
        <v>12632213.12999987</v>
      </c>
    </row>
    <row r="1992" spans="1:5" x14ac:dyDescent="0.25">
      <c r="A1992" s="2" t="s">
        <v>38</v>
      </c>
      <c r="B1992" s="6">
        <v>44973</v>
      </c>
      <c r="C1992" s="2" t="s">
        <v>53</v>
      </c>
      <c r="D1992" s="8">
        <v>-200</v>
      </c>
      <c r="E1992" s="8">
        <f>E1991+(0-200)</f>
        <v>12632013.12999987</v>
      </c>
    </row>
    <row r="1993" spans="1:5" x14ac:dyDescent="0.25">
      <c r="A1993" s="2" t="s">
        <v>38</v>
      </c>
      <c r="B1993" s="6">
        <v>44974</v>
      </c>
      <c r="C1993" s="2" t="s">
        <v>53</v>
      </c>
      <c r="D1993" s="8">
        <v>-53.75</v>
      </c>
      <c r="E1993" s="8">
        <f>E1992+(0-53.75)</f>
        <v>12631959.37999987</v>
      </c>
    </row>
    <row r="1994" spans="1:5" x14ac:dyDescent="0.25">
      <c r="A1994" s="2" t="s">
        <v>38</v>
      </c>
      <c r="B1994" s="6">
        <v>44974</v>
      </c>
      <c r="C1994" s="2" t="s">
        <v>53</v>
      </c>
      <c r="D1994" s="8">
        <v>-550</v>
      </c>
      <c r="E1994" s="8">
        <f>E1993+(0-550)</f>
        <v>12631409.37999987</v>
      </c>
    </row>
    <row r="1995" spans="1:5" x14ac:dyDescent="0.25">
      <c r="A1995" s="2" t="s">
        <v>38</v>
      </c>
      <c r="B1995" s="6">
        <v>44977</v>
      </c>
      <c r="C1995" s="2" t="s">
        <v>53</v>
      </c>
      <c r="D1995" s="8">
        <v>-53.75</v>
      </c>
      <c r="E1995" s="8">
        <f>E1994+(0-53.75)</f>
        <v>12631355.62999987</v>
      </c>
    </row>
    <row r="1996" spans="1:5" x14ac:dyDescent="0.25">
      <c r="A1996" s="2" t="s">
        <v>38</v>
      </c>
      <c r="B1996" s="6">
        <v>44977</v>
      </c>
      <c r="C1996" s="2" t="s">
        <v>53</v>
      </c>
      <c r="D1996" s="8">
        <v>-26.88</v>
      </c>
      <c r="E1996" s="8">
        <f>E1995+(0-26.88)</f>
        <v>12631328.74999987</v>
      </c>
    </row>
    <row r="1997" spans="1:5" x14ac:dyDescent="0.25">
      <c r="A1997" s="2" t="s">
        <v>38</v>
      </c>
      <c r="B1997" s="6">
        <v>44977</v>
      </c>
      <c r="C1997" s="2" t="s">
        <v>53</v>
      </c>
      <c r="D1997" s="8">
        <v>-26.88</v>
      </c>
      <c r="E1997" s="8">
        <f>E1996+(0-26.88)</f>
        <v>12631301.869999869</v>
      </c>
    </row>
    <row r="1998" spans="1:5" x14ac:dyDescent="0.25">
      <c r="A1998" s="2" t="s">
        <v>38</v>
      </c>
      <c r="B1998" s="6">
        <v>44977</v>
      </c>
      <c r="C1998" s="2" t="s">
        <v>53</v>
      </c>
      <c r="D1998" s="8">
        <v>-26.88</v>
      </c>
      <c r="E1998" s="8">
        <f>E1997+(0-26.88)</f>
        <v>12631274.989999868</v>
      </c>
    </row>
    <row r="1999" spans="1:5" x14ac:dyDescent="0.25">
      <c r="A1999" s="2" t="s">
        <v>38</v>
      </c>
      <c r="B1999" s="6">
        <v>44977</v>
      </c>
      <c r="C1999" s="2" t="s">
        <v>53</v>
      </c>
      <c r="D1999" s="8">
        <v>-26.88</v>
      </c>
      <c r="E1999" s="8">
        <f>E1998+(0-26.88)</f>
        <v>12631248.109999867</v>
      </c>
    </row>
    <row r="2000" spans="1:5" x14ac:dyDescent="0.25">
      <c r="A2000" s="2" t="s">
        <v>38</v>
      </c>
      <c r="B2000" s="6">
        <v>44977</v>
      </c>
      <c r="C2000" s="2" t="s">
        <v>53</v>
      </c>
      <c r="D2000" s="8">
        <v>-10.75</v>
      </c>
      <c r="E2000" s="8">
        <f>E1999+(0-10.75)</f>
        <v>12631237.359999867</v>
      </c>
    </row>
    <row r="2001" spans="1:5" x14ac:dyDescent="0.25">
      <c r="A2001" s="2" t="s">
        <v>38</v>
      </c>
      <c r="B2001" s="6">
        <v>44977</v>
      </c>
      <c r="C2001" s="2" t="s">
        <v>53</v>
      </c>
      <c r="D2001" s="8">
        <v>-10.75</v>
      </c>
      <c r="E2001" s="8">
        <f>E2000+(0-10.75)</f>
        <v>12631226.609999867</v>
      </c>
    </row>
    <row r="2002" spans="1:5" x14ac:dyDescent="0.25">
      <c r="A2002" s="2" t="s">
        <v>38</v>
      </c>
      <c r="B2002" s="6">
        <v>44977</v>
      </c>
      <c r="C2002" s="2" t="s">
        <v>53</v>
      </c>
      <c r="D2002" s="8">
        <v>-53.75</v>
      </c>
      <c r="E2002" s="8">
        <f>E2001+(0-53.75)</f>
        <v>12631172.859999867</v>
      </c>
    </row>
    <row r="2003" spans="1:5" x14ac:dyDescent="0.25">
      <c r="A2003" s="2" t="s">
        <v>38</v>
      </c>
      <c r="B2003" s="6">
        <v>44977</v>
      </c>
      <c r="C2003" s="2" t="s">
        <v>53</v>
      </c>
      <c r="D2003" s="8">
        <v>-50</v>
      </c>
      <c r="E2003" s="8">
        <f>E2002+(0-50)</f>
        <v>12631122.859999867</v>
      </c>
    </row>
    <row r="2004" spans="1:5" x14ac:dyDescent="0.25">
      <c r="A2004" s="2" t="s">
        <v>38</v>
      </c>
      <c r="B2004" s="6">
        <v>44977</v>
      </c>
      <c r="C2004" s="2" t="s">
        <v>53</v>
      </c>
      <c r="D2004" s="8">
        <v>-200</v>
      </c>
      <c r="E2004" s="8">
        <f>E2003+(0-200)</f>
        <v>12630922.859999867</v>
      </c>
    </row>
    <row r="2005" spans="1:5" x14ac:dyDescent="0.25">
      <c r="A2005" s="2" t="s">
        <v>38</v>
      </c>
      <c r="B2005" s="6">
        <v>44978</v>
      </c>
      <c r="C2005" s="2" t="s">
        <v>53</v>
      </c>
      <c r="D2005" s="8">
        <v>-26.88</v>
      </c>
      <c r="E2005" s="8">
        <f>E2004+(0-26.88)</f>
        <v>12630895.979999866</v>
      </c>
    </row>
    <row r="2006" spans="1:5" x14ac:dyDescent="0.25">
      <c r="A2006" s="2" t="s">
        <v>38</v>
      </c>
      <c r="B2006" s="6">
        <v>44978</v>
      </c>
      <c r="C2006" s="2" t="s">
        <v>53</v>
      </c>
      <c r="D2006" s="8">
        <v>-53.75</v>
      </c>
      <c r="E2006" s="8">
        <f>E2005+(0-53.75)</f>
        <v>12630842.229999866</v>
      </c>
    </row>
    <row r="2007" spans="1:5" x14ac:dyDescent="0.25">
      <c r="A2007" s="2" t="s">
        <v>38</v>
      </c>
      <c r="B2007" s="6">
        <v>44978</v>
      </c>
      <c r="C2007" s="2" t="s">
        <v>53</v>
      </c>
      <c r="D2007" s="8">
        <v>-26.88</v>
      </c>
      <c r="E2007" s="8">
        <f>E2006+(0-26.88)</f>
        <v>12630815.349999866</v>
      </c>
    </row>
    <row r="2008" spans="1:5" x14ac:dyDescent="0.25">
      <c r="A2008" s="2" t="s">
        <v>38</v>
      </c>
      <c r="B2008" s="6">
        <v>44978</v>
      </c>
      <c r="C2008" s="2" t="s">
        <v>53</v>
      </c>
      <c r="D2008" s="8">
        <v>-26.88</v>
      </c>
      <c r="E2008" s="8">
        <f>E2007+(0-26.88)</f>
        <v>12630788.469999865</v>
      </c>
    </row>
    <row r="2009" spans="1:5" x14ac:dyDescent="0.25">
      <c r="A2009" s="2" t="s">
        <v>38</v>
      </c>
      <c r="B2009" s="6">
        <v>44978</v>
      </c>
      <c r="C2009" s="2" t="s">
        <v>53</v>
      </c>
      <c r="D2009" s="8">
        <v>-26.88</v>
      </c>
      <c r="E2009" s="8">
        <f>E2008+(0-26.88)</f>
        <v>12630761.589999864</v>
      </c>
    </row>
    <row r="2010" spans="1:5" x14ac:dyDescent="0.25">
      <c r="A2010" s="2" t="s">
        <v>38</v>
      </c>
      <c r="B2010" s="6">
        <v>44978</v>
      </c>
      <c r="C2010" s="2" t="s">
        <v>53</v>
      </c>
      <c r="D2010" s="8">
        <v>-50</v>
      </c>
      <c r="E2010" s="8">
        <f>E2009+(0-50)</f>
        <v>12630711.589999864</v>
      </c>
    </row>
    <row r="2011" spans="1:5" x14ac:dyDescent="0.25">
      <c r="A2011" s="2" t="s">
        <v>38</v>
      </c>
      <c r="B2011" s="6">
        <v>44978</v>
      </c>
      <c r="C2011" s="2" t="s">
        <v>53</v>
      </c>
      <c r="D2011" s="8">
        <v>-50</v>
      </c>
      <c r="E2011" s="8">
        <f>E2010+(0-50)</f>
        <v>12630661.589999864</v>
      </c>
    </row>
    <row r="2012" spans="1:5" x14ac:dyDescent="0.25">
      <c r="A2012" s="2" t="s">
        <v>38</v>
      </c>
      <c r="B2012" s="6">
        <v>44978</v>
      </c>
      <c r="C2012" s="2" t="s">
        <v>53</v>
      </c>
      <c r="D2012" s="8">
        <v>-300</v>
      </c>
      <c r="E2012" s="8">
        <f>E2011+(0-300)</f>
        <v>12630361.589999864</v>
      </c>
    </row>
    <row r="2013" spans="1:5" x14ac:dyDescent="0.25">
      <c r="A2013" s="2" t="s">
        <v>38</v>
      </c>
      <c r="B2013" s="6">
        <v>44979</v>
      </c>
      <c r="C2013" s="2" t="s">
        <v>19</v>
      </c>
      <c r="D2013" s="8">
        <v>-56</v>
      </c>
      <c r="E2013" s="8">
        <f>E2012+(0-56)</f>
        <v>12630305.589999864</v>
      </c>
    </row>
    <row r="2014" spans="1:5" x14ac:dyDescent="0.25">
      <c r="A2014" s="2" t="s">
        <v>38</v>
      </c>
      <c r="B2014" s="6">
        <v>44979</v>
      </c>
      <c r="C2014" s="2" t="s">
        <v>53</v>
      </c>
      <c r="D2014" s="8">
        <v>-50</v>
      </c>
      <c r="E2014" s="8">
        <f>E2013+(0-50)</f>
        <v>12630255.589999864</v>
      </c>
    </row>
    <row r="2015" spans="1:5" x14ac:dyDescent="0.25">
      <c r="A2015" s="2" t="s">
        <v>38</v>
      </c>
      <c r="B2015" s="6">
        <v>44979</v>
      </c>
      <c r="C2015" s="2" t="s">
        <v>53</v>
      </c>
      <c r="D2015" s="8">
        <v>-550</v>
      </c>
      <c r="E2015" s="8">
        <f>E2014+(0-550)</f>
        <v>12629705.589999864</v>
      </c>
    </row>
    <row r="2016" spans="1:5" x14ac:dyDescent="0.25">
      <c r="A2016" s="2" t="s">
        <v>38</v>
      </c>
      <c r="B2016" s="6">
        <v>44979</v>
      </c>
      <c r="C2016" s="2" t="s">
        <v>53</v>
      </c>
      <c r="D2016" s="8">
        <v>-50</v>
      </c>
      <c r="E2016" s="8">
        <f>E2015+(0-50)</f>
        <v>12629655.589999864</v>
      </c>
    </row>
    <row r="2017" spans="1:5" x14ac:dyDescent="0.25">
      <c r="A2017" s="2" t="s">
        <v>38</v>
      </c>
      <c r="B2017" s="6">
        <v>44980</v>
      </c>
      <c r="C2017" s="2" t="s">
        <v>19</v>
      </c>
      <c r="D2017" s="8">
        <v>-104</v>
      </c>
      <c r="E2017" s="8">
        <f>E2016+(0-104)</f>
        <v>12629551.589999864</v>
      </c>
    </row>
    <row r="2018" spans="1:5" x14ac:dyDescent="0.25">
      <c r="A2018" s="2" t="s">
        <v>38</v>
      </c>
      <c r="B2018" s="6">
        <v>44980</v>
      </c>
      <c r="C2018" s="2" t="s">
        <v>19</v>
      </c>
      <c r="D2018" s="8">
        <v>-56</v>
      </c>
      <c r="E2018" s="8">
        <f>E2017+(0-56)</f>
        <v>12629495.589999864</v>
      </c>
    </row>
    <row r="2019" spans="1:5" x14ac:dyDescent="0.25">
      <c r="A2019" s="2" t="s">
        <v>38</v>
      </c>
      <c r="B2019" s="6">
        <v>44980</v>
      </c>
      <c r="C2019" s="2" t="s">
        <v>53</v>
      </c>
      <c r="D2019" s="8">
        <v>-26.88</v>
      </c>
      <c r="E2019" s="8">
        <f>E2018+(0-26.88)</f>
        <v>12629468.709999863</v>
      </c>
    </row>
    <row r="2020" spans="1:5" x14ac:dyDescent="0.25">
      <c r="A2020" s="2" t="s">
        <v>38</v>
      </c>
      <c r="B2020" s="6">
        <v>44980</v>
      </c>
      <c r="C2020" s="2" t="s">
        <v>53</v>
      </c>
      <c r="D2020" s="8">
        <v>-26.88</v>
      </c>
      <c r="E2020" s="8">
        <f>E2019+(0-26.88)</f>
        <v>12629441.829999862</v>
      </c>
    </row>
    <row r="2021" spans="1:5" x14ac:dyDescent="0.25">
      <c r="A2021" s="2" t="s">
        <v>38</v>
      </c>
      <c r="B2021" s="6">
        <v>44980</v>
      </c>
      <c r="C2021" s="2" t="s">
        <v>53</v>
      </c>
      <c r="D2021" s="8">
        <v>-53.75</v>
      </c>
      <c r="E2021" s="8">
        <f>E2020+(0-53.75)</f>
        <v>12629388.079999862</v>
      </c>
    </row>
    <row r="2022" spans="1:5" x14ac:dyDescent="0.25">
      <c r="A2022" s="2" t="s">
        <v>38</v>
      </c>
      <c r="B2022" s="6">
        <v>44980</v>
      </c>
      <c r="C2022" s="2" t="s">
        <v>53</v>
      </c>
      <c r="D2022" s="8">
        <v>-53.75</v>
      </c>
      <c r="E2022" s="8">
        <f>E2021+(0-53.75)</f>
        <v>12629334.329999862</v>
      </c>
    </row>
    <row r="2023" spans="1:5" x14ac:dyDescent="0.25">
      <c r="A2023" s="2" t="s">
        <v>38</v>
      </c>
      <c r="B2023" s="6">
        <v>44980</v>
      </c>
      <c r="C2023" s="2" t="s">
        <v>19</v>
      </c>
      <c r="D2023" s="8">
        <v>-44</v>
      </c>
      <c r="E2023" s="8">
        <f>E2022+(0-44)</f>
        <v>12629290.329999862</v>
      </c>
    </row>
    <row r="2024" spans="1:5" x14ac:dyDescent="0.25">
      <c r="A2024" s="2" t="s">
        <v>38</v>
      </c>
      <c r="B2024" s="6">
        <v>44980</v>
      </c>
      <c r="C2024" s="2" t="s">
        <v>19</v>
      </c>
      <c r="D2024" s="8">
        <v>-64</v>
      </c>
      <c r="E2024" s="8">
        <f>E2023+(0-64)</f>
        <v>12629226.329999862</v>
      </c>
    </row>
    <row r="2025" spans="1:5" x14ac:dyDescent="0.25">
      <c r="A2025" s="2" t="s">
        <v>38</v>
      </c>
      <c r="B2025" s="6">
        <v>44980</v>
      </c>
      <c r="C2025" s="2" t="s">
        <v>53</v>
      </c>
      <c r="D2025" s="8">
        <v>-50</v>
      </c>
      <c r="E2025" s="8">
        <f>E2024+(0-50)</f>
        <v>12629176.329999862</v>
      </c>
    </row>
    <row r="2026" spans="1:5" x14ac:dyDescent="0.25">
      <c r="A2026" s="2" t="s">
        <v>38</v>
      </c>
      <c r="B2026" s="6">
        <v>44980</v>
      </c>
      <c r="C2026" s="2" t="s">
        <v>53</v>
      </c>
      <c r="D2026" s="8">
        <v>-350</v>
      </c>
      <c r="E2026" s="8">
        <f>E2025+(0-350)</f>
        <v>12628826.329999862</v>
      </c>
    </row>
    <row r="2027" spans="1:5" x14ac:dyDescent="0.25">
      <c r="A2027" s="2" t="s">
        <v>38</v>
      </c>
      <c r="B2027" s="6">
        <v>44980</v>
      </c>
      <c r="C2027" s="2" t="s">
        <v>19</v>
      </c>
      <c r="D2027" s="8">
        <v>-12</v>
      </c>
      <c r="E2027" s="8">
        <f>E2026+(0-12)</f>
        <v>12628814.329999862</v>
      </c>
    </row>
    <row r="2028" spans="1:5" x14ac:dyDescent="0.25">
      <c r="A2028" s="2" t="s">
        <v>38</v>
      </c>
      <c r="B2028" s="6">
        <v>44981</v>
      </c>
      <c r="C2028" s="2" t="s">
        <v>19</v>
      </c>
      <c r="D2028" s="8">
        <v>-108</v>
      </c>
      <c r="E2028" s="8">
        <f>E2027+(0-108)</f>
        <v>12628706.329999862</v>
      </c>
    </row>
    <row r="2029" spans="1:5" x14ac:dyDescent="0.25">
      <c r="A2029" s="2" t="s">
        <v>38</v>
      </c>
      <c r="B2029" s="6">
        <v>44981</v>
      </c>
      <c r="C2029" s="2" t="s">
        <v>19</v>
      </c>
      <c r="D2029" s="8">
        <v>-144</v>
      </c>
      <c r="E2029" s="8">
        <f>E2028+(0-144)</f>
        <v>12628562.329999862</v>
      </c>
    </row>
    <row r="2030" spans="1:5" x14ac:dyDescent="0.25">
      <c r="A2030" s="2" t="s">
        <v>38</v>
      </c>
      <c r="B2030" s="6">
        <v>44981</v>
      </c>
      <c r="C2030" s="2" t="s">
        <v>53</v>
      </c>
      <c r="D2030" s="8">
        <v>-53.75</v>
      </c>
      <c r="E2030" s="8">
        <f>E2029+(0-53.75)</f>
        <v>12628508.579999862</v>
      </c>
    </row>
    <row r="2031" spans="1:5" x14ac:dyDescent="0.25">
      <c r="A2031" s="2" t="s">
        <v>38</v>
      </c>
      <c r="B2031" s="6">
        <v>44981</v>
      </c>
      <c r="C2031" s="2" t="s">
        <v>53</v>
      </c>
      <c r="D2031" s="8">
        <v>-53.75</v>
      </c>
      <c r="E2031" s="8">
        <f>E2030+(0-53.75)</f>
        <v>12628454.829999862</v>
      </c>
    </row>
    <row r="2032" spans="1:5" x14ac:dyDescent="0.25">
      <c r="A2032" s="2" t="s">
        <v>38</v>
      </c>
      <c r="B2032" s="6">
        <v>44981</v>
      </c>
      <c r="C2032" s="2" t="s">
        <v>19</v>
      </c>
      <c r="D2032" s="8">
        <v>-72</v>
      </c>
      <c r="E2032" s="8">
        <f>E2031+(0-72)</f>
        <v>12628382.829999862</v>
      </c>
    </row>
    <row r="2033" spans="1:5" x14ac:dyDescent="0.25">
      <c r="A2033" s="2" t="s">
        <v>38</v>
      </c>
      <c r="B2033" s="6">
        <v>44981</v>
      </c>
      <c r="C2033" s="2" t="s">
        <v>19</v>
      </c>
      <c r="D2033" s="8">
        <v>-88</v>
      </c>
      <c r="E2033" s="8">
        <f>E2032+(0-88)</f>
        <v>12628294.829999862</v>
      </c>
    </row>
    <row r="2034" spans="1:5" x14ac:dyDescent="0.25">
      <c r="A2034" s="2" t="s">
        <v>38</v>
      </c>
      <c r="B2034" s="6">
        <v>44981</v>
      </c>
      <c r="C2034" s="2" t="s">
        <v>53</v>
      </c>
      <c r="D2034" s="8">
        <v>-400</v>
      </c>
      <c r="E2034" s="8">
        <f>E2033+(0-400)</f>
        <v>12627894.829999862</v>
      </c>
    </row>
    <row r="2035" spans="1:5" x14ac:dyDescent="0.25">
      <c r="A2035" s="2" t="s">
        <v>38</v>
      </c>
      <c r="B2035" s="6">
        <v>44984</v>
      </c>
      <c r="C2035" s="2" t="s">
        <v>53</v>
      </c>
      <c r="D2035" s="8">
        <v>-26.88</v>
      </c>
      <c r="E2035" s="8">
        <f>E2034+(0-26.88)</f>
        <v>12627867.949999861</v>
      </c>
    </row>
    <row r="2036" spans="1:5" x14ac:dyDescent="0.25">
      <c r="A2036" s="2" t="s">
        <v>38</v>
      </c>
      <c r="B2036" s="6">
        <v>44984</v>
      </c>
      <c r="C2036" s="2" t="s">
        <v>19</v>
      </c>
      <c r="D2036" s="8">
        <v>-72</v>
      </c>
      <c r="E2036" s="8">
        <f>E2035+(0-72)</f>
        <v>12627795.949999861</v>
      </c>
    </row>
    <row r="2037" spans="1:5" x14ac:dyDescent="0.25">
      <c r="A2037" s="2" t="s">
        <v>38</v>
      </c>
      <c r="B2037" s="6">
        <v>44984</v>
      </c>
      <c r="C2037" s="2" t="s">
        <v>53</v>
      </c>
      <c r="D2037" s="8">
        <v>-16</v>
      </c>
      <c r="E2037" s="8">
        <f>E2036+(0-16)</f>
        <v>12627779.949999861</v>
      </c>
    </row>
    <row r="2038" spans="1:5" x14ac:dyDescent="0.25">
      <c r="A2038" s="2" t="s">
        <v>38</v>
      </c>
      <c r="B2038" s="6">
        <v>44984</v>
      </c>
      <c r="C2038" s="2" t="s">
        <v>53</v>
      </c>
      <c r="D2038" s="8">
        <v>-53.75</v>
      </c>
      <c r="E2038" s="8">
        <f>E2037+(0-53.75)</f>
        <v>12627726.199999861</v>
      </c>
    </row>
    <row r="2039" spans="1:5" x14ac:dyDescent="0.25">
      <c r="A2039" s="2" t="s">
        <v>38</v>
      </c>
      <c r="B2039" s="6">
        <v>44984</v>
      </c>
      <c r="C2039" s="2" t="s">
        <v>53</v>
      </c>
      <c r="D2039" s="8">
        <v>-26.88</v>
      </c>
      <c r="E2039" s="8">
        <f>E2038+(0-26.88)</f>
        <v>12627699.319999861</v>
      </c>
    </row>
    <row r="2040" spans="1:5" x14ac:dyDescent="0.25">
      <c r="A2040" s="2" t="s">
        <v>38</v>
      </c>
      <c r="B2040" s="6">
        <v>44984</v>
      </c>
      <c r="C2040" s="2" t="s">
        <v>53</v>
      </c>
      <c r="D2040" s="8">
        <v>-650</v>
      </c>
      <c r="E2040" s="8">
        <f>E2039+(0-650)</f>
        <v>12627049.319999861</v>
      </c>
    </row>
    <row r="2041" spans="1:5" x14ac:dyDescent="0.25">
      <c r="A2041" s="2" t="s">
        <v>38</v>
      </c>
      <c r="B2041" s="6">
        <v>44985</v>
      </c>
      <c r="C2041" s="2" t="s">
        <v>53</v>
      </c>
      <c r="D2041" s="8">
        <v>-53.75</v>
      </c>
      <c r="E2041" s="8">
        <f>E2040+(0-53.75)</f>
        <v>12626995.569999861</v>
      </c>
    </row>
    <row r="2042" spans="1:5" x14ac:dyDescent="0.25">
      <c r="A2042" s="2" t="s">
        <v>38</v>
      </c>
      <c r="B2042" s="6">
        <v>44985</v>
      </c>
      <c r="C2042" s="2" t="s">
        <v>53</v>
      </c>
      <c r="D2042" s="8">
        <v>-53.75</v>
      </c>
      <c r="E2042" s="8">
        <f>E2041+(0-53.75)</f>
        <v>12626941.819999861</v>
      </c>
    </row>
    <row r="2043" spans="1:5" x14ac:dyDescent="0.25">
      <c r="A2043" s="2" t="s">
        <v>38</v>
      </c>
      <c r="B2043" s="6">
        <v>44985</v>
      </c>
      <c r="C2043" s="2" t="s">
        <v>53</v>
      </c>
      <c r="D2043" s="8">
        <v>-200</v>
      </c>
      <c r="E2043" s="8">
        <f>E2042+(0-200)</f>
        <v>12626741.819999861</v>
      </c>
    </row>
    <row r="2044" spans="1:5" x14ac:dyDescent="0.25">
      <c r="A2044" s="2" t="s">
        <v>38</v>
      </c>
      <c r="B2044" s="6">
        <v>44985</v>
      </c>
      <c r="C2044" s="2" t="s">
        <v>19</v>
      </c>
      <c r="D2044" s="8">
        <v>-64</v>
      </c>
      <c r="E2044" s="8">
        <f>E2043+(0-64)</f>
        <v>12626677.819999861</v>
      </c>
    </row>
    <row r="2045" spans="1:5" x14ac:dyDescent="0.25">
      <c r="A2045" s="2" t="s">
        <v>38</v>
      </c>
      <c r="B2045" s="6">
        <v>44986</v>
      </c>
      <c r="C2045" s="2" t="s">
        <v>53</v>
      </c>
      <c r="D2045" s="8">
        <v>-26.88</v>
      </c>
      <c r="E2045" s="8">
        <f>E2044+(0-26.88)</f>
        <v>12626650.93999986</v>
      </c>
    </row>
    <row r="2046" spans="1:5" x14ac:dyDescent="0.25">
      <c r="A2046" s="2" t="s">
        <v>38</v>
      </c>
      <c r="B2046" s="6">
        <v>44986</v>
      </c>
      <c r="C2046" s="2" t="s">
        <v>53</v>
      </c>
      <c r="D2046" s="8">
        <v>-400</v>
      </c>
      <c r="E2046" s="8">
        <f>E2045+(0-400)</f>
        <v>12626250.93999986</v>
      </c>
    </row>
    <row r="2047" spans="1:5" x14ac:dyDescent="0.25">
      <c r="A2047" s="2" t="s">
        <v>38</v>
      </c>
      <c r="B2047" s="6">
        <v>44986</v>
      </c>
      <c r="C2047" s="2" t="s">
        <v>53</v>
      </c>
      <c r="D2047" s="8">
        <v>-26.88</v>
      </c>
      <c r="E2047" s="8">
        <f>E2046+(0-26.88)</f>
        <v>12626224.059999859</v>
      </c>
    </row>
    <row r="2048" spans="1:5" x14ac:dyDescent="0.25">
      <c r="A2048" s="2" t="s">
        <v>38</v>
      </c>
      <c r="B2048" s="6">
        <v>44987</v>
      </c>
      <c r="C2048" s="2" t="s">
        <v>19</v>
      </c>
      <c r="D2048" s="8">
        <v>-44</v>
      </c>
      <c r="E2048" s="8">
        <f>E2047+(0-44)</f>
        <v>12626180.059999859</v>
      </c>
    </row>
    <row r="2049" spans="1:5" x14ac:dyDescent="0.25">
      <c r="A2049" s="2" t="s">
        <v>38</v>
      </c>
      <c r="B2049" s="6">
        <v>44987</v>
      </c>
      <c r="C2049" s="2" t="s">
        <v>19</v>
      </c>
      <c r="D2049" s="8">
        <v>-52</v>
      </c>
      <c r="E2049" s="8">
        <f>E2048+(0-52)</f>
        <v>12626128.059999859</v>
      </c>
    </row>
    <row r="2050" spans="1:5" x14ac:dyDescent="0.25">
      <c r="A2050" s="2" t="s">
        <v>38</v>
      </c>
      <c r="B2050" s="6">
        <v>44987</v>
      </c>
      <c r="C2050" s="2" t="s">
        <v>53</v>
      </c>
      <c r="D2050" s="8">
        <v>-26.88</v>
      </c>
      <c r="E2050" s="8">
        <f>E2049+(0-26.88)</f>
        <v>12626101.179999858</v>
      </c>
    </row>
    <row r="2051" spans="1:5" x14ac:dyDescent="0.25">
      <c r="A2051" s="2" t="s">
        <v>38</v>
      </c>
      <c r="B2051" s="6">
        <v>44987</v>
      </c>
      <c r="C2051" s="2" t="s">
        <v>53</v>
      </c>
      <c r="D2051" s="8">
        <v>-50</v>
      </c>
      <c r="E2051" s="8">
        <f>E2050+(0-50)</f>
        <v>12626051.179999858</v>
      </c>
    </row>
    <row r="2052" spans="1:5" x14ac:dyDescent="0.25">
      <c r="A2052" s="2" t="s">
        <v>38</v>
      </c>
      <c r="B2052" s="6">
        <v>44987</v>
      </c>
      <c r="C2052" s="2" t="s">
        <v>53</v>
      </c>
      <c r="D2052" s="8">
        <v>-50</v>
      </c>
      <c r="E2052" s="8">
        <f>E2051+(0-50)</f>
        <v>12626001.179999858</v>
      </c>
    </row>
    <row r="2053" spans="1:5" x14ac:dyDescent="0.25">
      <c r="A2053" s="2" t="s">
        <v>38</v>
      </c>
      <c r="B2053" s="6">
        <v>44987</v>
      </c>
      <c r="C2053" s="2" t="s">
        <v>53</v>
      </c>
      <c r="D2053" s="8">
        <v>-50</v>
      </c>
      <c r="E2053" s="8">
        <f>E2052+(0-50)</f>
        <v>12625951.179999858</v>
      </c>
    </row>
    <row r="2054" spans="1:5" x14ac:dyDescent="0.25">
      <c r="A2054" s="2" t="s">
        <v>38</v>
      </c>
      <c r="B2054" s="6">
        <v>44987</v>
      </c>
      <c r="C2054" s="2" t="s">
        <v>53</v>
      </c>
      <c r="D2054" s="8">
        <v>-50</v>
      </c>
      <c r="E2054" s="8">
        <f>E2053+(0-50)</f>
        <v>12625901.179999858</v>
      </c>
    </row>
    <row r="2055" spans="1:5" x14ac:dyDescent="0.25">
      <c r="A2055" s="2" t="s">
        <v>38</v>
      </c>
      <c r="B2055" s="6">
        <v>44987</v>
      </c>
      <c r="C2055" s="2" t="s">
        <v>53</v>
      </c>
      <c r="D2055" s="8">
        <v>-53.75</v>
      </c>
      <c r="E2055" s="8">
        <f>E2054+(0-53.75)</f>
        <v>12625847.429999858</v>
      </c>
    </row>
    <row r="2056" spans="1:5" x14ac:dyDescent="0.25">
      <c r="A2056" s="2" t="s">
        <v>38</v>
      </c>
      <c r="B2056" s="6">
        <v>44987</v>
      </c>
      <c r="C2056" s="2" t="s">
        <v>53</v>
      </c>
      <c r="D2056" s="8">
        <v>-50</v>
      </c>
      <c r="E2056" s="8">
        <f>E2055+(0-50)</f>
        <v>12625797.429999858</v>
      </c>
    </row>
    <row r="2057" spans="1:5" x14ac:dyDescent="0.25">
      <c r="A2057" s="2" t="s">
        <v>38</v>
      </c>
      <c r="B2057" s="6">
        <v>44987</v>
      </c>
      <c r="C2057" s="2" t="s">
        <v>53</v>
      </c>
      <c r="D2057" s="8">
        <v>-350</v>
      </c>
      <c r="E2057" s="8">
        <f>E2056+(0-350)</f>
        <v>12625447.429999858</v>
      </c>
    </row>
    <row r="2058" spans="1:5" x14ac:dyDescent="0.25">
      <c r="A2058" s="2" t="s">
        <v>38</v>
      </c>
      <c r="B2058" s="6">
        <v>44988</v>
      </c>
      <c r="C2058" s="2" t="s">
        <v>53</v>
      </c>
      <c r="D2058" s="8">
        <v>-53.75</v>
      </c>
      <c r="E2058" s="8">
        <f>E2057+(0-53.75)</f>
        <v>12625393.679999858</v>
      </c>
    </row>
    <row r="2059" spans="1:5" x14ac:dyDescent="0.25">
      <c r="A2059" s="2" t="s">
        <v>38</v>
      </c>
      <c r="B2059" s="6">
        <v>44988</v>
      </c>
      <c r="C2059" s="2" t="s">
        <v>53</v>
      </c>
      <c r="D2059" s="8">
        <v>-53.75</v>
      </c>
      <c r="E2059" s="8">
        <f>E2058+(0-53.75)</f>
        <v>12625339.929999858</v>
      </c>
    </row>
    <row r="2060" spans="1:5" x14ac:dyDescent="0.25">
      <c r="A2060" s="2" t="s">
        <v>38</v>
      </c>
      <c r="B2060" s="6">
        <v>44988</v>
      </c>
      <c r="C2060" s="2" t="s">
        <v>53</v>
      </c>
      <c r="D2060" s="8">
        <v>-850</v>
      </c>
      <c r="E2060" s="8">
        <f>E2059+(0-850)</f>
        <v>12624489.929999858</v>
      </c>
    </row>
    <row r="2061" spans="1:5" x14ac:dyDescent="0.25">
      <c r="A2061" s="2" t="s">
        <v>38</v>
      </c>
      <c r="B2061" s="6">
        <v>44991</v>
      </c>
      <c r="C2061" s="2" t="s">
        <v>53</v>
      </c>
      <c r="D2061" s="8">
        <v>-53.75</v>
      </c>
      <c r="E2061" s="8">
        <f>E2060+(0-53.75)</f>
        <v>12624436.179999858</v>
      </c>
    </row>
    <row r="2062" spans="1:5" x14ac:dyDescent="0.25">
      <c r="A2062" s="2" t="s">
        <v>38</v>
      </c>
      <c r="B2062" s="6">
        <v>44991</v>
      </c>
      <c r="C2062" s="2" t="s">
        <v>19</v>
      </c>
      <c r="D2062" s="8">
        <v>-104</v>
      </c>
      <c r="E2062" s="8">
        <f>E2061+(0-104)</f>
        <v>12624332.179999858</v>
      </c>
    </row>
    <row r="2063" spans="1:5" x14ac:dyDescent="0.25">
      <c r="A2063" s="2" t="s">
        <v>38</v>
      </c>
      <c r="B2063" s="6">
        <v>44991</v>
      </c>
      <c r="C2063" s="2" t="s">
        <v>19</v>
      </c>
      <c r="D2063" s="8">
        <v>-112</v>
      </c>
      <c r="E2063" s="8">
        <f>E2062+(0-112)</f>
        <v>12624220.179999858</v>
      </c>
    </row>
    <row r="2064" spans="1:5" x14ac:dyDescent="0.25">
      <c r="A2064" s="2" t="s">
        <v>38</v>
      </c>
      <c r="B2064" s="6">
        <v>44991</v>
      </c>
      <c r="C2064" s="2" t="s">
        <v>19</v>
      </c>
      <c r="D2064" s="8">
        <v>-16</v>
      </c>
      <c r="E2064" s="8">
        <f>E2063+(0-16)</f>
        <v>12624204.179999858</v>
      </c>
    </row>
    <row r="2065" spans="1:5" x14ac:dyDescent="0.25">
      <c r="A2065" s="2" t="s">
        <v>38</v>
      </c>
      <c r="B2065" s="6">
        <v>44991</v>
      </c>
      <c r="C2065" s="2" t="s">
        <v>53</v>
      </c>
      <c r="D2065" s="8">
        <v>-26.88</v>
      </c>
      <c r="E2065" s="8">
        <f>E2064+(0-26.88)</f>
        <v>12624177.299999857</v>
      </c>
    </row>
    <row r="2066" spans="1:5" x14ac:dyDescent="0.25">
      <c r="A2066" s="2" t="s">
        <v>38</v>
      </c>
      <c r="B2066" s="6">
        <v>44991</v>
      </c>
      <c r="C2066" s="2" t="s">
        <v>53</v>
      </c>
      <c r="D2066" s="8">
        <v>-400</v>
      </c>
      <c r="E2066" s="8">
        <f>E2065+(0-400)</f>
        <v>12623777.299999857</v>
      </c>
    </row>
    <row r="2067" spans="1:5" x14ac:dyDescent="0.25">
      <c r="A2067" s="2" t="s">
        <v>38</v>
      </c>
      <c r="B2067" s="6">
        <v>44991</v>
      </c>
      <c r="C2067" s="2" t="s">
        <v>53</v>
      </c>
      <c r="D2067" s="8">
        <v>-50</v>
      </c>
      <c r="E2067" s="8">
        <f>E2066+(0-50)</f>
        <v>12623727.299999857</v>
      </c>
    </row>
    <row r="2068" spans="1:5" x14ac:dyDescent="0.25">
      <c r="A2068" s="2" t="s">
        <v>38</v>
      </c>
      <c r="B2068" s="6">
        <v>44992</v>
      </c>
      <c r="C2068" s="2" t="s">
        <v>53</v>
      </c>
      <c r="D2068" s="8">
        <v>-26.88</v>
      </c>
      <c r="E2068" s="8">
        <f>E2067+(0-26.88)</f>
        <v>12623700.419999857</v>
      </c>
    </row>
    <row r="2069" spans="1:5" x14ac:dyDescent="0.25">
      <c r="A2069" s="2" t="s">
        <v>38</v>
      </c>
      <c r="B2069" s="6">
        <v>44992</v>
      </c>
      <c r="C2069" s="2" t="s">
        <v>53</v>
      </c>
      <c r="D2069" s="8">
        <v>-26.88</v>
      </c>
      <c r="E2069" s="8">
        <f>E2068+(0-26.88)</f>
        <v>12623673.539999856</v>
      </c>
    </row>
    <row r="2070" spans="1:5" x14ac:dyDescent="0.25">
      <c r="A2070" s="2" t="s">
        <v>38</v>
      </c>
      <c r="B2070" s="6">
        <v>44992</v>
      </c>
      <c r="C2070" s="2" t="s">
        <v>53</v>
      </c>
      <c r="D2070" s="8">
        <v>-53.75</v>
      </c>
      <c r="E2070" s="8">
        <f>E2069+(0-53.75)</f>
        <v>12623619.789999856</v>
      </c>
    </row>
    <row r="2071" spans="1:5" x14ac:dyDescent="0.25">
      <c r="A2071" s="2" t="s">
        <v>38</v>
      </c>
      <c r="B2071" s="6">
        <v>44992</v>
      </c>
      <c r="C2071" s="2" t="s">
        <v>19</v>
      </c>
      <c r="D2071" s="8">
        <v>-56</v>
      </c>
      <c r="E2071" s="8">
        <f>E2070+(0-56)</f>
        <v>12623563.789999856</v>
      </c>
    </row>
    <row r="2072" spans="1:5" x14ac:dyDescent="0.25">
      <c r="A2072" s="2" t="s">
        <v>38</v>
      </c>
      <c r="B2072" s="6">
        <v>44992</v>
      </c>
      <c r="C2072" s="2" t="s">
        <v>53</v>
      </c>
      <c r="D2072" s="8">
        <v>-26.88</v>
      </c>
      <c r="E2072" s="8">
        <f>E2071+(0-26.88)</f>
        <v>12623536.909999855</v>
      </c>
    </row>
    <row r="2073" spans="1:5" x14ac:dyDescent="0.25">
      <c r="A2073" s="2" t="s">
        <v>38</v>
      </c>
      <c r="B2073" s="6">
        <v>44992</v>
      </c>
      <c r="C2073" s="2" t="s">
        <v>53</v>
      </c>
      <c r="D2073" s="8">
        <v>-600</v>
      </c>
      <c r="E2073" s="8">
        <f>E2072+(0-600)</f>
        <v>12622936.909999855</v>
      </c>
    </row>
    <row r="2074" spans="1:5" x14ac:dyDescent="0.25">
      <c r="A2074" s="2" t="s">
        <v>38</v>
      </c>
      <c r="B2074" s="6">
        <v>44993</v>
      </c>
      <c r="C2074" s="2" t="s">
        <v>53</v>
      </c>
      <c r="D2074" s="8">
        <v>-26.88</v>
      </c>
      <c r="E2074" s="8">
        <f>E2073+(0-26.88)</f>
        <v>12622910.029999854</v>
      </c>
    </row>
    <row r="2075" spans="1:5" x14ac:dyDescent="0.25">
      <c r="A2075" s="2" t="s">
        <v>38</v>
      </c>
      <c r="B2075" s="6">
        <v>44993</v>
      </c>
      <c r="C2075" s="2" t="s">
        <v>53</v>
      </c>
      <c r="D2075" s="8">
        <v>-26.88</v>
      </c>
      <c r="E2075" s="8">
        <f>E2074+(0-26.88)</f>
        <v>12622883.149999853</v>
      </c>
    </row>
    <row r="2076" spans="1:5" x14ac:dyDescent="0.25">
      <c r="A2076" s="2" t="s">
        <v>38</v>
      </c>
      <c r="B2076" s="6">
        <v>44993</v>
      </c>
      <c r="C2076" s="2" t="s">
        <v>53</v>
      </c>
      <c r="D2076" s="8">
        <v>-50</v>
      </c>
      <c r="E2076" s="8">
        <f>E2075+(0-50)</f>
        <v>12622833.149999853</v>
      </c>
    </row>
    <row r="2077" spans="1:5" x14ac:dyDescent="0.25">
      <c r="A2077" s="2" t="s">
        <v>38</v>
      </c>
      <c r="B2077" s="6">
        <v>44993</v>
      </c>
      <c r="C2077" s="2" t="s">
        <v>53</v>
      </c>
      <c r="D2077" s="8">
        <v>-50</v>
      </c>
      <c r="E2077" s="8">
        <f>E2076+(0-50)</f>
        <v>12622783.149999853</v>
      </c>
    </row>
    <row r="2078" spans="1:5" x14ac:dyDescent="0.25">
      <c r="A2078" s="2" t="s">
        <v>38</v>
      </c>
      <c r="B2078" s="6">
        <v>44993</v>
      </c>
      <c r="C2078" s="2" t="s">
        <v>53</v>
      </c>
      <c r="D2078" s="8">
        <v>-50</v>
      </c>
      <c r="E2078" s="8">
        <f>E2077+(0-50)</f>
        <v>12622733.149999853</v>
      </c>
    </row>
    <row r="2079" spans="1:5" x14ac:dyDescent="0.25">
      <c r="A2079" s="2" t="s">
        <v>38</v>
      </c>
      <c r="B2079" s="6">
        <v>44993</v>
      </c>
      <c r="C2079" s="2" t="s">
        <v>53</v>
      </c>
      <c r="D2079" s="8">
        <v>-400</v>
      </c>
      <c r="E2079" s="8">
        <f>E2078+(0-400)</f>
        <v>12622333.149999853</v>
      </c>
    </row>
    <row r="2080" spans="1:5" x14ac:dyDescent="0.25">
      <c r="A2080" s="2" t="s">
        <v>38</v>
      </c>
      <c r="B2080" s="6">
        <v>44994</v>
      </c>
      <c r="C2080" s="2" t="s">
        <v>19</v>
      </c>
      <c r="D2080" s="8">
        <v>-104</v>
      </c>
      <c r="E2080" s="8">
        <f>E2079+(0-104)</f>
        <v>12622229.149999853</v>
      </c>
    </row>
    <row r="2081" spans="1:5" x14ac:dyDescent="0.25">
      <c r="A2081" s="2" t="s">
        <v>38</v>
      </c>
      <c r="B2081" s="6">
        <v>44994</v>
      </c>
      <c r="C2081" s="2" t="s">
        <v>19</v>
      </c>
      <c r="D2081" s="8">
        <v>-84</v>
      </c>
      <c r="E2081" s="8">
        <f>E2080+(0-84)</f>
        <v>12622145.149999853</v>
      </c>
    </row>
    <row r="2082" spans="1:5" x14ac:dyDescent="0.25">
      <c r="A2082" s="2" t="s">
        <v>38</v>
      </c>
      <c r="B2082" s="6">
        <v>44995</v>
      </c>
      <c r="C2082" s="2" t="s">
        <v>53</v>
      </c>
      <c r="D2082" s="8">
        <v>-350</v>
      </c>
      <c r="E2082" s="8">
        <f>E2081+(0-350)</f>
        <v>12621795.149999853</v>
      </c>
    </row>
    <row r="2083" spans="1:5" x14ac:dyDescent="0.25">
      <c r="A2083" s="2" t="s">
        <v>38</v>
      </c>
      <c r="B2083" s="6">
        <v>44995</v>
      </c>
      <c r="C2083" s="2" t="s">
        <v>53</v>
      </c>
      <c r="D2083" s="8">
        <v>-50</v>
      </c>
      <c r="E2083" s="8">
        <f>E2082+(0-50)</f>
        <v>12621745.149999853</v>
      </c>
    </row>
    <row r="2084" spans="1:5" x14ac:dyDescent="0.25">
      <c r="A2084" s="2" t="s">
        <v>38</v>
      </c>
      <c r="B2084" s="6">
        <v>44995</v>
      </c>
      <c r="C2084" s="2" t="s">
        <v>53</v>
      </c>
      <c r="D2084" s="8">
        <v>-53.75</v>
      </c>
      <c r="E2084" s="8">
        <f>E2083+(0-53.75)</f>
        <v>12621691.399999853</v>
      </c>
    </row>
    <row r="2085" spans="1:5" x14ac:dyDescent="0.25">
      <c r="A2085" s="2" t="s">
        <v>38</v>
      </c>
      <c r="B2085" s="6">
        <v>44995</v>
      </c>
      <c r="C2085" s="2" t="s">
        <v>53</v>
      </c>
      <c r="D2085" s="8">
        <v>-26.88</v>
      </c>
      <c r="E2085" s="8">
        <f>E2084+(0-26.88)</f>
        <v>12621664.519999852</v>
      </c>
    </row>
    <row r="2086" spans="1:5" x14ac:dyDescent="0.25">
      <c r="A2086" s="2" t="s">
        <v>38</v>
      </c>
      <c r="B2086" s="6">
        <v>44995</v>
      </c>
      <c r="C2086" s="2" t="s">
        <v>53</v>
      </c>
      <c r="D2086" s="8">
        <v>-26.88</v>
      </c>
      <c r="E2086" s="8">
        <f>E2085+(0-26.88)</f>
        <v>12621637.639999852</v>
      </c>
    </row>
    <row r="2087" spans="1:5" x14ac:dyDescent="0.25">
      <c r="A2087" s="2" t="s">
        <v>38</v>
      </c>
      <c r="B2087" s="6">
        <v>44995</v>
      </c>
      <c r="C2087" s="2" t="s">
        <v>53</v>
      </c>
      <c r="D2087" s="8">
        <v>-50</v>
      </c>
      <c r="E2087" s="8">
        <f>E2086+(0-50)</f>
        <v>12621587.639999852</v>
      </c>
    </row>
    <row r="2088" spans="1:5" x14ac:dyDescent="0.25">
      <c r="A2088" s="2" t="s">
        <v>38</v>
      </c>
      <c r="B2088" s="6">
        <v>44995</v>
      </c>
      <c r="C2088" s="2" t="s">
        <v>53</v>
      </c>
      <c r="D2088" s="8">
        <v>-950</v>
      </c>
      <c r="E2088" s="8">
        <f>E2087+(0-950)</f>
        <v>12620637.639999852</v>
      </c>
    </row>
    <row r="2089" spans="1:5" x14ac:dyDescent="0.25">
      <c r="A2089" s="2" t="s">
        <v>38</v>
      </c>
      <c r="B2089" s="6">
        <v>44995</v>
      </c>
      <c r="C2089" s="2" t="s">
        <v>53</v>
      </c>
      <c r="D2089" s="8">
        <v>-50</v>
      </c>
      <c r="E2089" s="8">
        <f>E2088+(0-50)</f>
        <v>12620587.639999852</v>
      </c>
    </row>
    <row r="2090" spans="1:5" x14ac:dyDescent="0.25">
      <c r="A2090" s="2" t="s">
        <v>38</v>
      </c>
      <c r="B2090" s="6">
        <v>44998</v>
      </c>
      <c r="C2090" s="2" t="s">
        <v>19</v>
      </c>
      <c r="D2090" s="8">
        <v>-44</v>
      </c>
      <c r="E2090" s="8">
        <f>E2089+(0-44)</f>
        <v>12620543.639999852</v>
      </c>
    </row>
    <row r="2091" spans="1:5" x14ac:dyDescent="0.25">
      <c r="A2091" s="2" t="s">
        <v>38</v>
      </c>
      <c r="B2091" s="6">
        <v>44998</v>
      </c>
      <c r="C2091" s="2" t="s">
        <v>19</v>
      </c>
      <c r="D2091" s="8">
        <v>-168</v>
      </c>
      <c r="E2091" s="8">
        <f>E2090+(0-168)</f>
        <v>12620375.639999852</v>
      </c>
    </row>
    <row r="2092" spans="1:5" x14ac:dyDescent="0.25">
      <c r="A2092" s="2" t="s">
        <v>38</v>
      </c>
      <c r="B2092" s="6">
        <v>44998</v>
      </c>
      <c r="C2092" s="2" t="s">
        <v>53</v>
      </c>
      <c r="D2092" s="8">
        <v>-26.88</v>
      </c>
      <c r="E2092" s="8">
        <f>E2091+(0-26.88)</f>
        <v>12620348.759999851</v>
      </c>
    </row>
    <row r="2093" spans="1:5" x14ac:dyDescent="0.25">
      <c r="A2093" s="2" t="s">
        <v>38</v>
      </c>
      <c r="B2093" s="6">
        <v>44998</v>
      </c>
      <c r="C2093" s="2" t="s">
        <v>53</v>
      </c>
      <c r="D2093" s="8">
        <v>-26.88</v>
      </c>
      <c r="E2093" s="8">
        <f>E2092+(0-26.88)</f>
        <v>12620321.87999985</v>
      </c>
    </row>
    <row r="2094" spans="1:5" x14ac:dyDescent="0.25">
      <c r="A2094" s="2" t="s">
        <v>38</v>
      </c>
      <c r="B2094" s="6">
        <v>44998</v>
      </c>
      <c r="C2094" s="2" t="s">
        <v>19</v>
      </c>
      <c r="D2094" s="8">
        <v>-32</v>
      </c>
      <c r="E2094" s="8">
        <f>E2093+(0-32)</f>
        <v>12620289.87999985</v>
      </c>
    </row>
    <row r="2095" spans="1:5" x14ac:dyDescent="0.25">
      <c r="A2095" s="2" t="s">
        <v>38</v>
      </c>
      <c r="B2095" s="6">
        <v>44998</v>
      </c>
      <c r="C2095" s="2" t="s">
        <v>19</v>
      </c>
      <c r="D2095" s="8">
        <v>-4</v>
      </c>
      <c r="E2095" s="8">
        <f>E2094+(0-4)</f>
        <v>12620285.87999985</v>
      </c>
    </row>
    <row r="2096" spans="1:5" x14ac:dyDescent="0.25">
      <c r="A2096" s="2" t="s">
        <v>38</v>
      </c>
      <c r="B2096" s="6">
        <v>44998</v>
      </c>
      <c r="C2096" s="2" t="s">
        <v>53</v>
      </c>
      <c r="D2096" s="8">
        <v>-53.75</v>
      </c>
      <c r="E2096" s="8">
        <f>E2095+(0-53.75)</f>
        <v>12620232.12999985</v>
      </c>
    </row>
    <row r="2097" spans="1:5" x14ac:dyDescent="0.25">
      <c r="A2097" s="2" t="s">
        <v>38</v>
      </c>
      <c r="B2097" s="6">
        <v>44998</v>
      </c>
      <c r="C2097" s="2" t="s">
        <v>53</v>
      </c>
      <c r="D2097" s="8">
        <v>-26.88</v>
      </c>
      <c r="E2097" s="8">
        <f>E2096+(0-26.88)</f>
        <v>12620205.249999849</v>
      </c>
    </row>
    <row r="2098" spans="1:5" x14ac:dyDescent="0.25">
      <c r="A2098" s="2" t="s">
        <v>38</v>
      </c>
      <c r="B2098" s="6">
        <v>44998</v>
      </c>
      <c r="C2098" s="2" t="s">
        <v>53</v>
      </c>
      <c r="D2098" s="8">
        <v>-10.75</v>
      </c>
      <c r="E2098" s="8">
        <f>E2097+(0-10.75)</f>
        <v>12620194.499999849</v>
      </c>
    </row>
    <row r="2099" spans="1:5" x14ac:dyDescent="0.25">
      <c r="A2099" s="2" t="s">
        <v>38</v>
      </c>
      <c r="B2099" s="6">
        <v>44998</v>
      </c>
      <c r="C2099" s="2" t="s">
        <v>53</v>
      </c>
      <c r="D2099" s="8">
        <v>-53.75</v>
      </c>
      <c r="E2099" s="8">
        <f>E2098+(0-53.75)</f>
        <v>12620140.749999849</v>
      </c>
    </row>
    <row r="2100" spans="1:5" x14ac:dyDescent="0.25">
      <c r="A2100" s="2" t="s">
        <v>38</v>
      </c>
      <c r="B2100" s="6">
        <v>44998</v>
      </c>
      <c r="C2100" s="2" t="s">
        <v>53</v>
      </c>
      <c r="D2100" s="8">
        <v>-26.88</v>
      </c>
      <c r="E2100" s="8">
        <f>E2099+(0-26.88)</f>
        <v>12620113.869999848</v>
      </c>
    </row>
    <row r="2101" spans="1:5" x14ac:dyDescent="0.25">
      <c r="A2101" s="2" t="s">
        <v>38</v>
      </c>
      <c r="B2101" s="6">
        <v>44998</v>
      </c>
      <c r="C2101" s="2" t="s">
        <v>53</v>
      </c>
      <c r="D2101" s="8">
        <v>-350</v>
      </c>
      <c r="E2101" s="8">
        <f>E2100+(0-350)</f>
        <v>12619763.869999848</v>
      </c>
    </row>
    <row r="2102" spans="1:5" x14ac:dyDescent="0.25">
      <c r="A2102" s="2" t="s">
        <v>38</v>
      </c>
      <c r="B2102" s="6">
        <v>44999</v>
      </c>
      <c r="C2102" s="2" t="s">
        <v>53</v>
      </c>
      <c r="D2102" s="8">
        <v>-50</v>
      </c>
      <c r="E2102" s="8">
        <f>E2101+(0-50)</f>
        <v>12619713.869999848</v>
      </c>
    </row>
    <row r="2103" spans="1:5" x14ac:dyDescent="0.25">
      <c r="A2103" s="2" t="s">
        <v>38</v>
      </c>
      <c r="B2103" s="6">
        <v>44999</v>
      </c>
      <c r="C2103" s="2" t="s">
        <v>53</v>
      </c>
      <c r="D2103" s="8">
        <v>-53.75</v>
      </c>
      <c r="E2103" s="8">
        <f>E2102+(0-53.75)</f>
        <v>12619660.119999848</v>
      </c>
    </row>
    <row r="2104" spans="1:5" x14ac:dyDescent="0.25">
      <c r="A2104" s="2" t="s">
        <v>38</v>
      </c>
      <c r="B2104" s="6">
        <v>44999</v>
      </c>
      <c r="C2104" s="2" t="s">
        <v>53</v>
      </c>
      <c r="D2104" s="8">
        <v>-53.75</v>
      </c>
      <c r="E2104" s="8">
        <f>E2103+(0-53.75)</f>
        <v>12619606.369999848</v>
      </c>
    </row>
    <row r="2105" spans="1:5" x14ac:dyDescent="0.25">
      <c r="A2105" s="2" t="s">
        <v>38</v>
      </c>
      <c r="B2105" s="6">
        <v>44999</v>
      </c>
      <c r="C2105" s="2" t="s">
        <v>53</v>
      </c>
      <c r="D2105" s="8">
        <v>-53.75</v>
      </c>
      <c r="E2105" s="8">
        <f>E2104+(0-53.75)</f>
        <v>12619552.619999848</v>
      </c>
    </row>
    <row r="2106" spans="1:5" x14ac:dyDescent="0.25">
      <c r="A2106" s="2" t="s">
        <v>38</v>
      </c>
      <c r="B2106" s="6">
        <v>44999</v>
      </c>
      <c r="C2106" s="2" t="s">
        <v>53</v>
      </c>
      <c r="D2106" s="8">
        <v>-50</v>
      </c>
      <c r="E2106" s="8">
        <f>E2105+(0-50)</f>
        <v>12619502.619999848</v>
      </c>
    </row>
    <row r="2107" spans="1:5" x14ac:dyDescent="0.25">
      <c r="A2107" s="2" t="s">
        <v>38</v>
      </c>
      <c r="B2107" s="6">
        <v>44999</v>
      </c>
      <c r="C2107" s="2" t="s">
        <v>53</v>
      </c>
      <c r="D2107" s="8">
        <v>-600</v>
      </c>
      <c r="E2107" s="8">
        <f>E2106+(0-600)</f>
        <v>12618902.619999848</v>
      </c>
    </row>
    <row r="2108" spans="1:5" x14ac:dyDescent="0.25">
      <c r="A2108" s="2" t="s">
        <v>38</v>
      </c>
      <c r="B2108" s="6">
        <v>45000</v>
      </c>
      <c r="C2108" s="2" t="s">
        <v>19</v>
      </c>
      <c r="D2108" s="8">
        <v>-68</v>
      </c>
      <c r="E2108" s="8">
        <f>E2107+(0-68)</f>
        <v>12618834.619999848</v>
      </c>
    </row>
    <row r="2109" spans="1:5" x14ac:dyDescent="0.25">
      <c r="A2109" s="2" t="s">
        <v>38</v>
      </c>
      <c r="B2109" s="6">
        <v>45000</v>
      </c>
      <c r="C2109" s="2" t="s">
        <v>19</v>
      </c>
      <c r="D2109" s="8">
        <v>-120</v>
      </c>
      <c r="E2109" s="8">
        <f>E2108+(0-120)</f>
        <v>12618714.619999848</v>
      </c>
    </row>
    <row r="2110" spans="1:5" x14ac:dyDescent="0.25">
      <c r="A2110" s="2" t="s">
        <v>38</v>
      </c>
      <c r="B2110" s="6">
        <v>45000</v>
      </c>
      <c r="C2110" s="2" t="s">
        <v>19</v>
      </c>
      <c r="D2110" s="8">
        <v>-200</v>
      </c>
      <c r="E2110" s="8">
        <f>E2109+(0-200)</f>
        <v>12618514.619999848</v>
      </c>
    </row>
    <row r="2111" spans="1:5" x14ac:dyDescent="0.25">
      <c r="A2111" s="2" t="s">
        <v>38</v>
      </c>
      <c r="B2111" s="6">
        <v>45000</v>
      </c>
      <c r="C2111" s="2" t="s">
        <v>53</v>
      </c>
      <c r="D2111" s="8">
        <v>-50</v>
      </c>
      <c r="E2111" s="8">
        <f>E2110+(0-50)</f>
        <v>12618464.619999848</v>
      </c>
    </row>
    <row r="2112" spans="1:5" x14ac:dyDescent="0.25">
      <c r="A2112" s="2" t="s">
        <v>38</v>
      </c>
      <c r="B2112" s="6">
        <v>45001</v>
      </c>
      <c r="C2112" s="2" t="s">
        <v>53</v>
      </c>
      <c r="D2112" s="8">
        <v>-26.88</v>
      </c>
      <c r="E2112" s="8">
        <f>E2111+(0-26.88)</f>
        <v>12618437.739999847</v>
      </c>
    </row>
    <row r="2113" spans="1:5" x14ac:dyDescent="0.25">
      <c r="A2113" s="2" t="s">
        <v>38</v>
      </c>
      <c r="B2113" s="6">
        <v>45001</v>
      </c>
      <c r="C2113" s="2" t="s">
        <v>53</v>
      </c>
      <c r="D2113" s="8">
        <v>-53.75</v>
      </c>
      <c r="E2113" s="8">
        <f>E2112+(0-53.75)</f>
        <v>12618383.989999847</v>
      </c>
    </row>
    <row r="2114" spans="1:5" x14ac:dyDescent="0.25">
      <c r="A2114" s="2" t="s">
        <v>38</v>
      </c>
      <c r="B2114" s="6">
        <v>45001</v>
      </c>
      <c r="C2114" s="2" t="s">
        <v>53</v>
      </c>
      <c r="D2114" s="8">
        <v>-53.75</v>
      </c>
      <c r="E2114" s="8">
        <f>E2113+(0-53.75)</f>
        <v>12618330.239999847</v>
      </c>
    </row>
    <row r="2115" spans="1:5" x14ac:dyDescent="0.25">
      <c r="A2115" s="2" t="s">
        <v>38</v>
      </c>
      <c r="B2115" s="6">
        <v>45001</v>
      </c>
      <c r="C2115" s="2" t="s">
        <v>53</v>
      </c>
      <c r="D2115" s="8">
        <v>-150</v>
      </c>
      <c r="E2115" s="8">
        <f>E2114+(0-150)</f>
        <v>12618180.239999847</v>
      </c>
    </row>
    <row r="2116" spans="1:5" x14ac:dyDescent="0.25">
      <c r="A2116" s="2" t="s">
        <v>38</v>
      </c>
      <c r="B2116" s="6">
        <v>45001</v>
      </c>
      <c r="C2116" s="2" t="s">
        <v>53</v>
      </c>
      <c r="D2116" s="8">
        <v>-850</v>
      </c>
      <c r="E2116" s="8">
        <f>E2115+(0-850)</f>
        <v>12617330.239999847</v>
      </c>
    </row>
    <row r="2117" spans="1:5" x14ac:dyDescent="0.25">
      <c r="A2117" s="2" t="s">
        <v>38</v>
      </c>
      <c r="B2117" s="6">
        <v>45002</v>
      </c>
      <c r="C2117" s="2" t="s">
        <v>19</v>
      </c>
      <c r="D2117" s="8">
        <v>-52</v>
      </c>
      <c r="E2117" s="8">
        <f>E2116+(0-52)</f>
        <v>12617278.239999847</v>
      </c>
    </row>
    <row r="2118" spans="1:5" x14ac:dyDescent="0.25">
      <c r="A2118" s="2" t="s">
        <v>38</v>
      </c>
      <c r="B2118" s="6">
        <v>45002</v>
      </c>
      <c r="C2118" s="2" t="s">
        <v>19</v>
      </c>
      <c r="D2118" s="8">
        <v>-136</v>
      </c>
      <c r="E2118" s="8">
        <f>E2117+(0-136)</f>
        <v>12617142.239999847</v>
      </c>
    </row>
    <row r="2119" spans="1:5" x14ac:dyDescent="0.25">
      <c r="A2119" s="2" t="s">
        <v>38</v>
      </c>
      <c r="B2119" s="6">
        <v>45002</v>
      </c>
      <c r="C2119" s="2" t="s">
        <v>53</v>
      </c>
      <c r="D2119" s="8">
        <v>-53.75</v>
      </c>
      <c r="E2119" s="8">
        <f>E2118+(0-53.75)</f>
        <v>12617088.489999847</v>
      </c>
    </row>
    <row r="2120" spans="1:5" x14ac:dyDescent="0.25">
      <c r="A2120" s="2" t="s">
        <v>38</v>
      </c>
      <c r="B2120" s="6">
        <v>45002</v>
      </c>
      <c r="C2120" s="2" t="s">
        <v>53</v>
      </c>
      <c r="D2120" s="8">
        <v>-53.75</v>
      </c>
      <c r="E2120" s="8">
        <f>E2119+(0-53.75)</f>
        <v>12617034.739999847</v>
      </c>
    </row>
    <row r="2121" spans="1:5" x14ac:dyDescent="0.25">
      <c r="A2121" s="2" t="s">
        <v>38</v>
      </c>
      <c r="B2121" s="6">
        <v>45002</v>
      </c>
      <c r="C2121" s="2" t="s">
        <v>53</v>
      </c>
      <c r="D2121" s="8">
        <v>-53.75</v>
      </c>
      <c r="E2121" s="8">
        <f>E2120+(0-53.75)</f>
        <v>12616980.989999847</v>
      </c>
    </row>
    <row r="2122" spans="1:5" x14ac:dyDescent="0.25">
      <c r="A2122" s="2" t="s">
        <v>38</v>
      </c>
      <c r="B2122" s="6">
        <v>45002</v>
      </c>
      <c r="C2122" s="2" t="s">
        <v>53</v>
      </c>
      <c r="D2122" s="8">
        <v>-26.88</v>
      </c>
      <c r="E2122" s="8">
        <f>E2121+(0-26.88)</f>
        <v>12616954.109999847</v>
      </c>
    </row>
    <row r="2123" spans="1:5" x14ac:dyDescent="0.25">
      <c r="A2123" s="2" t="s">
        <v>38</v>
      </c>
      <c r="B2123" s="6">
        <v>45002</v>
      </c>
      <c r="C2123" s="2" t="s">
        <v>53</v>
      </c>
      <c r="D2123" s="8">
        <v>-250</v>
      </c>
      <c r="E2123" s="8">
        <f>E2122+(0-250)</f>
        <v>12616704.109999847</v>
      </c>
    </row>
    <row r="2124" spans="1:5" x14ac:dyDescent="0.25">
      <c r="A2124" s="2" t="s">
        <v>38</v>
      </c>
      <c r="B2124" s="6">
        <v>45005</v>
      </c>
      <c r="C2124" s="2" t="s">
        <v>178</v>
      </c>
      <c r="D2124" s="8">
        <v>-76</v>
      </c>
      <c r="E2124" s="8">
        <f>E2123+(0-76)</f>
        <v>12616628.109999847</v>
      </c>
    </row>
    <row r="2125" spans="1:5" x14ac:dyDescent="0.25">
      <c r="A2125" s="2" t="s">
        <v>38</v>
      </c>
      <c r="B2125" s="6">
        <v>45005</v>
      </c>
      <c r="C2125" s="2" t="s">
        <v>19</v>
      </c>
      <c r="D2125" s="8">
        <v>-4</v>
      </c>
      <c r="E2125" s="8">
        <f>E2124+(0-4)</f>
        <v>12616624.109999847</v>
      </c>
    </row>
    <row r="2126" spans="1:5" x14ac:dyDescent="0.25">
      <c r="A2126" s="2" t="s">
        <v>38</v>
      </c>
      <c r="B2126" s="6">
        <v>45005</v>
      </c>
      <c r="C2126" s="2" t="s">
        <v>53</v>
      </c>
      <c r="D2126" s="8">
        <v>-53.75</v>
      </c>
      <c r="E2126" s="8">
        <f>E2125+(0-53.75)</f>
        <v>12616570.359999847</v>
      </c>
    </row>
    <row r="2127" spans="1:5" x14ac:dyDescent="0.25">
      <c r="A2127" s="2" t="s">
        <v>38</v>
      </c>
      <c r="B2127" s="6">
        <v>45005</v>
      </c>
      <c r="C2127" s="2" t="s">
        <v>53</v>
      </c>
      <c r="D2127" s="8">
        <v>-26.88</v>
      </c>
      <c r="E2127" s="8">
        <f>E2126+(0-26.88)</f>
        <v>12616543.479999846</v>
      </c>
    </row>
    <row r="2128" spans="1:5" x14ac:dyDescent="0.25">
      <c r="A2128" s="2" t="s">
        <v>38</v>
      </c>
      <c r="B2128" s="6">
        <v>45005</v>
      </c>
      <c r="C2128" s="2" t="s">
        <v>53</v>
      </c>
      <c r="D2128" s="8">
        <v>-53.75</v>
      </c>
      <c r="E2128" s="8">
        <f>E2127+(0-53.75)</f>
        <v>12616489.729999846</v>
      </c>
    </row>
    <row r="2129" spans="1:5" x14ac:dyDescent="0.25">
      <c r="A2129" s="2" t="s">
        <v>38</v>
      </c>
      <c r="B2129" s="6">
        <v>45005</v>
      </c>
      <c r="C2129" s="2" t="s">
        <v>53</v>
      </c>
      <c r="D2129" s="8">
        <v>-26.88</v>
      </c>
      <c r="E2129" s="8">
        <f>E2128+(0-26.88)</f>
        <v>12616462.849999845</v>
      </c>
    </row>
    <row r="2130" spans="1:5" x14ac:dyDescent="0.25">
      <c r="A2130" s="2" t="s">
        <v>38</v>
      </c>
      <c r="B2130" s="6">
        <v>45005</v>
      </c>
      <c r="C2130" s="2" t="s">
        <v>53</v>
      </c>
      <c r="D2130" s="8">
        <v>-750</v>
      </c>
      <c r="E2130" s="8">
        <f>E2129+(0-750)</f>
        <v>12615712.849999845</v>
      </c>
    </row>
    <row r="2131" spans="1:5" x14ac:dyDescent="0.25">
      <c r="A2131" s="2" t="s">
        <v>38</v>
      </c>
      <c r="B2131" s="6">
        <v>45006</v>
      </c>
      <c r="C2131" s="2" t="s">
        <v>19</v>
      </c>
      <c r="D2131" s="8">
        <v>-40</v>
      </c>
      <c r="E2131" s="8">
        <f>E2130+(0-40)</f>
        <v>12615672.849999845</v>
      </c>
    </row>
    <row r="2132" spans="1:5" x14ac:dyDescent="0.25">
      <c r="A2132" s="2" t="s">
        <v>38</v>
      </c>
      <c r="B2132" s="6">
        <v>45006</v>
      </c>
      <c r="C2132" s="2" t="s">
        <v>19</v>
      </c>
      <c r="D2132" s="8">
        <v>-64</v>
      </c>
      <c r="E2132" s="8">
        <f>E2131+(0-64)</f>
        <v>12615608.849999845</v>
      </c>
    </row>
    <row r="2133" spans="1:5" x14ac:dyDescent="0.25">
      <c r="A2133" s="2" t="s">
        <v>38</v>
      </c>
      <c r="B2133" s="6">
        <v>45006</v>
      </c>
      <c r="C2133" s="2" t="s">
        <v>53</v>
      </c>
      <c r="D2133" s="8">
        <v>-350</v>
      </c>
      <c r="E2133" s="8">
        <f>E2132+(0-350)</f>
        <v>12615258.849999845</v>
      </c>
    </row>
    <row r="2134" spans="1:5" x14ac:dyDescent="0.25">
      <c r="A2134" s="2" t="s">
        <v>38</v>
      </c>
      <c r="B2134" s="6">
        <v>45006</v>
      </c>
      <c r="C2134" s="2" t="s">
        <v>53</v>
      </c>
      <c r="D2134" s="8">
        <v>-100</v>
      </c>
      <c r="E2134" s="8">
        <f>E2133+(0-100)</f>
        <v>12615158.849999845</v>
      </c>
    </row>
    <row r="2135" spans="1:5" x14ac:dyDescent="0.25">
      <c r="A2135" s="2" t="s">
        <v>38</v>
      </c>
      <c r="B2135" s="6">
        <v>45007</v>
      </c>
      <c r="C2135" s="2" t="s">
        <v>53</v>
      </c>
      <c r="D2135" s="8">
        <v>-50</v>
      </c>
      <c r="E2135" s="8">
        <f>E2134+(0-50)</f>
        <v>12615108.849999845</v>
      </c>
    </row>
    <row r="2136" spans="1:5" x14ac:dyDescent="0.25">
      <c r="A2136" s="2" t="s">
        <v>38</v>
      </c>
      <c r="B2136" s="6">
        <v>45007</v>
      </c>
      <c r="C2136" s="2" t="s">
        <v>53</v>
      </c>
      <c r="D2136" s="8">
        <v>-450</v>
      </c>
      <c r="E2136" s="8">
        <f>E2135+(0-450)</f>
        <v>12614658.849999845</v>
      </c>
    </row>
    <row r="2137" spans="1:5" x14ac:dyDescent="0.25">
      <c r="A2137" s="2" t="s">
        <v>38</v>
      </c>
      <c r="B2137" s="6">
        <v>45007</v>
      </c>
      <c r="C2137" s="2" t="s">
        <v>19</v>
      </c>
      <c r="D2137" s="8">
        <v>-40</v>
      </c>
      <c r="E2137" s="8">
        <f>E2136+(0-40)</f>
        <v>12614618.849999845</v>
      </c>
    </row>
    <row r="2138" spans="1:5" x14ac:dyDescent="0.25">
      <c r="A2138" s="2" t="s">
        <v>38</v>
      </c>
      <c r="B2138" s="6">
        <v>45007</v>
      </c>
      <c r="C2138" s="2" t="s">
        <v>19</v>
      </c>
      <c r="D2138" s="8">
        <v>-60</v>
      </c>
      <c r="E2138" s="8">
        <f>E2137+(0-60)</f>
        <v>12614558.849999845</v>
      </c>
    </row>
    <row r="2139" spans="1:5" x14ac:dyDescent="0.25">
      <c r="A2139" s="2" t="s">
        <v>38</v>
      </c>
      <c r="B2139" s="6">
        <v>45008</v>
      </c>
      <c r="C2139" s="2" t="s">
        <v>53</v>
      </c>
      <c r="D2139" s="8">
        <v>-26.88</v>
      </c>
      <c r="E2139" s="8">
        <f>E2138+(0-26.88)</f>
        <v>12614531.969999844</v>
      </c>
    </row>
    <row r="2140" spans="1:5" x14ac:dyDescent="0.25">
      <c r="A2140" s="2" t="s">
        <v>38</v>
      </c>
      <c r="B2140" s="6">
        <v>45008</v>
      </c>
      <c r="C2140" s="2" t="s">
        <v>53</v>
      </c>
      <c r="D2140" s="8">
        <v>-26.88</v>
      </c>
      <c r="E2140" s="8">
        <f>E2139+(0-26.88)</f>
        <v>12614505.089999843</v>
      </c>
    </row>
    <row r="2141" spans="1:5" x14ac:dyDescent="0.25">
      <c r="A2141" s="2" t="s">
        <v>38</v>
      </c>
      <c r="B2141" s="6">
        <v>45008</v>
      </c>
      <c r="C2141" s="2" t="s">
        <v>53</v>
      </c>
      <c r="D2141" s="8">
        <v>-53.75</v>
      </c>
      <c r="E2141" s="8">
        <f>E2140+(0-53.75)</f>
        <v>12614451.339999843</v>
      </c>
    </row>
    <row r="2142" spans="1:5" x14ac:dyDescent="0.25">
      <c r="A2142" s="2" t="s">
        <v>38</v>
      </c>
      <c r="B2142" s="6">
        <v>45008</v>
      </c>
      <c r="C2142" s="2" t="s">
        <v>53</v>
      </c>
      <c r="D2142" s="8">
        <v>-26.88</v>
      </c>
      <c r="E2142" s="8">
        <f>E2141+(0-26.88)</f>
        <v>12614424.459999843</v>
      </c>
    </row>
    <row r="2143" spans="1:5" x14ac:dyDescent="0.25">
      <c r="A2143" s="2" t="s">
        <v>38</v>
      </c>
      <c r="B2143" s="6">
        <v>45008</v>
      </c>
      <c r="C2143" s="2" t="s">
        <v>53</v>
      </c>
      <c r="D2143" s="8">
        <v>-26.88</v>
      </c>
      <c r="E2143" s="8">
        <f>E2142+(0-26.88)</f>
        <v>12614397.579999842</v>
      </c>
    </row>
    <row r="2144" spans="1:5" x14ac:dyDescent="0.25">
      <c r="A2144" s="2" t="s">
        <v>38</v>
      </c>
      <c r="B2144" s="6">
        <v>45008</v>
      </c>
      <c r="C2144" s="2" t="s">
        <v>53</v>
      </c>
      <c r="D2144" s="8">
        <v>-53.75</v>
      </c>
      <c r="E2144" s="8">
        <f>E2143+(0-53.75)</f>
        <v>12614343.829999842</v>
      </c>
    </row>
    <row r="2145" spans="1:5" x14ac:dyDescent="0.25">
      <c r="A2145" s="2" t="s">
        <v>38</v>
      </c>
      <c r="B2145" s="6">
        <v>45008</v>
      </c>
      <c r="C2145" s="2" t="s">
        <v>53</v>
      </c>
      <c r="D2145" s="8">
        <v>-50</v>
      </c>
      <c r="E2145" s="8">
        <f>E2144+(0-50)</f>
        <v>12614293.829999842</v>
      </c>
    </row>
    <row r="2146" spans="1:5" x14ac:dyDescent="0.25">
      <c r="A2146" s="2" t="s">
        <v>38</v>
      </c>
      <c r="B2146" s="6">
        <v>45008</v>
      </c>
      <c r="C2146" s="2" t="s">
        <v>53</v>
      </c>
      <c r="D2146" s="8">
        <v>-450</v>
      </c>
      <c r="E2146" s="8">
        <f>E2145+(0-450)</f>
        <v>12613843.829999842</v>
      </c>
    </row>
    <row r="2147" spans="1:5" x14ac:dyDescent="0.25">
      <c r="A2147" s="2" t="s">
        <v>38</v>
      </c>
      <c r="B2147" s="6">
        <v>45009</v>
      </c>
      <c r="C2147" s="2" t="s">
        <v>53</v>
      </c>
      <c r="D2147" s="8">
        <v>-450</v>
      </c>
      <c r="E2147" s="8">
        <f>E2146+(0-450)</f>
        <v>12613393.829999842</v>
      </c>
    </row>
    <row r="2148" spans="1:5" x14ac:dyDescent="0.25">
      <c r="A2148" s="2" t="s">
        <v>38</v>
      </c>
      <c r="B2148" s="6">
        <v>45009</v>
      </c>
      <c r="C2148" s="2" t="s">
        <v>53</v>
      </c>
      <c r="D2148" s="8">
        <v>-50</v>
      </c>
      <c r="E2148" s="8">
        <f>E2147+(0-50)</f>
        <v>12613343.829999842</v>
      </c>
    </row>
    <row r="2149" spans="1:5" x14ac:dyDescent="0.25">
      <c r="A2149" s="2" t="s">
        <v>38</v>
      </c>
      <c r="B2149" s="6">
        <v>45012</v>
      </c>
      <c r="C2149" s="2" t="s">
        <v>19</v>
      </c>
      <c r="D2149" s="8">
        <v>-108</v>
      </c>
      <c r="E2149" s="8">
        <f>E2148+(0-108)</f>
        <v>12613235.829999842</v>
      </c>
    </row>
    <row r="2150" spans="1:5" x14ac:dyDescent="0.25">
      <c r="A2150" s="2" t="s">
        <v>38</v>
      </c>
      <c r="B2150" s="6">
        <v>45012</v>
      </c>
      <c r="C2150" s="2" t="s">
        <v>19</v>
      </c>
      <c r="D2150" s="8">
        <v>-68</v>
      </c>
      <c r="E2150" s="8">
        <f>E2149+(0-68)</f>
        <v>12613167.829999842</v>
      </c>
    </row>
    <row r="2151" spans="1:5" x14ac:dyDescent="0.25">
      <c r="A2151" s="2" t="s">
        <v>38</v>
      </c>
      <c r="B2151" s="6">
        <v>45012</v>
      </c>
      <c r="C2151" s="2" t="s">
        <v>53</v>
      </c>
      <c r="D2151" s="8">
        <v>-26.88</v>
      </c>
      <c r="E2151" s="8">
        <f>E2150+(0-26.88)</f>
        <v>12613140.949999841</v>
      </c>
    </row>
    <row r="2152" spans="1:5" x14ac:dyDescent="0.25">
      <c r="A2152" s="2" t="s">
        <v>38</v>
      </c>
      <c r="B2152" s="6">
        <v>45012</v>
      </c>
      <c r="C2152" s="2" t="s">
        <v>19</v>
      </c>
      <c r="D2152" s="8">
        <v>-20</v>
      </c>
      <c r="E2152" s="8">
        <f>E2151+(0-20)</f>
        <v>12613120.949999841</v>
      </c>
    </row>
    <row r="2153" spans="1:5" x14ac:dyDescent="0.25">
      <c r="A2153" s="2" t="s">
        <v>38</v>
      </c>
      <c r="B2153" s="6">
        <v>45012</v>
      </c>
      <c r="C2153" s="2" t="s">
        <v>53</v>
      </c>
      <c r="D2153" s="8">
        <v>-53.75</v>
      </c>
      <c r="E2153" s="8">
        <f>E2152+(0-53.75)</f>
        <v>12613067.199999841</v>
      </c>
    </row>
    <row r="2154" spans="1:5" x14ac:dyDescent="0.25">
      <c r="A2154" s="2" t="s">
        <v>38</v>
      </c>
      <c r="B2154" s="6">
        <v>45012</v>
      </c>
      <c r="C2154" s="2" t="s">
        <v>53</v>
      </c>
      <c r="D2154" s="8">
        <v>-26.88</v>
      </c>
      <c r="E2154" s="8">
        <f>E2153+(0-26.88)</f>
        <v>12613040.31999984</v>
      </c>
    </row>
    <row r="2155" spans="1:5" x14ac:dyDescent="0.25">
      <c r="A2155" s="2" t="s">
        <v>38</v>
      </c>
      <c r="B2155" s="6">
        <v>45012</v>
      </c>
      <c r="C2155" s="2" t="s">
        <v>53</v>
      </c>
      <c r="D2155" s="8">
        <v>-10.75</v>
      </c>
      <c r="E2155" s="8">
        <f>E2154+(0-10.75)</f>
        <v>12613029.56999984</v>
      </c>
    </row>
    <row r="2156" spans="1:5" x14ac:dyDescent="0.25">
      <c r="A2156" s="2" t="s">
        <v>38</v>
      </c>
      <c r="B2156" s="6">
        <v>45012</v>
      </c>
      <c r="C2156" s="2" t="s">
        <v>53</v>
      </c>
      <c r="D2156" s="8">
        <v>-26.88</v>
      </c>
      <c r="E2156" s="8">
        <f>E2155+(0-26.88)</f>
        <v>12613002.689999839</v>
      </c>
    </row>
    <row r="2157" spans="1:5" x14ac:dyDescent="0.25">
      <c r="A2157" s="2" t="s">
        <v>38</v>
      </c>
      <c r="B2157" s="6">
        <v>45012</v>
      </c>
      <c r="C2157" s="2" t="s">
        <v>53</v>
      </c>
      <c r="D2157" s="8">
        <v>-50</v>
      </c>
      <c r="E2157" s="8">
        <f>E2156+(0-50)</f>
        <v>12612952.689999839</v>
      </c>
    </row>
    <row r="2158" spans="1:5" x14ac:dyDescent="0.25">
      <c r="A2158" s="2" t="s">
        <v>38</v>
      </c>
      <c r="B2158" s="6">
        <v>45012</v>
      </c>
      <c r="C2158" s="2" t="s">
        <v>53</v>
      </c>
      <c r="D2158" s="8">
        <v>-50</v>
      </c>
      <c r="E2158" s="8">
        <f>E2157+(0-50)</f>
        <v>12612902.689999839</v>
      </c>
    </row>
    <row r="2159" spans="1:5" x14ac:dyDescent="0.25">
      <c r="A2159" s="2" t="s">
        <v>38</v>
      </c>
      <c r="B2159" s="6">
        <v>45012</v>
      </c>
      <c r="C2159" s="2" t="s">
        <v>53</v>
      </c>
      <c r="D2159" s="8">
        <v>-50</v>
      </c>
      <c r="E2159" s="8">
        <f>E2158+(0-50)</f>
        <v>12612852.689999839</v>
      </c>
    </row>
    <row r="2160" spans="1:5" x14ac:dyDescent="0.25">
      <c r="A2160" s="2" t="s">
        <v>38</v>
      </c>
      <c r="B2160" s="6">
        <v>45012</v>
      </c>
      <c r="C2160" s="2" t="s">
        <v>53</v>
      </c>
      <c r="D2160" s="8">
        <v>-50</v>
      </c>
      <c r="E2160" s="8">
        <f>E2159+(0-50)</f>
        <v>12612802.689999839</v>
      </c>
    </row>
    <row r="2161" spans="1:5" x14ac:dyDescent="0.25">
      <c r="A2161" s="2" t="s">
        <v>38</v>
      </c>
      <c r="B2161" s="6">
        <v>45012</v>
      </c>
      <c r="C2161" s="2" t="s">
        <v>53</v>
      </c>
      <c r="D2161" s="8">
        <v>-50</v>
      </c>
      <c r="E2161" s="8">
        <f>E2160+(0-50)</f>
        <v>12612752.689999839</v>
      </c>
    </row>
    <row r="2162" spans="1:5" x14ac:dyDescent="0.25">
      <c r="A2162" s="2" t="s">
        <v>38</v>
      </c>
      <c r="B2162" s="6">
        <v>45012</v>
      </c>
      <c r="C2162" s="2" t="s">
        <v>53</v>
      </c>
      <c r="D2162" s="8">
        <v>-50</v>
      </c>
      <c r="E2162" s="8">
        <f>E2161+(0-50)</f>
        <v>12612702.689999839</v>
      </c>
    </row>
    <row r="2163" spans="1:5" x14ac:dyDescent="0.25">
      <c r="A2163" s="2" t="s">
        <v>38</v>
      </c>
      <c r="B2163" s="6">
        <v>45012</v>
      </c>
      <c r="C2163" s="2" t="s">
        <v>53</v>
      </c>
      <c r="D2163" s="8">
        <v>-50</v>
      </c>
      <c r="E2163" s="8">
        <f>E2162+(0-50)</f>
        <v>12612652.689999839</v>
      </c>
    </row>
    <row r="2164" spans="1:5" x14ac:dyDescent="0.25">
      <c r="A2164" s="2" t="s">
        <v>38</v>
      </c>
      <c r="B2164" s="6">
        <v>45012</v>
      </c>
      <c r="C2164" s="2" t="s">
        <v>53</v>
      </c>
      <c r="D2164" s="8">
        <v>-450</v>
      </c>
      <c r="E2164" s="8">
        <f>E2163+(0-450)</f>
        <v>12612202.689999839</v>
      </c>
    </row>
    <row r="2165" spans="1:5" x14ac:dyDescent="0.25">
      <c r="A2165" s="2" t="s">
        <v>38</v>
      </c>
      <c r="B2165" s="6">
        <v>45012</v>
      </c>
      <c r="C2165" s="2" t="s">
        <v>53</v>
      </c>
      <c r="D2165" s="8">
        <v>-50</v>
      </c>
      <c r="E2165" s="8">
        <f>E2164+(0-50)</f>
        <v>12612152.689999839</v>
      </c>
    </row>
    <row r="2166" spans="1:5" x14ac:dyDescent="0.25">
      <c r="A2166" s="2" t="s">
        <v>38</v>
      </c>
      <c r="B2166" s="6">
        <v>45013</v>
      </c>
      <c r="C2166" s="2" t="s">
        <v>53</v>
      </c>
      <c r="D2166" s="8">
        <v>-26.88</v>
      </c>
      <c r="E2166" s="8">
        <f>E2165+(0-26.88)</f>
        <v>12612125.809999838</v>
      </c>
    </row>
    <row r="2167" spans="1:5" x14ac:dyDescent="0.25">
      <c r="A2167" s="2" t="s">
        <v>38</v>
      </c>
      <c r="B2167" s="6">
        <v>45013</v>
      </c>
      <c r="C2167" s="2" t="s">
        <v>53</v>
      </c>
      <c r="D2167" s="8">
        <v>-400</v>
      </c>
      <c r="E2167" s="8">
        <f>E2166+(0-400)</f>
        <v>12611725.809999838</v>
      </c>
    </row>
    <row r="2168" spans="1:5" x14ac:dyDescent="0.25">
      <c r="A2168" s="2" t="s">
        <v>38</v>
      </c>
      <c r="B2168" s="6">
        <v>45014</v>
      </c>
      <c r="C2168" s="2" t="s">
        <v>53</v>
      </c>
      <c r="D2168" s="8">
        <v>-132</v>
      </c>
      <c r="E2168" s="8">
        <f>E2167+(0-132)</f>
        <v>12611593.809999838</v>
      </c>
    </row>
    <row r="2169" spans="1:5" x14ac:dyDescent="0.25">
      <c r="A2169" s="2" t="s">
        <v>38</v>
      </c>
      <c r="B2169" s="6">
        <v>45014</v>
      </c>
      <c r="C2169" s="2" t="s">
        <v>19</v>
      </c>
      <c r="D2169" s="8">
        <v>-72</v>
      </c>
      <c r="E2169" s="8">
        <f>E2168+(0-72)</f>
        <v>12611521.809999838</v>
      </c>
    </row>
    <row r="2170" spans="1:5" x14ac:dyDescent="0.25">
      <c r="A2170" s="2" t="s">
        <v>38</v>
      </c>
      <c r="B2170" s="6">
        <v>45014</v>
      </c>
      <c r="C2170" s="2" t="s">
        <v>53</v>
      </c>
      <c r="D2170" s="8">
        <v>-53.75</v>
      </c>
      <c r="E2170" s="8">
        <f>E2169+(0-53.75)</f>
        <v>12611468.059999838</v>
      </c>
    </row>
    <row r="2171" spans="1:5" x14ac:dyDescent="0.25">
      <c r="A2171" s="2" t="s">
        <v>38</v>
      </c>
      <c r="B2171" s="6">
        <v>45014</v>
      </c>
      <c r="C2171" s="2" t="s">
        <v>53</v>
      </c>
      <c r="D2171" s="8">
        <v>-53.75</v>
      </c>
      <c r="E2171" s="8">
        <f>E2170+(0-53.75)</f>
        <v>12611414.309999838</v>
      </c>
    </row>
    <row r="2172" spans="1:5" x14ac:dyDescent="0.25">
      <c r="A2172" s="2" t="s">
        <v>38</v>
      </c>
      <c r="B2172" s="6">
        <v>45014</v>
      </c>
      <c r="C2172" s="2" t="s">
        <v>53</v>
      </c>
      <c r="D2172" s="8">
        <v>-53.75</v>
      </c>
      <c r="E2172" s="8">
        <f>E2171+(0-53.75)</f>
        <v>12611360.559999838</v>
      </c>
    </row>
    <row r="2173" spans="1:5" x14ac:dyDescent="0.25">
      <c r="A2173" s="2" t="s">
        <v>38</v>
      </c>
      <c r="B2173" s="6">
        <v>45014</v>
      </c>
      <c r="C2173" s="2" t="s">
        <v>53</v>
      </c>
      <c r="D2173" s="8">
        <v>-53.75</v>
      </c>
      <c r="E2173" s="8">
        <f>E2172+(0-53.75)</f>
        <v>12611306.809999838</v>
      </c>
    </row>
    <row r="2174" spans="1:5" x14ac:dyDescent="0.25">
      <c r="A2174" s="2" t="s">
        <v>38</v>
      </c>
      <c r="B2174" s="6">
        <v>45014</v>
      </c>
      <c r="C2174" s="2" t="s">
        <v>53</v>
      </c>
      <c r="D2174" s="8">
        <v>-53.75</v>
      </c>
      <c r="E2174" s="8">
        <f>E2173+(0-53.75)</f>
        <v>12611253.059999838</v>
      </c>
    </row>
    <row r="2175" spans="1:5" x14ac:dyDescent="0.25">
      <c r="A2175" s="2" t="s">
        <v>38</v>
      </c>
      <c r="B2175" s="6">
        <v>45014</v>
      </c>
      <c r="C2175" s="2" t="s">
        <v>53</v>
      </c>
      <c r="D2175" s="8">
        <v>-26.88</v>
      </c>
      <c r="E2175" s="8">
        <f>E2174+(0-26.88)</f>
        <v>12611226.179999838</v>
      </c>
    </row>
    <row r="2176" spans="1:5" x14ac:dyDescent="0.25">
      <c r="A2176" s="2" t="s">
        <v>38</v>
      </c>
      <c r="B2176" s="6">
        <v>45014</v>
      </c>
      <c r="C2176" s="2" t="s">
        <v>53</v>
      </c>
      <c r="D2176" s="8">
        <v>-26.88</v>
      </c>
      <c r="E2176" s="8">
        <f>E2175+(0-26.88)</f>
        <v>12611199.299999837</v>
      </c>
    </row>
    <row r="2177" spans="1:5" x14ac:dyDescent="0.25">
      <c r="A2177" s="2" t="s">
        <v>38</v>
      </c>
      <c r="B2177" s="6">
        <v>45014</v>
      </c>
      <c r="C2177" s="2" t="s">
        <v>53</v>
      </c>
      <c r="D2177" s="8">
        <v>-26.88</v>
      </c>
      <c r="E2177" s="8">
        <f>E2176+(0-26.88)</f>
        <v>12611172.419999836</v>
      </c>
    </row>
    <row r="2178" spans="1:5" x14ac:dyDescent="0.25">
      <c r="A2178" s="2" t="s">
        <v>38</v>
      </c>
      <c r="B2178" s="6">
        <v>45014</v>
      </c>
      <c r="C2178" s="2" t="s">
        <v>53</v>
      </c>
      <c r="D2178" s="8">
        <v>-53.75</v>
      </c>
      <c r="E2178" s="8">
        <f>E2177+(0-53.75)</f>
        <v>12611118.669999836</v>
      </c>
    </row>
    <row r="2179" spans="1:5" x14ac:dyDescent="0.25">
      <c r="A2179" s="2" t="s">
        <v>38</v>
      </c>
      <c r="B2179" s="6">
        <v>45014</v>
      </c>
      <c r="C2179" s="2" t="s">
        <v>53</v>
      </c>
      <c r="D2179" s="8">
        <v>-400</v>
      </c>
      <c r="E2179" s="8">
        <f>E2178+(0-400)</f>
        <v>12610718.669999836</v>
      </c>
    </row>
    <row r="2180" spans="1:5" x14ac:dyDescent="0.25">
      <c r="A2180" s="2" t="s">
        <v>38</v>
      </c>
      <c r="B2180" s="6">
        <v>45015</v>
      </c>
      <c r="C2180" s="2" t="s">
        <v>53</v>
      </c>
      <c r="D2180" s="8">
        <v>-53.75</v>
      </c>
      <c r="E2180" s="8">
        <f>E2179+(0-53.75)</f>
        <v>12610664.919999836</v>
      </c>
    </row>
    <row r="2181" spans="1:5" x14ac:dyDescent="0.25">
      <c r="A2181" s="2" t="s">
        <v>38</v>
      </c>
      <c r="B2181" s="6">
        <v>45015</v>
      </c>
      <c r="C2181" s="2" t="s">
        <v>53</v>
      </c>
      <c r="D2181" s="8">
        <v>-500</v>
      </c>
      <c r="E2181" s="8">
        <f>E2180+(0-500)</f>
        <v>12610164.919999836</v>
      </c>
    </row>
    <row r="2182" spans="1:5" x14ac:dyDescent="0.25">
      <c r="A2182" s="2" t="s">
        <v>38</v>
      </c>
      <c r="B2182" s="6">
        <v>45016</v>
      </c>
      <c r="C2182" s="2" t="s">
        <v>19</v>
      </c>
      <c r="D2182" s="8">
        <v>-116</v>
      </c>
      <c r="E2182" s="8">
        <f>E2181+(0-116)</f>
        <v>12610048.919999836</v>
      </c>
    </row>
    <row r="2183" spans="1:5" x14ac:dyDescent="0.25">
      <c r="A2183" s="2" t="s">
        <v>38</v>
      </c>
      <c r="B2183" s="6">
        <v>45016</v>
      </c>
      <c r="C2183" s="2" t="s">
        <v>53</v>
      </c>
      <c r="D2183" s="8">
        <v>-53.75</v>
      </c>
      <c r="E2183" s="8">
        <f>E2182+(0-53.75)</f>
        <v>12609995.169999836</v>
      </c>
    </row>
    <row r="2184" spans="1:5" x14ac:dyDescent="0.25">
      <c r="A2184" s="2" t="s">
        <v>38</v>
      </c>
      <c r="B2184" s="6">
        <v>45016</v>
      </c>
      <c r="C2184" s="2" t="s">
        <v>53</v>
      </c>
      <c r="D2184" s="8">
        <v>-100</v>
      </c>
      <c r="E2184" s="8">
        <f>E2183+(0-100)</f>
        <v>12609895.169999836</v>
      </c>
    </row>
    <row r="2185" spans="1:5" x14ac:dyDescent="0.25">
      <c r="A2185" s="2" t="s">
        <v>38</v>
      </c>
      <c r="B2185" s="6">
        <v>45016</v>
      </c>
      <c r="C2185" s="2" t="s">
        <v>53</v>
      </c>
      <c r="D2185" s="8">
        <v>-400</v>
      </c>
      <c r="E2185" s="8">
        <f>E2184+(0-400)</f>
        <v>12609495.169999836</v>
      </c>
    </row>
    <row r="2186" spans="1:5" x14ac:dyDescent="0.25">
      <c r="A2186" s="2" t="s">
        <v>38</v>
      </c>
      <c r="B2186" s="6">
        <v>45016</v>
      </c>
      <c r="C2186" s="2" t="s">
        <v>53</v>
      </c>
      <c r="D2186" s="8">
        <v>-50</v>
      </c>
      <c r="E2186" s="8">
        <f>E2185+(0-50)</f>
        <v>12609445.169999836</v>
      </c>
    </row>
    <row r="2187" spans="1:5" x14ac:dyDescent="0.25">
      <c r="A2187" s="2" t="s">
        <v>38</v>
      </c>
      <c r="B2187" s="6">
        <v>45019</v>
      </c>
      <c r="C2187" s="2" t="s">
        <v>19</v>
      </c>
      <c r="D2187" s="8">
        <v>-104</v>
      </c>
      <c r="E2187" s="8">
        <f>E2186+(0-104)</f>
        <v>12609341.169999836</v>
      </c>
    </row>
    <row r="2188" spans="1:5" x14ac:dyDescent="0.25">
      <c r="A2188" s="2" t="s">
        <v>38</v>
      </c>
      <c r="B2188" s="6">
        <v>45019</v>
      </c>
      <c r="C2188" s="2" t="s">
        <v>174</v>
      </c>
      <c r="D2188" s="8">
        <v>-53.75</v>
      </c>
      <c r="E2188" s="8">
        <f>E2187+(0-53.75)</f>
        <v>12609287.419999836</v>
      </c>
    </row>
    <row r="2189" spans="1:5" x14ac:dyDescent="0.25">
      <c r="A2189" s="2" t="s">
        <v>38</v>
      </c>
      <c r="B2189" s="6">
        <v>45019</v>
      </c>
      <c r="C2189" s="2" t="s">
        <v>17</v>
      </c>
      <c r="D2189" s="8">
        <v>-64</v>
      </c>
      <c r="E2189" s="8">
        <f>E2188+(0-64)</f>
        <v>12609223.419999836</v>
      </c>
    </row>
    <row r="2190" spans="1:5" x14ac:dyDescent="0.25">
      <c r="A2190" s="2" t="s">
        <v>38</v>
      </c>
      <c r="B2190" s="6">
        <v>45019</v>
      </c>
      <c r="C2190" s="2" t="s">
        <v>17</v>
      </c>
      <c r="D2190" s="8">
        <v>-12</v>
      </c>
      <c r="E2190" s="8">
        <f>E2189+(0-12)</f>
        <v>12609211.419999836</v>
      </c>
    </row>
    <row r="2191" spans="1:5" x14ac:dyDescent="0.25">
      <c r="A2191" s="2" t="s">
        <v>38</v>
      </c>
      <c r="B2191" s="6">
        <v>45019</v>
      </c>
      <c r="C2191" s="2" t="s">
        <v>17</v>
      </c>
      <c r="D2191" s="8">
        <v>-16</v>
      </c>
      <c r="E2191" s="8">
        <f>E2190+(0-16)</f>
        <v>12609195.419999836</v>
      </c>
    </row>
    <row r="2192" spans="1:5" x14ac:dyDescent="0.25">
      <c r="A2192" s="2" t="s">
        <v>38</v>
      </c>
      <c r="B2192" s="6">
        <v>45019</v>
      </c>
      <c r="C2192" s="2" t="s">
        <v>174</v>
      </c>
      <c r="D2192" s="8">
        <v>-26.88</v>
      </c>
      <c r="E2192" s="8">
        <f>E2191+(0-26.88)</f>
        <v>12609168.539999835</v>
      </c>
    </row>
    <row r="2193" spans="1:5" x14ac:dyDescent="0.25">
      <c r="A2193" s="2" t="s">
        <v>38</v>
      </c>
      <c r="B2193" s="6">
        <v>45019</v>
      </c>
      <c r="C2193" s="2" t="s">
        <v>174</v>
      </c>
      <c r="D2193" s="8">
        <v>-50</v>
      </c>
      <c r="E2193" s="8">
        <f>E2192+(0-50)</f>
        <v>12609118.539999835</v>
      </c>
    </row>
    <row r="2194" spans="1:5" x14ac:dyDescent="0.25">
      <c r="A2194" s="2" t="s">
        <v>38</v>
      </c>
      <c r="B2194" s="6">
        <v>45019</v>
      </c>
      <c r="C2194" s="2" t="s">
        <v>174</v>
      </c>
      <c r="D2194" s="8">
        <v>-50</v>
      </c>
      <c r="E2194" s="8">
        <f>E2193+(0-50)</f>
        <v>12609068.539999835</v>
      </c>
    </row>
    <row r="2195" spans="1:5" x14ac:dyDescent="0.25">
      <c r="A2195" s="2" t="s">
        <v>38</v>
      </c>
      <c r="B2195" s="6">
        <v>45019</v>
      </c>
      <c r="C2195" s="2" t="s">
        <v>174</v>
      </c>
      <c r="D2195" s="8">
        <v>-50</v>
      </c>
      <c r="E2195" s="8">
        <f>E2194+(0-50)</f>
        <v>12609018.539999835</v>
      </c>
    </row>
    <row r="2196" spans="1:5" x14ac:dyDescent="0.25">
      <c r="A2196" s="2" t="s">
        <v>38</v>
      </c>
      <c r="B2196" s="6">
        <v>45019</v>
      </c>
      <c r="C2196" s="2" t="s">
        <v>174</v>
      </c>
      <c r="D2196" s="8">
        <v>-450</v>
      </c>
      <c r="E2196" s="8">
        <f>E2195+(0-450)</f>
        <v>12608568.539999835</v>
      </c>
    </row>
    <row r="2197" spans="1:5" x14ac:dyDescent="0.25">
      <c r="A2197" s="2" t="s">
        <v>38</v>
      </c>
      <c r="B2197" s="6">
        <v>45020</v>
      </c>
      <c r="C2197" s="2" t="s">
        <v>174</v>
      </c>
      <c r="D2197" s="8">
        <v>-50</v>
      </c>
      <c r="E2197" s="8">
        <f>E2196+(0-50)</f>
        <v>12608518.539999835</v>
      </c>
    </row>
    <row r="2198" spans="1:5" x14ac:dyDescent="0.25">
      <c r="A2198" s="2" t="s">
        <v>38</v>
      </c>
      <c r="B2198" s="6">
        <v>45020</v>
      </c>
      <c r="C2198" s="2" t="s">
        <v>174</v>
      </c>
      <c r="D2198" s="8">
        <v>-26.88</v>
      </c>
      <c r="E2198" s="8">
        <f>E2197+(0-26.88)</f>
        <v>12608491.659999834</v>
      </c>
    </row>
    <row r="2199" spans="1:5" x14ac:dyDescent="0.25">
      <c r="A2199" s="2" t="s">
        <v>38</v>
      </c>
      <c r="B2199" s="6">
        <v>45020</v>
      </c>
      <c r="C2199" s="2" t="s">
        <v>174</v>
      </c>
      <c r="D2199" s="8">
        <v>-26.88</v>
      </c>
      <c r="E2199" s="8">
        <f>E2198+(0-26.88)</f>
        <v>12608464.779999834</v>
      </c>
    </row>
    <row r="2200" spans="1:5" x14ac:dyDescent="0.25">
      <c r="A2200" s="2" t="s">
        <v>38</v>
      </c>
      <c r="B2200" s="6">
        <v>45020</v>
      </c>
      <c r="C2200" s="2" t="s">
        <v>174</v>
      </c>
      <c r="D2200" s="8">
        <v>-53.75</v>
      </c>
      <c r="E2200" s="8">
        <f>E2199+(0-53.75)</f>
        <v>12608411.029999834</v>
      </c>
    </row>
    <row r="2201" spans="1:5" x14ac:dyDescent="0.25">
      <c r="A2201" s="2" t="s">
        <v>38</v>
      </c>
      <c r="B2201" s="6">
        <v>45020</v>
      </c>
      <c r="C2201" s="2" t="s">
        <v>174</v>
      </c>
      <c r="D2201" s="8">
        <v>-26.88</v>
      </c>
      <c r="E2201" s="8">
        <f>E2200+(0-26.88)</f>
        <v>12608384.149999833</v>
      </c>
    </row>
    <row r="2202" spans="1:5" x14ac:dyDescent="0.25">
      <c r="A2202" s="2" t="s">
        <v>38</v>
      </c>
      <c r="B2202" s="6">
        <v>45020</v>
      </c>
      <c r="C2202" s="2" t="s">
        <v>174</v>
      </c>
      <c r="D2202" s="8">
        <v>-26.88</v>
      </c>
      <c r="E2202" s="8">
        <f>E2201+(0-26.88)</f>
        <v>12608357.269999832</v>
      </c>
    </row>
    <row r="2203" spans="1:5" x14ac:dyDescent="0.25">
      <c r="A2203" s="2" t="s">
        <v>38</v>
      </c>
      <c r="B2203" s="6">
        <v>45020</v>
      </c>
      <c r="C2203" s="2" t="s">
        <v>174</v>
      </c>
      <c r="D2203" s="8">
        <v>-53.75</v>
      </c>
      <c r="E2203" s="8">
        <f>E2202+(0-53.75)</f>
        <v>12608303.519999832</v>
      </c>
    </row>
    <row r="2204" spans="1:5" x14ac:dyDescent="0.25">
      <c r="A2204" s="2" t="s">
        <v>38</v>
      </c>
      <c r="B2204" s="6">
        <v>45020</v>
      </c>
      <c r="C2204" s="2" t="s">
        <v>174</v>
      </c>
      <c r="D2204" s="8">
        <v>-50</v>
      </c>
      <c r="E2204" s="8">
        <f>E2203+(0-50)</f>
        <v>12608253.519999832</v>
      </c>
    </row>
    <row r="2205" spans="1:5" x14ac:dyDescent="0.25">
      <c r="A2205" s="2" t="s">
        <v>38</v>
      </c>
      <c r="B2205" s="6">
        <v>45020</v>
      </c>
      <c r="C2205" s="2" t="s">
        <v>174</v>
      </c>
      <c r="D2205" s="8">
        <v>-650</v>
      </c>
      <c r="E2205" s="8">
        <f>E2204+(0-650)</f>
        <v>12607603.519999832</v>
      </c>
    </row>
    <row r="2206" spans="1:5" x14ac:dyDescent="0.25">
      <c r="A2206" s="2" t="s">
        <v>38</v>
      </c>
      <c r="B2206" s="6">
        <v>45021</v>
      </c>
      <c r="C2206" s="2" t="s">
        <v>17</v>
      </c>
      <c r="D2206" s="8">
        <v>-80</v>
      </c>
      <c r="E2206" s="8">
        <f>E2205+(0-80)</f>
        <v>12607523.519999832</v>
      </c>
    </row>
    <row r="2207" spans="1:5" x14ac:dyDescent="0.25">
      <c r="A2207" s="2" t="s">
        <v>38</v>
      </c>
      <c r="B2207" s="6">
        <v>45021</v>
      </c>
      <c r="C2207" s="2" t="s">
        <v>17</v>
      </c>
      <c r="D2207" s="8">
        <v>-156</v>
      </c>
      <c r="E2207" s="8">
        <f>E2206+(0-156)</f>
        <v>12607367.519999832</v>
      </c>
    </row>
    <row r="2208" spans="1:5" x14ac:dyDescent="0.25">
      <c r="A2208" s="2" t="s">
        <v>38</v>
      </c>
      <c r="B2208" s="6">
        <v>45021</v>
      </c>
      <c r="C2208" s="2" t="s">
        <v>174</v>
      </c>
      <c r="D2208" s="8">
        <v>-26.88</v>
      </c>
      <c r="E2208" s="8">
        <f>E2207+(0-26.88)</f>
        <v>12607340.639999831</v>
      </c>
    </row>
    <row r="2209" spans="1:5" x14ac:dyDescent="0.25">
      <c r="A2209" s="2" t="s">
        <v>38</v>
      </c>
      <c r="B2209" s="6">
        <v>45021</v>
      </c>
      <c r="C2209" s="2" t="s">
        <v>174</v>
      </c>
      <c r="D2209" s="8">
        <v>-350</v>
      </c>
      <c r="E2209" s="8">
        <f>E2208+(0-350)</f>
        <v>12606990.639999831</v>
      </c>
    </row>
    <row r="2210" spans="1:5" x14ac:dyDescent="0.25">
      <c r="A2210" s="2" t="s">
        <v>38</v>
      </c>
      <c r="B2210" s="6">
        <v>45022</v>
      </c>
      <c r="C2210" s="2" t="s">
        <v>174</v>
      </c>
      <c r="D2210" s="8">
        <v>-53.75</v>
      </c>
      <c r="E2210" s="8">
        <f>E2209+(0-53.75)</f>
        <v>12606936.889999831</v>
      </c>
    </row>
    <row r="2211" spans="1:5" x14ac:dyDescent="0.25">
      <c r="A2211" s="2" t="s">
        <v>38</v>
      </c>
      <c r="B2211" s="6">
        <v>45022</v>
      </c>
      <c r="C2211" s="2" t="s">
        <v>174</v>
      </c>
      <c r="D2211" s="8">
        <v>-350</v>
      </c>
      <c r="E2211" s="8">
        <f>E2210+(0-350)</f>
        <v>12606586.889999831</v>
      </c>
    </row>
    <row r="2212" spans="1:5" x14ac:dyDescent="0.25">
      <c r="A2212" s="2" t="s">
        <v>38</v>
      </c>
      <c r="B2212" s="6">
        <v>45027</v>
      </c>
      <c r="C2212" s="2" t="s">
        <v>17</v>
      </c>
      <c r="D2212" s="8">
        <v>-40</v>
      </c>
      <c r="E2212" s="8">
        <f>E2211+(0-40)</f>
        <v>12606546.889999831</v>
      </c>
    </row>
    <row r="2213" spans="1:5" x14ac:dyDescent="0.25">
      <c r="A2213" s="2" t="s">
        <v>38</v>
      </c>
      <c r="B2213" s="6">
        <v>45027</v>
      </c>
      <c r="C2213" s="2" t="s">
        <v>17</v>
      </c>
      <c r="D2213" s="8">
        <v>-48</v>
      </c>
      <c r="E2213" s="8">
        <f>E2212+(0-48)</f>
        <v>12606498.889999831</v>
      </c>
    </row>
    <row r="2214" spans="1:5" x14ac:dyDescent="0.25">
      <c r="A2214" s="2" t="s">
        <v>38</v>
      </c>
      <c r="B2214" s="6">
        <v>45027</v>
      </c>
      <c r="C2214" s="2" t="s">
        <v>17</v>
      </c>
      <c r="D2214" s="8">
        <v>-8</v>
      </c>
      <c r="E2214" s="8">
        <f>E2213+(0-8)</f>
        <v>12606490.889999831</v>
      </c>
    </row>
    <row r="2215" spans="1:5" x14ac:dyDescent="0.25">
      <c r="A2215" s="2" t="s">
        <v>38</v>
      </c>
      <c r="B2215" s="6">
        <v>45027</v>
      </c>
      <c r="C2215" s="2" t="s">
        <v>174</v>
      </c>
      <c r="D2215" s="8">
        <v>-53.75</v>
      </c>
      <c r="E2215" s="8">
        <f>E2214+(0-53.75)</f>
        <v>12606437.139999831</v>
      </c>
    </row>
    <row r="2216" spans="1:5" x14ac:dyDescent="0.25">
      <c r="A2216" s="2" t="s">
        <v>38</v>
      </c>
      <c r="B2216" s="6">
        <v>45027</v>
      </c>
      <c r="C2216" s="2" t="s">
        <v>17</v>
      </c>
      <c r="D2216" s="8">
        <v>-4</v>
      </c>
      <c r="E2216" s="8">
        <f>E2215+(0-4)</f>
        <v>12606433.139999831</v>
      </c>
    </row>
    <row r="2217" spans="1:5" x14ac:dyDescent="0.25">
      <c r="A2217" s="2" t="s">
        <v>38</v>
      </c>
      <c r="B2217" s="6">
        <v>45027</v>
      </c>
      <c r="C2217" s="2" t="s">
        <v>17</v>
      </c>
      <c r="D2217" s="8">
        <v>-20</v>
      </c>
      <c r="E2217" s="8">
        <f>E2216+(0-20)</f>
        <v>12606413.139999831</v>
      </c>
    </row>
    <row r="2218" spans="1:5" x14ac:dyDescent="0.25">
      <c r="A2218" s="2" t="s">
        <v>38</v>
      </c>
      <c r="B2218" s="6">
        <v>45027</v>
      </c>
      <c r="C2218" s="2" t="s">
        <v>17</v>
      </c>
      <c r="D2218" s="8">
        <v>-4</v>
      </c>
      <c r="E2218" s="8">
        <f>E2217+(0-4)</f>
        <v>12606409.139999831</v>
      </c>
    </row>
    <row r="2219" spans="1:5" x14ac:dyDescent="0.25">
      <c r="A2219" s="2" t="s">
        <v>38</v>
      </c>
      <c r="B2219" s="6">
        <v>45027</v>
      </c>
      <c r="C2219" s="2" t="s">
        <v>174</v>
      </c>
      <c r="D2219" s="8">
        <v>-500</v>
      </c>
      <c r="E2219" s="8">
        <f>E2218+(0-500)</f>
        <v>12605909.139999831</v>
      </c>
    </row>
    <row r="2220" spans="1:5" x14ac:dyDescent="0.25">
      <c r="A2220" s="2" t="s">
        <v>38</v>
      </c>
      <c r="B2220" s="6">
        <v>45028</v>
      </c>
      <c r="C2220" s="2" t="s">
        <v>174</v>
      </c>
      <c r="D2220" s="8">
        <v>-53.75</v>
      </c>
      <c r="E2220" s="8">
        <f>E2219+(0-53.75)</f>
        <v>12605855.389999831</v>
      </c>
    </row>
    <row r="2221" spans="1:5" x14ac:dyDescent="0.25">
      <c r="A2221" s="2" t="s">
        <v>38</v>
      </c>
      <c r="B2221" s="6">
        <v>45028</v>
      </c>
      <c r="C2221" s="2" t="s">
        <v>174</v>
      </c>
      <c r="D2221" s="8">
        <v>-26.88</v>
      </c>
      <c r="E2221" s="8">
        <f>E2220+(0-26.88)</f>
        <v>12605828.50999983</v>
      </c>
    </row>
    <row r="2222" spans="1:5" x14ac:dyDescent="0.25">
      <c r="A2222" s="2" t="s">
        <v>38</v>
      </c>
      <c r="B2222" s="6">
        <v>45028</v>
      </c>
      <c r="C2222" s="2" t="s">
        <v>174</v>
      </c>
      <c r="D2222" s="8">
        <v>-26.88</v>
      </c>
      <c r="E2222" s="8">
        <f>E2221+(0-26.88)</f>
        <v>12605801.629999829</v>
      </c>
    </row>
    <row r="2223" spans="1:5" x14ac:dyDescent="0.25">
      <c r="A2223" s="2" t="s">
        <v>38</v>
      </c>
      <c r="B2223" s="6">
        <v>45028</v>
      </c>
      <c r="C2223" s="2" t="s">
        <v>174</v>
      </c>
      <c r="D2223" s="8">
        <v>-53.75</v>
      </c>
      <c r="E2223" s="8">
        <f>E2222+(0-53.75)</f>
        <v>12605747.879999829</v>
      </c>
    </row>
    <row r="2224" spans="1:5" x14ac:dyDescent="0.25">
      <c r="A2224" s="2" t="s">
        <v>38</v>
      </c>
      <c r="B2224" s="6">
        <v>45028</v>
      </c>
      <c r="C2224" s="2" t="s">
        <v>174</v>
      </c>
      <c r="D2224" s="8">
        <v>-550</v>
      </c>
      <c r="E2224" s="8">
        <f>E2223+(0-550)</f>
        <v>12605197.879999829</v>
      </c>
    </row>
    <row r="2225" spans="1:5" x14ac:dyDescent="0.25">
      <c r="A2225" s="2" t="s">
        <v>38</v>
      </c>
      <c r="B2225" s="6">
        <v>45029</v>
      </c>
      <c r="C2225" s="2" t="s">
        <v>174</v>
      </c>
      <c r="D2225" s="8">
        <v>-26.88</v>
      </c>
      <c r="E2225" s="8">
        <f>E2224+(0-26.88)</f>
        <v>12605170.999999829</v>
      </c>
    </row>
    <row r="2226" spans="1:5" x14ac:dyDescent="0.25">
      <c r="A2226" s="2" t="s">
        <v>38</v>
      </c>
      <c r="B2226" s="6">
        <v>45029</v>
      </c>
      <c r="C2226" s="2" t="s">
        <v>174</v>
      </c>
      <c r="D2226" s="8">
        <v>-53.75</v>
      </c>
      <c r="E2226" s="8">
        <f>E2225+(0-53.75)</f>
        <v>12605117.249999829</v>
      </c>
    </row>
    <row r="2227" spans="1:5" x14ac:dyDescent="0.25">
      <c r="A2227" s="2" t="s">
        <v>38</v>
      </c>
      <c r="B2227" s="6">
        <v>45029</v>
      </c>
      <c r="C2227" s="2" t="s">
        <v>174</v>
      </c>
      <c r="D2227" s="8">
        <v>-53.75</v>
      </c>
      <c r="E2227" s="8">
        <f>E2226+(0-53.75)</f>
        <v>12605063.499999829</v>
      </c>
    </row>
    <row r="2228" spans="1:5" x14ac:dyDescent="0.25">
      <c r="A2228" s="2" t="s">
        <v>38</v>
      </c>
      <c r="B2228" s="6">
        <v>45029</v>
      </c>
      <c r="C2228" s="2" t="s">
        <v>174</v>
      </c>
      <c r="D2228" s="8">
        <v>-26.88</v>
      </c>
      <c r="E2228" s="8">
        <f>E2227+(0-26.88)</f>
        <v>12605036.619999828</v>
      </c>
    </row>
    <row r="2229" spans="1:5" x14ac:dyDescent="0.25">
      <c r="A2229" s="2" t="s">
        <v>38</v>
      </c>
      <c r="B2229" s="6">
        <v>45029</v>
      </c>
      <c r="C2229" s="2" t="s">
        <v>174</v>
      </c>
      <c r="D2229" s="8">
        <v>-26.88</v>
      </c>
      <c r="E2229" s="8">
        <f>E2228+(0-26.88)</f>
        <v>12605009.739999827</v>
      </c>
    </row>
    <row r="2230" spans="1:5" x14ac:dyDescent="0.25">
      <c r="A2230" s="2" t="s">
        <v>38</v>
      </c>
      <c r="B2230" s="6">
        <v>45029</v>
      </c>
      <c r="C2230" s="2" t="s">
        <v>174</v>
      </c>
      <c r="D2230" s="8">
        <v>-53.75</v>
      </c>
      <c r="E2230" s="8">
        <f>E2229+(0-53.75)</f>
        <v>12604955.989999827</v>
      </c>
    </row>
    <row r="2231" spans="1:5" x14ac:dyDescent="0.25">
      <c r="A2231" s="2" t="s">
        <v>38</v>
      </c>
      <c r="B2231" s="6">
        <v>45029</v>
      </c>
      <c r="C2231" s="2" t="s">
        <v>174</v>
      </c>
      <c r="D2231" s="8">
        <v>-53.75</v>
      </c>
      <c r="E2231" s="8">
        <f>E2230+(0-53.75)</f>
        <v>12604902.239999827</v>
      </c>
    </row>
    <row r="2232" spans="1:5" x14ac:dyDescent="0.25">
      <c r="A2232" s="2" t="s">
        <v>38</v>
      </c>
      <c r="B2232" s="6">
        <v>45029</v>
      </c>
      <c r="C2232" s="2" t="s">
        <v>174</v>
      </c>
      <c r="D2232" s="8">
        <v>-450</v>
      </c>
      <c r="E2232" s="8">
        <f>E2231+(0-450)</f>
        <v>12604452.239999827</v>
      </c>
    </row>
    <row r="2233" spans="1:5" x14ac:dyDescent="0.25">
      <c r="A2233" s="2" t="s">
        <v>38</v>
      </c>
      <c r="B2233" s="6">
        <v>45029</v>
      </c>
      <c r="C2233" s="2" t="s">
        <v>174</v>
      </c>
      <c r="D2233" s="8">
        <v>-50</v>
      </c>
      <c r="E2233" s="8">
        <f>E2232+(0-50)</f>
        <v>12604402.239999827</v>
      </c>
    </row>
    <row r="2234" spans="1:5" x14ac:dyDescent="0.25">
      <c r="A2234" s="2" t="s">
        <v>38</v>
      </c>
      <c r="B2234" s="6">
        <v>45030</v>
      </c>
      <c r="C2234" s="2" t="s">
        <v>174</v>
      </c>
      <c r="D2234" s="8">
        <v>-53.75</v>
      </c>
      <c r="E2234" s="8">
        <f>E2233+(0-53.75)</f>
        <v>12604348.489999827</v>
      </c>
    </row>
    <row r="2235" spans="1:5" x14ac:dyDescent="0.25">
      <c r="A2235" s="2" t="s">
        <v>38</v>
      </c>
      <c r="B2235" s="6">
        <v>45030</v>
      </c>
      <c r="C2235" s="2" t="s">
        <v>174</v>
      </c>
      <c r="D2235" s="8">
        <v>-53.75</v>
      </c>
      <c r="E2235" s="8">
        <f>E2234+(0-53.75)</f>
        <v>12604294.739999827</v>
      </c>
    </row>
    <row r="2236" spans="1:5" x14ac:dyDescent="0.25">
      <c r="A2236" s="2" t="s">
        <v>38</v>
      </c>
      <c r="B2236" s="6">
        <v>45030</v>
      </c>
      <c r="C2236" s="2" t="s">
        <v>174</v>
      </c>
      <c r="D2236" s="8">
        <v>-150</v>
      </c>
      <c r="E2236" s="8">
        <f>E2235+(0-150)</f>
        <v>12604144.739999827</v>
      </c>
    </row>
    <row r="2237" spans="1:5" x14ac:dyDescent="0.25">
      <c r="A2237" s="2" t="s">
        <v>38</v>
      </c>
      <c r="B2237" s="6">
        <v>45030</v>
      </c>
      <c r="C2237" s="2" t="s">
        <v>174</v>
      </c>
      <c r="D2237" s="8">
        <v>-450</v>
      </c>
      <c r="E2237" s="8">
        <f>E2236+(0-450)</f>
        <v>12603694.739999827</v>
      </c>
    </row>
    <row r="2238" spans="1:5" x14ac:dyDescent="0.25">
      <c r="A2238" s="2" t="s">
        <v>38</v>
      </c>
      <c r="B2238" s="6">
        <v>45033</v>
      </c>
      <c r="C2238" s="2" t="s">
        <v>174</v>
      </c>
      <c r="D2238" s="8">
        <v>-26.88</v>
      </c>
      <c r="E2238" s="8">
        <f>E2237+(0-26.88)</f>
        <v>12603667.859999826</v>
      </c>
    </row>
    <row r="2239" spans="1:5" x14ac:dyDescent="0.25">
      <c r="A2239" s="2" t="s">
        <v>38</v>
      </c>
      <c r="B2239" s="6">
        <v>45033</v>
      </c>
      <c r="C2239" s="2" t="s">
        <v>17</v>
      </c>
      <c r="D2239" s="8">
        <v>-24</v>
      </c>
      <c r="E2239" s="8">
        <f>E2238+(0-24)</f>
        <v>12603643.859999826</v>
      </c>
    </row>
    <row r="2240" spans="1:5" x14ac:dyDescent="0.25">
      <c r="A2240" s="2" t="s">
        <v>38</v>
      </c>
      <c r="B2240" s="6">
        <v>45033</v>
      </c>
      <c r="C2240" s="2" t="s">
        <v>17</v>
      </c>
      <c r="D2240" s="8">
        <v>-80</v>
      </c>
      <c r="E2240" s="8">
        <f>E2239+(0-80)</f>
        <v>12603563.859999826</v>
      </c>
    </row>
    <row r="2241" spans="1:5" x14ac:dyDescent="0.25">
      <c r="A2241" s="2" t="s">
        <v>38</v>
      </c>
      <c r="B2241" s="6">
        <v>45033</v>
      </c>
      <c r="C2241" s="2" t="s">
        <v>174</v>
      </c>
      <c r="D2241" s="8">
        <v>-26.88</v>
      </c>
      <c r="E2241" s="8">
        <f>E2240+(0-26.88)</f>
        <v>12603536.979999825</v>
      </c>
    </row>
    <row r="2242" spans="1:5" x14ac:dyDescent="0.25">
      <c r="A2242" s="2" t="s">
        <v>38</v>
      </c>
      <c r="B2242" s="6">
        <v>45033</v>
      </c>
      <c r="C2242" s="2" t="s">
        <v>174</v>
      </c>
      <c r="D2242" s="8">
        <v>-600</v>
      </c>
      <c r="E2242" s="8">
        <f>E2241+(0-600)</f>
        <v>12602936.979999825</v>
      </c>
    </row>
    <row r="2243" spans="1:5" x14ac:dyDescent="0.25">
      <c r="A2243" s="2" t="s">
        <v>38</v>
      </c>
      <c r="B2243" s="6">
        <v>45034</v>
      </c>
      <c r="C2243" s="2" t="s">
        <v>17</v>
      </c>
      <c r="D2243" s="8">
        <v>-144</v>
      </c>
      <c r="E2243" s="8">
        <f>E2242+(0-144)</f>
        <v>12602792.979999825</v>
      </c>
    </row>
    <row r="2244" spans="1:5" x14ac:dyDescent="0.25">
      <c r="A2244" s="2" t="s">
        <v>38</v>
      </c>
      <c r="B2244" s="6">
        <v>45034</v>
      </c>
      <c r="C2244" s="2" t="s">
        <v>17</v>
      </c>
      <c r="D2244" s="8">
        <v>-112</v>
      </c>
      <c r="E2244" s="8">
        <f>E2243+(0-112)</f>
        <v>12602680.979999825</v>
      </c>
    </row>
    <row r="2245" spans="1:5" x14ac:dyDescent="0.25">
      <c r="A2245" s="2" t="s">
        <v>38</v>
      </c>
      <c r="B2245" s="6">
        <v>45034</v>
      </c>
      <c r="C2245" s="2" t="s">
        <v>174</v>
      </c>
      <c r="D2245" s="8">
        <v>-26.88</v>
      </c>
      <c r="E2245" s="8">
        <f>E2244+(0-26.88)</f>
        <v>12602654.099999825</v>
      </c>
    </row>
    <row r="2246" spans="1:5" x14ac:dyDescent="0.25">
      <c r="A2246" s="2" t="s">
        <v>38</v>
      </c>
      <c r="B2246" s="6">
        <v>45034</v>
      </c>
      <c r="C2246" s="2" t="s">
        <v>174</v>
      </c>
      <c r="D2246" s="8">
        <v>-26.88</v>
      </c>
      <c r="E2246" s="8">
        <f>E2245+(0-26.88)</f>
        <v>12602627.219999824</v>
      </c>
    </row>
    <row r="2247" spans="1:5" x14ac:dyDescent="0.25">
      <c r="A2247" s="2" t="s">
        <v>38</v>
      </c>
      <c r="B2247" s="6">
        <v>45034</v>
      </c>
      <c r="C2247" s="2" t="s">
        <v>17</v>
      </c>
      <c r="D2247" s="8">
        <v>-12</v>
      </c>
      <c r="E2247" s="8">
        <f>E2246+(0-12)</f>
        <v>12602615.219999824</v>
      </c>
    </row>
    <row r="2248" spans="1:5" x14ac:dyDescent="0.25">
      <c r="A2248" s="2" t="s">
        <v>38</v>
      </c>
      <c r="B2248" s="6">
        <v>45034</v>
      </c>
      <c r="C2248" s="2" t="s">
        <v>17</v>
      </c>
      <c r="D2248" s="8">
        <v>-12</v>
      </c>
      <c r="E2248" s="8">
        <f>E2247+(0-12)</f>
        <v>12602603.219999824</v>
      </c>
    </row>
    <row r="2249" spans="1:5" x14ac:dyDescent="0.25">
      <c r="A2249" s="2" t="s">
        <v>38</v>
      </c>
      <c r="B2249" s="6">
        <v>45034</v>
      </c>
      <c r="C2249" s="2" t="s">
        <v>17</v>
      </c>
      <c r="D2249" s="8">
        <v>-60</v>
      </c>
      <c r="E2249" s="8">
        <f>E2248+(0-60)</f>
        <v>12602543.219999824</v>
      </c>
    </row>
    <row r="2250" spans="1:5" x14ac:dyDescent="0.25">
      <c r="A2250" s="2" t="s">
        <v>38</v>
      </c>
      <c r="B2250" s="6">
        <v>45034</v>
      </c>
      <c r="C2250" s="2" t="s">
        <v>174</v>
      </c>
      <c r="D2250" s="8">
        <v>-300</v>
      </c>
      <c r="E2250" s="8">
        <f>E2249+(0-300)</f>
        <v>12602243.219999824</v>
      </c>
    </row>
    <row r="2251" spans="1:5" x14ac:dyDescent="0.25">
      <c r="A2251" s="2" t="s">
        <v>38</v>
      </c>
      <c r="B2251" s="6">
        <v>45035</v>
      </c>
      <c r="C2251" s="2" t="s">
        <v>174</v>
      </c>
      <c r="D2251" s="8">
        <v>-26.88</v>
      </c>
      <c r="E2251" s="8">
        <f>E2250+(0-26.88)</f>
        <v>12602216.339999823</v>
      </c>
    </row>
    <row r="2252" spans="1:5" x14ac:dyDescent="0.25">
      <c r="A2252" s="2" t="s">
        <v>38</v>
      </c>
      <c r="B2252" s="6">
        <v>45035</v>
      </c>
      <c r="C2252" s="2" t="s">
        <v>174</v>
      </c>
      <c r="D2252" s="8">
        <v>-650</v>
      </c>
      <c r="E2252" s="8">
        <f>E2251+(0-650)</f>
        <v>12601566.339999823</v>
      </c>
    </row>
    <row r="2253" spans="1:5" x14ac:dyDescent="0.25">
      <c r="A2253" s="2" t="s">
        <v>38</v>
      </c>
      <c r="B2253" s="6">
        <v>45036</v>
      </c>
      <c r="C2253" s="2" t="s">
        <v>17</v>
      </c>
      <c r="D2253" s="8">
        <v>-60</v>
      </c>
      <c r="E2253" s="8">
        <f>E2252+(0-60)</f>
        <v>12601506.339999823</v>
      </c>
    </row>
    <row r="2254" spans="1:5" x14ac:dyDescent="0.25">
      <c r="A2254" s="2" t="s">
        <v>38</v>
      </c>
      <c r="B2254" s="6">
        <v>45036</v>
      </c>
      <c r="C2254" s="2" t="s">
        <v>17</v>
      </c>
      <c r="D2254" s="8">
        <v>-96</v>
      </c>
      <c r="E2254" s="8">
        <f>E2253+(0-96)</f>
        <v>12601410.339999823</v>
      </c>
    </row>
    <row r="2255" spans="1:5" x14ac:dyDescent="0.25">
      <c r="A2255" s="2" t="s">
        <v>38</v>
      </c>
      <c r="B2255" s="6">
        <v>45036</v>
      </c>
      <c r="C2255" s="2" t="s">
        <v>174</v>
      </c>
      <c r="D2255" s="8">
        <v>-50</v>
      </c>
      <c r="E2255" s="8">
        <f>E2254+(0-50)</f>
        <v>12601360.339999823</v>
      </c>
    </row>
    <row r="2256" spans="1:5" x14ac:dyDescent="0.25">
      <c r="A2256" s="2" t="s">
        <v>38</v>
      </c>
      <c r="B2256" s="6">
        <v>45036</v>
      </c>
      <c r="C2256" s="2" t="s">
        <v>174</v>
      </c>
      <c r="D2256" s="8">
        <v>-950</v>
      </c>
      <c r="E2256" s="8">
        <f>E2255+(0-950)</f>
        <v>12600410.339999823</v>
      </c>
    </row>
    <row r="2257" spans="1:5" x14ac:dyDescent="0.25">
      <c r="A2257" s="2" t="s">
        <v>38</v>
      </c>
      <c r="B2257" s="6">
        <v>45041</v>
      </c>
      <c r="C2257" s="2" t="s">
        <v>17</v>
      </c>
      <c r="D2257" s="8">
        <v>-76</v>
      </c>
      <c r="E2257" s="8">
        <f>E2256+(0-76)</f>
        <v>12600334.339999823</v>
      </c>
    </row>
    <row r="2258" spans="1:5" x14ac:dyDescent="0.25">
      <c r="A2258" s="2" t="s">
        <v>38</v>
      </c>
      <c r="B2258" s="6">
        <v>45041</v>
      </c>
      <c r="C2258" s="2" t="s">
        <v>17</v>
      </c>
      <c r="D2258" s="8">
        <v>-20</v>
      </c>
      <c r="E2258" s="8">
        <f>E2257+(0-20)</f>
        <v>12600314.339999823</v>
      </c>
    </row>
    <row r="2259" spans="1:5" x14ac:dyDescent="0.25">
      <c r="A2259" s="2" t="s">
        <v>38</v>
      </c>
      <c r="B2259" s="6">
        <v>45041</v>
      </c>
      <c r="C2259" s="2" t="s">
        <v>17</v>
      </c>
      <c r="D2259" s="8">
        <v>-12</v>
      </c>
      <c r="E2259" s="8">
        <f>E2258+(0-12)</f>
        <v>12600302.339999823</v>
      </c>
    </row>
    <row r="2260" spans="1:5" x14ac:dyDescent="0.25">
      <c r="A2260" s="2" t="s">
        <v>38</v>
      </c>
      <c r="B2260" s="6">
        <v>45041</v>
      </c>
      <c r="C2260" s="2" t="s">
        <v>17</v>
      </c>
      <c r="D2260" s="8">
        <v>-4</v>
      </c>
      <c r="E2260" s="8">
        <f>E2259+(0-4)</f>
        <v>12600298.339999823</v>
      </c>
    </row>
    <row r="2261" spans="1:5" x14ac:dyDescent="0.25">
      <c r="A2261" s="2" t="s">
        <v>38</v>
      </c>
      <c r="B2261" s="6">
        <v>45041</v>
      </c>
      <c r="C2261" s="2" t="s">
        <v>174</v>
      </c>
      <c r="D2261" s="8">
        <v>-26.88</v>
      </c>
      <c r="E2261" s="8">
        <f>E2260+(0-26.88)</f>
        <v>12600271.459999822</v>
      </c>
    </row>
    <row r="2262" spans="1:5" x14ac:dyDescent="0.25">
      <c r="A2262" s="2" t="s">
        <v>38</v>
      </c>
      <c r="B2262" s="6">
        <v>45041</v>
      </c>
      <c r="C2262" s="2" t="s">
        <v>174</v>
      </c>
      <c r="D2262" s="8">
        <v>-53.75</v>
      </c>
      <c r="E2262" s="8">
        <f>E2261+(0-53.75)</f>
        <v>12600217.709999822</v>
      </c>
    </row>
    <row r="2263" spans="1:5" x14ac:dyDescent="0.25">
      <c r="A2263" s="2" t="s">
        <v>38</v>
      </c>
      <c r="B2263" s="6">
        <v>45041</v>
      </c>
      <c r="C2263" s="2" t="s">
        <v>174</v>
      </c>
      <c r="D2263" s="8">
        <v>-26.88</v>
      </c>
      <c r="E2263" s="8">
        <f>E2262+(0-26.88)</f>
        <v>12600190.829999821</v>
      </c>
    </row>
    <row r="2264" spans="1:5" x14ac:dyDescent="0.25">
      <c r="A2264" s="2" t="s">
        <v>38</v>
      </c>
      <c r="B2264" s="6">
        <v>45041</v>
      </c>
      <c r="C2264" s="2" t="s">
        <v>174</v>
      </c>
      <c r="D2264" s="8">
        <v>-53.75</v>
      </c>
      <c r="E2264" s="8">
        <f>E2263+(0-53.75)</f>
        <v>12600137.079999821</v>
      </c>
    </row>
    <row r="2265" spans="1:5" x14ac:dyDescent="0.25">
      <c r="A2265" s="2" t="s">
        <v>38</v>
      </c>
      <c r="B2265" s="6">
        <v>45041</v>
      </c>
      <c r="C2265" s="2" t="s">
        <v>174</v>
      </c>
      <c r="D2265" s="8">
        <v>-700</v>
      </c>
      <c r="E2265" s="8">
        <f>E2264+(0-700)</f>
        <v>12599437.079999821</v>
      </c>
    </row>
    <row r="2266" spans="1:5" x14ac:dyDescent="0.25">
      <c r="A2266" s="2" t="s">
        <v>38</v>
      </c>
      <c r="B2266" s="6">
        <v>45042</v>
      </c>
      <c r="C2266" s="2" t="s">
        <v>174</v>
      </c>
      <c r="D2266" s="8">
        <v>-26.88</v>
      </c>
      <c r="E2266" s="8">
        <f>E2265+(0-26.88)</f>
        <v>12599410.19999982</v>
      </c>
    </row>
    <row r="2267" spans="1:5" x14ac:dyDescent="0.25">
      <c r="A2267" s="2" t="s">
        <v>38</v>
      </c>
      <c r="B2267" s="6">
        <v>45042</v>
      </c>
      <c r="C2267" s="2" t="s">
        <v>174</v>
      </c>
      <c r="D2267" s="8">
        <v>-26.88</v>
      </c>
      <c r="E2267" s="8">
        <f>E2266+(0-26.88)</f>
        <v>12599383.31999982</v>
      </c>
    </row>
    <row r="2268" spans="1:5" x14ac:dyDescent="0.25">
      <c r="A2268" s="2" t="s">
        <v>38</v>
      </c>
      <c r="B2268" s="6">
        <v>45042</v>
      </c>
      <c r="C2268" s="2" t="s">
        <v>174</v>
      </c>
      <c r="D2268" s="8">
        <v>-26.88</v>
      </c>
      <c r="E2268" s="8">
        <f>E2267+(0-26.88)</f>
        <v>12599356.439999819</v>
      </c>
    </row>
    <row r="2269" spans="1:5" x14ac:dyDescent="0.25">
      <c r="A2269" s="2" t="s">
        <v>38</v>
      </c>
      <c r="B2269" s="6">
        <v>45042</v>
      </c>
      <c r="C2269" s="2" t="s">
        <v>191</v>
      </c>
      <c r="D2269" s="8">
        <v>-53.75</v>
      </c>
      <c r="E2269" s="8">
        <f>E2268+(0-53.75)</f>
        <v>12599302.689999819</v>
      </c>
    </row>
    <row r="2270" spans="1:5" x14ac:dyDescent="0.25">
      <c r="A2270" s="2" t="s">
        <v>38</v>
      </c>
      <c r="B2270" s="6">
        <v>45042</v>
      </c>
      <c r="C2270" s="2" t="s">
        <v>174</v>
      </c>
      <c r="D2270" s="8">
        <v>-53.75</v>
      </c>
      <c r="E2270" s="8">
        <f>E2269+(0-53.75)</f>
        <v>12599248.939999819</v>
      </c>
    </row>
    <row r="2271" spans="1:5" x14ac:dyDescent="0.25">
      <c r="A2271" s="2" t="s">
        <v>38</v>
      </c>
      <c r="B2271" s="6">
        <v>45042</v>
      </c>
      <c r="C2271" s="2" t="s">
        <v>174</v>
      </c>
      <c r="D2271" s="8">
        <v>-50</v>
      </c>
      <c r="E2271" s="8">
        <f>E2270+(0-50)</f>
        <v>12599198.939999819</v>
      </c>
    </row>
    <row r="2272" spans="1:5" x14ac:dyDescent="0.25">
      <c r="A2272" s="2" t="s">
        <v>38</v>
      </c>
      <c r="B2272" s="6">
        <v>45042</v>
      </c>
      <c r="C2272" s="2" t="s">
        <v>174</v>
      </c>
      <c r="D2272" s="8">
        <v>-300</v>
      </c>
      <c r="E2272" s="8">
        <f>E2271+(0-300)</f>
        <v>12598898.939999819</v>
      </c>
    </row>
    <row r="2273" spans="1:5" x14ac:dyDescent="0.25">
      <c r="A2273" s="2" t="s">
        <v>38</v>
      </c>
      <c r="B2273" s="6">
        <v>45043</v>
      </c>
      <c r="C2273" s="2" t="s">
        <v>17</v>
      </c>
      <c r="D2273" s="8">
        <v>-64</v>
      </c>
      <c r="E2273" s="8">
        <f>E2272+(0-64)</f>
        <v>12598834.939999819</v>
      </c>
    </row>
    <row r="2274" spans="1:5" x14ac:dyDescent="0.25">
      <c r="A2274" s="2" t="s">
        <v>38</v>
      </c>
      <c r="B2274" s="6">
        <v>45043</v>
      </c>
      <c r="C2274" s="2" t="s">
        <v>17</v>
      </c>
      <c r="D2274" s="8">
        <v>-108</v>
      </c>
      <c r="E2274" s="8">
        <f>E2273+(0-108)</f>
        <v>12598726.939999819</v>
      </c>
    </row>
    <row r="2275" spans="1:5" x14ac:dyDescent="0.25">
      <c r="A2275" s="2" t="s">
        <v>38</v>
      </c>
      <c r="B2275" s="6">
        <v>45043</v>
      </c>
      <c r="C2275" s="2" t="s">
        <v>174</v>
      </c>
      <c r="D2275" s="8">
        <v>-400</v>
      </c>
      <c r="E2275" s="8">
        <f>E2274+(0-400)</f>
        <v>12598326.939999819</v>
      </c>
    </row>
    <row r="2276" spans="1:5" x14ac:dyDescent="0.25">
      <c r="A2276" s="2" t="s">
        <v>38</v>
      </c>
      <c r="B2276" s="6">
        <v>45044</v>
      </c>
      <c r="C2276" s="2" t="s">
        <v>174</v>
      </c>
      <c r="D2276" s="8">
        <v>-300</v>
      </c>
      <c r="E2276" s="8">
        <f>E2275+(0-300)</f>
        <v>12598026.939999819</v>
      </c>
    </row>
    <row r="2277" spans="1:5" x14ac:dyDescent="0.25">
      <c r="A2277" s="2" t="s">
        <v>38</v>
      </c>
      <c r="B2277" s="6">
        <v>45048</v>
      </c>
      <c r="C2277" s="2" t="s">
        <v>19</v>
      </c>
      <c r="D2277" s="8">
        <v>-72</v>
      </c>
      <c r="E2277" s="8">
        <f>E2276+(0-72)</f>
        <v>12597954.939999819</v>
      </c>
    </row>
    <row r="2278" spans="1:5" x14ac:dyDescent="0.25">
      <c r="A2278" s="2" t="s">
        <v>38</v>
      </c>
      <c r="B2278" s="6">
        <v>45048</v>
      </c>
      <c r="C2278" s="2" t="s">
        <v>19</v>
      </c>
      <c r="D2278" s="8">
        <v>-28</v>
      </c>
      <c r="E2278" s="8">
        <f>E2277+(0-28)</f>
        <v>12597926.939999819</v>
      </c>
    </row>
    <row r="2279" spans="1:5" x14ac:dyDescent="0.25">
      <c r="A2279" s="2" t="s">
        <v>38</v>
      </c>
      <c r="B2279" s="6">
        <v>45048</v>
      </c>
      <c r="C2279" s="2" t="s">
        <v>19</v>
      </c>
      <c r="D2279" s="8">
        <v>-12</v>
      </c>
      <c r="E2279" s="8">
        <f>E2278+(0-12)</f>
        <v>12597914.939999819</v>
      </c>
    </row>
    <row r="2280" spans="1:5" x14ac:dyDescent="0.25">
      <c r="A2280" s="2" t="s">
        <v>38</v>
      </c>
      <c r="B2280" s="6">
        <v>45048</v>
      </c>
      <c r="C2280" s="2" t="s">
        <v>53</v>
      </c>
      <c r="D2280" s="8">
        <v>-53.75</v>
      </c>
      <c r="E2280" s="8">
        <f>E2279+(0-53.75)</f>
        <v>12597861.189999819</v>
      </c>
    </row>
    <row r="2281" spans="1:5" x14ac:dyDescent="0.25">
      <c r="A2281" s="2" t="s">
        <v>38</v>
      </c>
      <c r="B2281" s="6">
        <v>45048</v>
      </c>
      <c r="C2281" s="2" t="s">
        <v>53</v>
      </c>
      <c r="D2281" s="8">
        <v>-26.88</v>
      </c>
      <c r="E2281" s="8">
        <f>E2280+(0-26.88)</f>
        <v>12597834.309999818</v>
      </c>
    </row>
    <row r="2282" spans="1:5" x14ac:dyDescent="0.25">
      <c r="A2282" s="2" t="s">
        <v>38</v>
      </c>
      <c r="B2282" s="6">
        <v>45048</v>
      </c>
      <c r="C2282" s="2" t="s">
        <v>19</v>
      </c>
      <c r="D2282" s="8">
        <v>-8</v>
      </c>
      <c r="E2282" s="8">
        <f>E2281+(0-8)</f>
        <v>12597826.309999818</v>
      </c>
    </row>
    <row r="2283" spans="1:5" x14ac:dyDescent="0.25">
      <c r="A2283" s="2" t="s">
        <v>38</v>
      </c>
      <c r="B2283" s="6">
        <v>45048</v>
      </c>
      <c r="C2283" s="2" t="s">
        <v>53</v>
      </c>
      <c r="D2283" s="8">
        <v>-50</v>
      </c>
      <c r="E2283" s="8">
        <f>E2282+(0-50)</f>
        <v>12597776.309999818</v>
      </c>
    </row>
    <row r="2284" spans="1:5" x14ac:dyDescent="0.25">
      <c r="A2284" s="2" t="s">
        <v>38</v>
      </c>
      <c r="B2284" s="6">
        <v>45048</v>
      </c>
      <c r="C2284" s="2" t="s">
        <v>53</v>
      </c>
      <c r="D2284" s="8">
        <v>-50</v>
      </c>
      <c r="E2284" s="8">
        <f>E2283+(0-50)</f>
        <v>12597726.309999818</v>
      </c>
    </row>
    <row r="2285" spans="1:5" x14ac:dyDescent="0.25">
      <c r="A2285" s="2" t="s">
        <v>38</v>
      </c>
      <c r="B2285" s="6">
        <v>45048</v>
      </c>
      <c r="C2285" s="2" t="s">
        <v>53</v>
      </c>
      <c r="D2285" s="8">
        <v>-50</v>
      </c>
      <c r="E2285" s="8">
        <f>E2284+(0-50)</f>
        <v>12597676.309999818</v>
      </c>
    </row>
    <row r="2286" spans="1:5" x14ac:dyDescent="0.25">
      <c r="A2286" s="2" t="s">
        <v>38</v>
      </c>
      <c r="B2286" s="6">
        <v>45048</v>
      </c>
      <c r="C2286" s="2" t="s">
        <v>53</v>
      </c>
      <c r="D2286" s="8">
        <v>-50</v>
      </c>
      <c r="E2286" s="8">
        <f>E2285+(0-50)</f>
        <v>12597626.309999818</v>
      </c>
    </row>
    <row r="2287" spans="1:5" x14ac:dyDescent="0.25">
      <c r="A2287" s="2" t="s">
        <v>38</v>
      </c>
      <c r="B2287" s="6">
        <v>45048</v>
      </c>
      <c r="C2287" s="2" t="s">
        <v>53</v>
      </c>
      <c r="D2287" s="8">
        <v>-50</v>
      </c>
      <c r="E2287" s="8">
        <f>E2286+(0-50)</f>
        <v>12597576.309999818</v>
      </c>
    </row>
    <row r="2288" spans="1:5" x14ac:dyDescent="0.25">
      <c r="A2288" s="2" t="s">
        <v>38</v>
      </c>
      <c r="B2288" s="6">
        <v>45048</v>
      </c>
      <c r="C2288" s="2" t="s">
        <v>53</v>
      </c>
      <c r="D2288" s="8">
        <v>-50</v>
      </c>
      <c r="E2288" s="8">
        <f>E2287+(0-50)</f>
        <v>12597526.309999818</v>
      </c>
    </row>
    <row r="2289" spans="1:5" x14ac:dyDescent="0.25">
      <c r="A2289" s="2" t="s">
        <v>38</v>
      </c>
      <c r="B2289" s="6">
        <v>45048</v>
      </c>
      <c r="C2289" s="2" t="s">
        <v>53</v>
      </c>
      <c r="D2289" s="8">
        <v>-50</v>
      </c>
      <c r="E2289" s="8">
        <f>E2288+(0-50)</f>
        <v>12597476.309999818</v>
      </c>
    </row>
    <row r="2290" spans="1:5" x14ac:dyDescent="0.25">
      <c r="A2290" s="2" t="s">
        <v>38</v>
      </c>
      <c r="B2290" s="6">
        <v>45048</v>
      </c>
      <c r="C2290" s="2" t="s">
        <v>53</v>
      </c>
      <c r="D2290" s="8">
        <v>-850</v>
      </c>
      <c r="E2290" s="8">
        <f>E2289+(0-850)</f>
        <v>12596626.309999818</v>
      </c>
    </row>
    <row r="2291" spans="1:5" x14ac:dyDescent="0.25">
      <c r="A2291" s="2" t="s">
        <v>38</v>
      </c>
      <c r="B2291" s="6">
        <v>45049</v>
      </c>
      <c r="C2291" s="2" t="s">
        <v>19</v>
      </c>
      <c r="D2291" s="8">
        <v>-28</v>
      </c>
      <c r="E2291" s="8">
        <f>E2290+(0-28)</f>
        <v>12596598.309999818</v>
      </c>
    </row>
    <row r="2292" spans="1:5" x14ac:dyDescent="0.25">
      <c r="A2292" s="2" t="s">
        <v>38</v>
      </c>
      <c r="B2292" s="6">
        <v>45049</v>
      </c>
      <c r="C2292" s="2" t="s">
        <v>19</v>
      </c>
      <c r="D2292" s="8">
        <v>-88</v>
      </c>
      <c r="E2292" s="8">
        <f>E2291+(0-88)</f>
        <v>12596510.309999818</v>
      </c>
    </row>
    <row r="2293" spans="1:5" x14ac:dyDescent="0.25">
      <c r="A2293" s="2" t="s">
        <v>38</v>
      </c>
      <c r="B2293" s="6">
        <v>45049</v>
      </c>
      <c r="C2293" s="2" t="s">
        <v>53</v>
      </c>
      <c r="D2293" s="8">
        <v>-600</v>
      </c>
      <c r="E2293" s="8">
        <f>E2292+(0-600)</f>
        <v>12595910.309999818</v>
      </c>
    </row>
    <row r="2294" spans="1:5" x14ac:dyDescent="0.25">
      <c r="A2294" s="2" t="s">
        <v>38</v>
      </c>
      <c r="B2294" s="6">
        <v>45049</v>
      </c>
      <c r="C2294" s="2" t="s">
        <v>19</v>
      </c>
      <c r="D2294" s="8">
        <v>-72</v>
      </c>
      <c r="E2294" s="8">
        <f>E2293+(0-72)</f>
        <v>12595838.309999818</v>
      </c>
    </row>
    <row r="2295" spans="1:5" x14ac:dyDescent="0.25">
      <c r="A2295" s="2" t="s">
        <v>38</v>
      </c>
      <c r="B2295" s="6">
        <v>45050</v>
      </c>
      <c r="C2295" s="2" t="s">
        <v>53</v>
      </c>
      <c r="D2295" s="8">
        <v>-53.75</v>
      </c>
      <c r="E2295" s="8">
        <f>E2294+(0-53.75)</f>
        <v>12595784.559999818</v>
      </c>
    </row>
    <row r="2296" spans="1:5" x14ac:dyDescent="0.25">
      <c r="A2296" s="2" t="s">
        <v>38</v>
      </c>
      <c r="B2296" s="6">
        <v>45050</v>
      </c>
      <c r="C2296" s="2" t="s">
        <v>53</v>
      </c>
      <c r="D2296" s="8">
        <v>-26.88</v>
      </c>
      <c r="E2296" s="8">
        <f>E2295+(0-26.88)</f>
        <v>12595757.679999817</v>
      </c>
    </row>
    <row r="2297" spans="1:5" x14ac:dyDescent="0.25">
      <c r="A2297" s="2" t="s">
        <v>38</v>
      </c>
      <c r="B2297" s="6">
        <v>45050</v>
      </c>
      <c r="C2297" s="2" t="s">
        <v>53</v>
      </c>
      <c r="D2297" s="8">
        <v>-50</v>
      </c>
      <c r="E2297" s="8">
        <f>E2296+(0-50)</f>
        <v>12595707.679999817</v>
      </c>
    </row>
    <row r="2298" spans="1:5" x14ac:dyDescent="0.25">
      <c r="A2298" s="2" t="s">
        <v>38</v>
      </c>
      <c r="B2298" s="6">
        <v>45050</v>
      </c>
      <c r="C2298" s="2" t="s">
        <v>53</v>
      </c>
      <c r="D2298" s="8">
        <v>-550</v>
      </c>
      <c r="E2298" s="8">
        <f>E2297+(0-550)</f>
        <v>12595157.679999817</v>
      </c>
    </row>
    <row r="2299" spans="1:5" x14ac:dyDescent="0.25">
      <c r="A2299" s="2" t="s">
        <v>38</v>
      </c>
      <c r="B2299" s="6">
        <v>45050</v>
      </c>
      <c r="C2299" s="2" t="s">
        <v>53</v>
      </c>
      <c r="D2299" s="8">
        <v>-100</v>
      </c>
      <c r="E2299" s="8">
        <f>E2298+(0-100)</f>
        <v>12595057.679999817</v>
      </c>
    </row>
    <row r="2300" spans="1:5" x14ac:dyDescent="0.25">
      <c r="A2300" s="2" t="s">
        <v>38</v>
      </c>
      <c r="B2300" s="6">
        <v>45051</v>
      </c>
      <c r="C2300" s="2" t="s">
        <v>53</v>
      </c>
      <c r="D2300" s="8">
        <v>-53.75</v>
      </c>
      <c r="E2300" s="8">
        <f>E2299+(0-53.75)</f>
        <v>12595003.929999817</v>
      </c>
    </row>
    <row r="2301" spans="1:5" x14ac:dyDescent="0.25">
      <c r="A2301" s="2" t="s">
        <v>38</v>
      </c>
      <c r="B2301" s="6">
        <v>45051</v>
      </c>
      <c r="C2301" s="2" t="s">
        <v>53</v>
      </c>
      <c r="D2301" s="8">
        <v>-53.75</v>
      </c>
      <c r="E2301" s="8">
        <f>E2300+(0-53.75)</f>
        <v>12594950.179999817</v>
      </c>
    </row>
    <row r="2302" spans="1:5" x14ac:dyDescent="0.25">
      <c r="A2302" s="2" t="s">
        <v>38</v>
      </c>
      <c r="B2302" s="6">
        <v>45051</v>
      </c>
      <c r="C2302" s="2" t="s">
        <v>53</v>
      </c>
      <c r="D2302" s="8">
        <v>-26.88</v>
      </c>
      <c r="E2302" s="8">
        <f>E2301+(0-26.88)</f>
        <v>12594923.299999816</v>
      </c>
    </row>
    <row r="2303" spans="1:5" x14ac:dyDescent="0.25">
      <c r="A2303" s="2" t="s">
        <v>38</v>
      </c>
      <c r="B2303" s="6">
        <v>45051</v>
      </c>
      <c r="C2303" s="2" t="s">
        <v>53</v>
      </c>
      <c r="D2303" s="8">
        <v>-50</v>
      </c>
      <c r="E2303" s="8">
        <f>E2302+(0-50)</f>
        <v>12594873.299999816</v>
      </c>
    </row>
    <row r="2304" spans="1:5" x14ac:dyDescent="0.25">
      <c r="A2304" s="2" t="s">
        <v>38</v>
      </c>
      <c r="B2304" s="6">
        <v>45051</v>
      </c>
      <c r="C2304" s="2" t="s">
        <v>174</v>
      </c>
      <c r="D2304" s="8">
        <v>-400</v>
      </c>
      <c r="E2304" s="8">
        <f>E2303+(0-400)</f>
        <v>12594473.299999816</v>
      </c>
    </row>
    <row r="2305" spans="1:5" x14ac:dyDescent="0.25">
      <c r="A2305" s="2" t="s">
        <v>38</v>
      </c>
      <c r="B2305" s="6">
        <v>45054</v>
      </c>
      <c r="C2305" s="2" t="s">
        <v>17</v>
      </c>
      <c r="D2305" s="8">
        <v>-76</v>
      </c>
      <c r="E2305" s="8">
        <f>E2304+(0-76)</f>
        <v>12594397.299999816</v>
      </c>
    </row>
    <row r="2306" spans="1:5" x14ac:dyDescent="0.25">
      <c r="A2306" s="2" t="s">
        <v>38</v>
      </c>
      <c r="B2306" s="6">
        <v>45054</v>
      </c>
      <c r="C2306" s="2" t="s">
        <v>174</v>
      </c>
      <c r="D2306" s="8">
        <v>-26.88</v>
      </c>
      <c r="E2306" s="8">
        <f>E2305+(0-26.88)</f>
        <v>12594370.419999816</v>
      </c>
    </row>
    <row r="2307" spans="1:5" x14ac:dyDescent="0.25">
      <c r="A2307" s="2" t="s">
        <v>38</v>
      </c>
      <c r="B2307" s="6">
        <v>45054</v>
      </c>
      <c r="C2307" s="2" t="s">
        <v>17</v>
      </c>
      <c r="D2307" s="8">
        <v>-72</v>
      </c>
      <c r="E2307" s="8">
        <f>E2306+(0-72)</f>
        <v>12594298.419999816</v>
      </c>
    </row>
    <row r="2308" spans="1:5" x14ac:dyDescent="0.25">
      <c r="A2308" s="2" t="s">
        <v>38</v>
      </c>
      <c r="B2308" s="6">
        <v>45054</v>
      </c>
      <c r="C2308" s="2" t="s">
        <v>17</v>
      </c>
      <c r="D2308" s="8">
        <v>-16</v>
      </c>
      <c r="E2308" s="8">
        <f>E2307+(0-16)</f>
        <v>12594282.419999816</v>
      </c>
    </row>
    <row r="2309" spans="1:5" x14ac:dyDescent="0.25">
      <c r="A2309" s="2" t="s">
        <v>38</v>
      </c>
      <c r="B2309" s="6">
        <v>45055</v>
      </c>
      <c r="C2309" s="2" t="s">
        <v>174</v>
      </c>
      <c r="D2309" s="8">
        <v>-550</v>
      </c>
      <c r="E2309" s="8">
        <f>E2308+(0-550)</f>
        <v>12593732.419999816</v>
      </c>
    </row>
    <row r="2310" spans="1:5" x14ac:dyDescent="0.25">
      <c r="A2310" s="2" t="s">
        <v>38</v>
      </c>
      <c r="B2310" s="6">
        <v>45055</v>
      </c>
      <c r="C2310" s="2" t="s">
        <v>17</v>
      </c>
      <c r="D2310" s="8">
        <v>-8</v>
      </c>
      <c r="E2310" s="8">
        <f>E2309+(0-8)</f>
        <v>12593724.419999816</v>
      </c>
    </row>
    <row r="2311" spans="1:5" x14ac:dyDescent="0.25">
      <c r="A2311" s="2" t="s">
        <v>38</v>
      </c>
      <c r="B2311" s="6">
        <v>45055</v>
      </c>
      <c r="C2311" s="2" t="s">
        <v>17</v>
      </c>
      <c r="D2311" s="8">
        <v>-40</v>
      </c>
      <c r="E2311" s="8">
        <f>E2310+(0-40)</f>
        <v>12593684.419999816</v>
      </c>
    </row>
    <row r="2312" spans="1:5" x14ac:dyDescent="0.25">
      <c r="A2312" s="2" t="s">
        <v>38</v>
      </c>
      <c r="B2312" s="6">
        <v>45055</v>
      </c>
      <c r="C2312" s="2" t="s">
        <v>174</v>
      </c>
      <c r="D2312" s="8">
        <v>-650</v>
      </c>
      <c r="E2312" s="8">
        <f>E2311+(0-650)</f>
        <v>12593034.419999816</v>
      </c>
    </row>
    <row r="2313" spans="1:5" x14ac:dyDescent="0.25">
      <c r="A2313" s="2" t="s">
        <v>38</v>
      </c>
      <c r="B2313" s="6">
        <v>45056</v>
      </c>
      <c r="C2313" s="2" t="s">
        <v>174</v>
      </c>
      <c r="D2313" s="8">
        <v>-50</v>
      </c>
      <c r="E2313" s="8">
        <f>E2312+(0-50)</f>
        <v>12592984.419999816</v>
      </c>
    </row>
    <row r="2314" spans="1:5" x14ac:dyDescent="0.25">
      <c r="A2314" s="2" t="s">
        <v>38</v>
      </c>
      <c r="B2314" s="6">
        <v>45056</v>
      </c>
      <c r="C2314" s="2" t="s">
        <v>174</v>
      </c>
      <c r="D2314" s="8">
        <v>-500</v>
      </c>
      <c r="E2314" s="8">
        <f>E2313+(0-500)</f>
        <v>12592484.419999816</v>
      </c>
    </row>
    <row r="2315" spans="1:5" x14ac:dyDescent="0.25">
      <c r="A2315" s="2" t="s">
        <v>38</v>
      </c>
      <c r="B2315" s="6">
        <v>45057</v>
      </c>
      <c r="C2315" s="2" t="s">
        <v>17</v>
      </c>
      <c r="D2315" s="8">
        <v>-68</v>
      </c>
      <c r="E2315" s="8">
        <f>E2314+(0-68)</f>
        <v>12592416.419999816</v>
      </c>
    </row>
    <row r="2316" spans="1:5" x14ac:dyDescent="0.25">
      <c r="A2316" s="2" t="s">
        <v>38</v>
      </c>
      <c r="B2316" s="6">
        <v>45057</v>
      </c>
      <c r="C2316" s="2" t="s">
        <v>17</v>
      </c>
      <c r="D2316" s="8">
        <v>-72</v>
      </c>
      <c r="E2316" s="8">
        <f>E2315+(0-72)</f>
        <v>12592344.419999816</v>
      </c>
    </row>
    <row r="2317" spans="1:5" x14ac:dyDescent="0.25">
      <c r="A2317" s="2" t="s">
        <v>38</v>
      </c>
      <c r="B2317" s="6">
        <v>45057</v>
      </c>
      <c r="C2317" s="2" t="s">
        <v>174</v>
      </c>
      <c r="D2317" s="8">
        <v>-53.75</v>
      </c>
      <c r="E2317" s="8">
        <f>E2316+(0-53.75)</f>
        <v>12592290.669999816</v>
      </c>
    </row>
    <row r="2318" spans="1:5" x14ac:dyDescent="0.25">
      <c r="A2318" s="2" t="s">
        <v>38</v>
      </c>
      <c r="B2318" s="6">
        <v>45057</v>
      </c>
      <c r="C2318" s="2" t="s">
        <v>174</v>
      </c>
      <c r="D2318" s="8">
        <v>-450</v>
      </c>
      <c r="E2318" s="8">
        <f>E2317+(0-450)</f>
        <v>12591840.669999816</v>
      </c>
    </row>
    <row r="2319" spans="1:5" x14ac:dyDescent="0.25">
      <c r="A2319" s="2" t="s">
        <v>38</v>
      </c>
      <c r="B2319" s="6">
        <v>45057</v>
      </c>
      <c r="C2319" s="2" t="s">
        <v>174</v>
      </c>
      <c r="D2319" s="8">
        <v>-50</v>
      </c>
      <c r="E2319" s="8">
        <f>E2318+(0-50)</f>
        <v>12591790.669999816</v>
      </c>
    </row>
    <row r="2320" spans="1:5" x14ac:dyDescent="0.25">
      <c r="A2320" s="2" t="s">
        <v>38</v>
      </c>
      <c r="B2320" s="6">
        <v>45058</v>
      </c>
      <c r="C2320" s="2" t="s">
        <v>17</v>
      </c>
      <c r="D2320" s="8">
        <v>-64</v>
      </c>
      <c r="E2320" s="8">
        <f>E2319+(0-64)</f>
        <v>12591726.669999816</v>
      </c>
    </row>
    <row r="2321" spans="1:5" x14ac:dyDescent="0.25">
      <c r="A2321" s="2" t="s">
        <v>38</v>
      </c>
      <c r="B2321" s="6">
        <v>45058</v>
      </c>
      <c r="C2321" s="2" t="s">
        <v>174</v>
      </c>
      <c r="D2321" s="8">
        <v>-50</v>
      </c>
      <c r="E2321" s="8">
        <f>E2320+(0-50)</f>
        <v>12591676.669999816</v>
      </c>
    </row>
    <row r="2322" spans="1:5" x14ac:dyDescent="0.25">
      <c r="A2322" s="2" t="s">
        <v>38</v>
      </c>
      <c r="B2322" s="6">
        <v>45058</v>
      </c>
      <c r="C2322" s="2" t="s">
        <v>174</v>
      </c>
      <c r="D2322" s="8">
        <v>-250</v>
      </c>
      <c r="E2322" s="8">
        <f>E2321+(0-250)</f>
        <v>12591426.669999816</v>
      </c>
    </row>
    <row r="2323" spans="1:5" x14ac:dyDescent="0.25">
      <c r="A2323" s="2" t="s">
        <v>38</v>
      </c>
      <c r="B2323" s="6">
        <v>45061</v>
      </c>
      <c r="C2323" s="2" t="s">
        <v>17</v>
      </c>
      <c r="D2323" s="8">
        <v>-36</v>
      </c>
      <c r="E2323" s="8">
        <f>E2322+(0-36)</f>
        <v>12591390.669999816</v>
      </c>
    </row>
    <row r="2324" spans="1:5" x14ac:dyDescent="0.25">
      <c r="A2324" s="2" t="s">
        <v>38</v>
      </c>
      <c r="B2324" s="6">
        <v>45061</v>
      </c>
      <c r="C2324" s="2" t="s">
        <v>17</v>
      </c>
      <c r="D2324" s="8">
        <v>-8</v>
      </c>
      <c r="E2324" s="8">
        <f>E2323+(0-8)</f>
        <v>12591382.669999816</v>
      </c>
    </row>
    <row r="2325" spans="1:5" x14ac:dyDescent="0.25">
      <c r="A2325" s="2" t="s">
        <v>38</v>
      </c>
      <c r="B2325" s="6">
        <v>45061</v>
      </c>
      <c r="C2325" s="2" t="s">
        <v>174</v>
      </c>
      <c r="D2325" s="8">
        <v>-26.88</v>
      </c>
      <c r="E2325" s="8">
        <f>E2324+(0-26.88)</f>
        <v>12591355.789999815</v>
      </c>
    </row>
    <row r="2326" spans="1:5" x14ac:dyDescent="0.25">
      <c r="A2326" s="2" t="s">
        <v>38</v>
      </c>
      <c r="B2326" s="6">
        <v>45061</v>
      </c>
      <c r="C2326" s="2" t="s">
        <v>174</v>
      </c>
      <c r="D2326" s="8">
        <v>-26.88</v>
      </c>
      <c r="E2326" s="8">
        <f>E2325+(0-26.88)</f>
        <v>12591328.909999814</v>
      </c>
    </row>
    <row r="2327" spans="1:5" x14ac:dyDescent="0.25">
      <c r="A2327" s="2" t="s">
        <v>38</v>
      </c>
      <c r="B2327" s="6">
        <v>45061</v>
      </c>
      <c r="C2327" s="2" t="s">
        <v>174</v>
      </c>
      <c r="D2327" s="8">
        <v>-53.75</v>
      </c>
      <c r="E2327" s="8">
        <f>E2326+(0-53.75)</f>
        <v>12591275.159999814</v>
      </c>
    </row>
    <row r="2328" spans="1:5" x14ac:dyDescent="0.25">
      <c r="A2328" s="2" t="s">
        <v>38</v>
      </c>
      <c r="B2328" s="6">
        <v>45061</v>
      </c>
      <c r="C2328" s="2" t="s">
        <v>174</v>
      </c>
      <c r="D2328" s="8">
        <v>-300</v>
      </c>
      <c r="E2328" s="8">
        <f>E2327+(0-300)</f>
        <v>12590975.159999814</v>
      </c>
    </row>
    <row r="2329" spans="1:5" x14ac:dyDescent="0.25">
      <c r="A2329" s="2" t="s">
        <v>38</v>
      </c>
      <c r="B2329" s="6">
        <v>45061</v>
      </c>
      <c r="C2329" s="2" t="s">
        <v>174</v>
      </c>
      <c r="D2329" s="8">
        <v>-50</v>
      </c>
      <c r="E2329" s="8">
        <f>E2328+(0-50)</f>
        <v>12590925.159999814</v>
      </c>
    </row>
    <row r="2330" spans="1:5" x14ac:dyDescent="0.25">
      <c r="A2330" s="2" t="s">
        <v>38</v>
      </c>
      <c r="B2330" s="6">
        <v>45062</v>
      </c>
      <c r="C2330" s="2" t="s">
        <v>17</v>
      </c>
      <c r="D2330" s="8">
        <v>-72</v>
      </c>
      <c r="E2330" s="8">
        <f>E2329+(0-72)</f>
        <v>12590853.159999814</v>
      </c>
    </row>
    <row r="2331" spans="1:5" x14ac:dyDescent="0.25">
      <c r="A2331" s="2" t="s">
        <v>38</v>
      </c>
      <c r="B2331" s="6">
        <v>45062</v>
      </c>
      <c r="C2331" s="2" t="s">
        <v>174</v>
      </c>
      <c r="D2331" s="8">
        <v>-26.88</v>
      </c>
      <c r="E2331" s="8">
        <f>E2330+(0-26.88)</f>
        <v>12590826.279999813</v>
      </c>
    </row>
    <row r="2332" spans="1:5" x14ac:dyDescent="0.25">
      <c r="A2332" s="2" t="s">
        <v>38</v>
      </c>
      <c r="B2332" s="6">
        <v>45062</v>
      </c>
      <c r="C2332" s="2" t="s">
        <v>174</v>
      </c>
      <c r="D2332" s="8">
        <v>-53.75</v>
      </c>
      <c r="E2332" s="8">
        <f>E2331+(0-53.75)</f>
        <v>12590772.529999813</v>
      </c>
    </row>
    <row r="2333" spans="1:5" x14ac:dyDescent="0.25">
      <c r="A2333" s="2" t="s">
        <v>38</v>
      </c>
      <c r="B2333" s="6">
        <v>45062</v>
      </c>
      <c r="C2333" s="2" t="s">
        <v>174</v>
      </c>
      <c r="D2333" s="8">
        <v>-53.75</v>
      </c>
      <c r="E2333" s="8">
        <f>E2332+(0-53.75)</f>
        <v>12590718.779999813</v>
      </c>
    </row>
    <row r="2334" spans="1:5" x14ac:dyDescent="0.25">
      <c r="A2334" s="2" t="s">
        <v>38</v>
      </c>
      <c r="B2334" s="6">
        <v>45062</v>
      </c>
      <c r="C2334" s="2" t="s">
        <v>174</v>
      </c>
      <c r="D2334" s="8">
        <v>-53.75</v>
      </c>
      <c r="E2334" s="8">
        <f>E2333+(0-53.75)</f>
        <v>12590665.029999813</v>
      </c>
    </row>
    <row r="2335" spans="1:5" x14ac:dyDescent="0.25">
      <c r="A2335" s="2" t="s">
        <v>38</v>
      </c>
      <c r="B2335" s="6">
        <v>45062</v>
      </c>
      <c r="C2335" s="2" t="s">
        <v>174</v>
      </c>
      <c r="D2335" s="8">
        <v>-26.88</v>
      </c>
      <c r="E2335" s="8">
        <f>E2334+(0-26.88)</f>
        <v>12590638.149999812</v>
      </c>
    </row>
    <row r="2336" spans="1:5" x14ac:dyDescent="0.25">
      <c r="A2336" s="2" t="s">
        <v>38</v>
      </c>
      <c r="B2336" s="6">
        <v>45062</v>
      </c>
      <c r="C2336" s="2" t="s">
        <v>174</v>
      </c>
      <c r="D2336" s="8">
        <v>-450</v>
      </c>
      <c r="E2336" s="8">
        <f>E2335+(0-450)</f>
        <v>12590188.149999812</v>
      </c>
    </row>
    <row r="2337" spans="1:5" x14ac:dyDescent="0.25">
      <c r="A2337" s="2" t="s">
        <v>38</v>
      </c>
      <c r="B2337" s="6">
        <v>45063</v>
      </c>
      <c r="C2337" s="2" t="s">
        <v>174</v>
      </c>
      <c r="D2337" s="8">
        <v>-26.88</v>
      </c>
      <c r="E2337" s="8">
        <f>E2336+(0-26.88)</f>
        <v>12590161.269999811</v>
      </c>
    </row>
    <row r="2338" spans="1:5" x14ac:dyDescent="0.25">
      <c r="A2338" s="2" t="s">
        <v>38</v>
      </c>
      <c r="B2338" s="6">
        <v>45063</v>
      </c>
      <c r="C2338" s="2" t="s">
        <v>174</v>
      </c>
      <c r="D2338" s="8">
        <v>-350</v>
      </c>
      <c r="E2338" s="8">
        <f>E2337+(0-350)</f>
        <v>12589811.269999811</v>
      </c>
    </row>
    <row r="2339" spans="1:5" x14ac:dyDescent="0.25">
      <c r="A2339" s="2" t="s">
        <v>38</v>
      </c>
      <c r="B2339" s="6">
        <v>45064</v>
      </c>
      <c r="C2339" s="2" t="s">
        <v>17</v>
      </c>
      <c r="D2339" s="8">
        <v>-84</v>
      </c>
      <c r="E2339" s="8">
        <f>E2338+(0-84)</f>
        <v>12589727.269999811</v>
      </c>
    </row>
    <row r="2340" spans="1:5" x14ac:dyDescent="0.25">
      <c r="A2340" s="2" t="s">
        <v>38</v>
      </c>
      <c r="B2340" s="6">
        <v>45064</v>
      </c>
      <c r="C2340" s="2" t="s">
        <v>17</v>
      </c>
      <c r="D2340" s="8">
        <v>-36</v>
      </c>
      <c r="E2340" s="8">
        <f>E2339+(0-36)</f>
        <v>12589691.269999811</v>
      </c>
    </row>
    <row r="2341" spans="1:5" x14ac:dyDescent="0.25">
      <c r="A2341" s="2" t="s">
        <v>38</v>
      </c>
      <c r="B2341" s="6">
        <v>45064</v>
      </c>
      <c r="C2341" s="2" t="s">
        <v>174</v>
      </c>
      <c r="D2341" s="8">
        <v>-53.75</v>
      </c>
      <c r="E2341" s="8">
        <f>E2340+(0-53.75)</f>
        <v>12589637.519999811</v>
      </c>
    </row>
    <row r="2342" spans="1:5" x14ac:dyDescent="0.25">
      <c r="A2342" s="2" t="s">
        <v>38</v>
      </c>
      <c r="B2342" s="6">
        <v>45064</v>
      </c>
      <c r="C2342" s="2" t="s">
        <v>174</v>
      </c>
      <c r="D2342" s="8">
        <v>-450</v>
      </c>
      <c r="E2342" s="8">
        <f>E2341+(0-450)</f>
        <v>12589187.519999811</v>
      </c>
    </row>
    <row r="2343" spans="1:5" x14ac:dyDescent="0.25">
      <c r="A2343" s="2" t="s">
        <v>38</v>
      </c>
      <c r="B2343" s="6">
        <v>45065</v>
      </c>
      <c r="C2343" s="2" t="s">
        <v>174</v>
      </c>
      <c r="D2343" s="8">
        <v>-50</v>
      </c>
      <c r="E2343" s="8">
        <f>E2342+(0-50)</f>
        <v>12589137.519999811</v>
      </c>
    </row>
    <row r="2344" spans="1:5" x14ac:dyDescent="0.25">
      <c r="A2344" s="2" t="s">
        <v>38</v>
      </c>
      <c r="B2344" s="6">
        <v>45065</v>
      </c>
      <c r="C2344" s="2" t="s">
        <v>174</v>
      </c>
      <c r="D2344" s="8">
        <v>-50</v>
      </c>
      <c r="E2344" s="8">
        <f>E2343+(0-50)</f>
        <v>12589087.519999811</v>
      </c>
    </row>
    <row r="2345" spans="1:5" x14ac:dyDescent="0.25">
      <c r="A2345" s="2" t="s">
        <v>38</v>
      </c>
      <c r="B2345" s="6">
        <v>45065</v>
      </c>
      <c r="C2345" s="2" t="s">
        <v>174</v>
      </c>
      <c r="D2345" s="8">
        <v>-26.88</v>
      </c>
      <c r="E2345" s="8">
        <f>E2344+(0-26.88)</f>
        <v>12589060.639999811</v>
      </c>
    </row>
    <row r="2346" spans="1:5" x14ac:dyDescent="0.25">
      <c r="A2346" s="2" t="s">
        <v>38</v>
      </c>
      <c r="B2346" s="6">
        <v>45065</v>
      </c>
      <c r="C2346" s="2" t="s">
        <v>174</v>
      </c>
      <c r="D2346" s="8">
        <v>-53.75</v>
      </c>
      <c r="E2346" s="8">
        <f>E2345+(0-53.75)</f>
        <v>12589006.889999811</v>
      </c>
    </row>
    <row r="2347" spans="1:5" x14ac:dyDescent="0.25">
      <c r="A2347" s="2" t="s">
        <v>38</v>
      </c>
      <c r="B2347" s="6">
        <v>45065</v>
      </c>
      <c r="C2347" s="2" t="s">
        <v>174</v>
      </c>
      <c r="D2347" s="8">
        <v>-50</v>
      </c>
      <c r="E2347" s="8">
        <f>E2346+(0-50)</f>
        <v>12588956.889999811</v>
      </c>
    </row>
    <row r="2348" spans="1:5" x14ac:dyDescent="0.25">
      <c r="A2348" s="2" t="s">
        <v>38</v>
      </c>
      <c r="B2348" s="6">
        <v>45065</v>
      </c>
      <c r="C2348" s="2" t="s">
        <v>174</v>
      </c>
      <c r="D2348" s="8">
        <v>-53.75</v>
      </c>
      <c r="E2348" s="8">
        <f>E2347+(0-53.75)</f>
        <v>12588903.139999811</v>
      </c>
    </row>
    <row r="2349" spans="1:5" x14ac:dyDescent="0.25">
      <c r="A2349" s="2" t="s">
        <v>38</v>
      </c>
      <c r="B2349" s="6">
        <v>45065</v>
      </c>
      <c r="C2349" s="2" t="s">
        <v>174</v>
      </c>
      <c r="D2349" s="8">
        <v>-50</v>
      </c>
      <c r="E2349" s="8">
        <f>E2348+(0-50)</f>
        <v>12588853.139999811</v>
      </c>
    </row>
    <row r="2350" spans="1:5" x14ac:dyDescent="0.25">
      <c r="A2350" s="2" t="s">
        <v>38</v>
      </c>
      <c r="B2350" s="6">
        <v>45065</v>
      </c>
      <c r="C2350" s="2" t="s">
        <v>174</v>
      </c>
      <c r="D2350" s="8">
        <v>-450</v>
      </c>
      <c r="E2350" s="8">
        <f>E2349+(0-450)</f>
        <v>12588403.139999811</v>
      </c>
    </row>
    <row r="2351" spans="1:5" x14ac:dyDescent="0.25">
      <c r="A2351" s="2" t="s">
        <v>38</v>
      </c>
      <c r="B2351" s="6">
        <v>45068</v>
      </c>
      <c r="C2351" s="2" t="s">
        <v>17</v>
      </c>
      <c r="D2351" s="8">
        <v>-52</v>
      </c>
      <c r="E2351" s="8">
        <f>E2350+(0-52)</f>
        <v>12588351.139999811</v>
      </c>
    </row>
    <row r="2352" spans="1:5" x14ac:dyDescent="0.25">
      <c r="A2352" s="2" t="s">
        <v>38</v>
      </c>
      <c r="B2352" s="6">
        <v>45068</v>
      </c>
      <c r="C2352" s="2" t="s">
        <v>17</v>
      </c>
      <c r="D2352" s="8">
        <v>-96</v>
      </c>
      <c r="E2352" s="8">
        <f>E2351+(0-96)</f>
        <v>12588255.139999811</v>
      </c>
    </row>
    <row r="2353" spans="1:5" x14ac:dyDescent="0.25">
      <c r="A2353" s="2" t="s">
        <v>38</v>
      </c>
      <c r="B2353" s="6">
        <v>45068</v>
      </c>
      <c r="C2353" s="2" t="s">
        <v>174</v>
      </c>
      <c r="D2353" s="8">
        <v>-53.75</v>
      </c>
      <c r="E2353" s="8">
        <f>E2352+(0-53.75)</f>
        <v>12588201.389999811</v>
      </c>
    </row>
    <row r="2354" spans="1:5" x14ac:dyDescent="0.25">
      <c r="A2354" s="2" t="s">
        <v>38</v>
      </c>
      <c r="B2354" s="6">
        <v>45068</v>
      </c>
      <c r="C2354" s="2" t="s">
        <v>17</v>
      </c>
      <c r="D2354" s="8">
        <v>-16</v>
      </c>
      <c r="E2354" s="8">
        <f>E2353+(0-16)</f>
        <v>12588185.389999811</v>
      </c>
    </row>
    <row r="2355" spans="1:5" x14ac:dyDescent="0.25">
      <c r="A2355" s="2" t="s">
        <v>38</v>
      </c>
      <c r="B2355" s="6">
        <v>45068</v>
      </c>
      <c r="C2355" s="2" t="s">
        <v>174</v>
      </c>
      <c r="D2355" s="8">
        <v>-53.75</v>
      </c>
      <c r="E2355" s="8">
        <f>E2354+(0-53.75)</f>
        <v>12588131.639999811</v>
      </c>
    </row>
    <row r="2356" spans="1:5" x14ac:dyDescent="0.25">
      <c r="A2356" s="2" t="s">
        <v>38</v>
      </c>
      <c r="B2356" s="6">
        <v>45068</v>
      </c>
      <c r="C2356" s="2" t="s">
        <v>174</v>
      </c>
      <c r="D2356" s="8">
        <v>-26.88</v>
      </c>
      <c r="E2356" s="8">
        <f>E2355+(0-26.88)</f>
        <v>12588104.75999981</v>
      </c>
    </row>
    <row r="2357" spans="1:5" x14ac:dyDescent="0.25">
      <c r="A2357" s="2" t="s">
        <v>38</v>
      </c>
      <c r="B2357" s="6">
        <v>45068</v>
      </c>
      <c r="C2357" s="2" t="s">
        <v>174</v>
      </c>
      <c r="D2357" s="8">
        <v>-50</v>
      </c>
      <c r="E2357" s="8">
        <f>E2356+(0-50)</f>
        <v>12588054.75999981</v>
      </c>
    </row>
    <row r="2358" spans="1:5" x14ac:dyDescent="0.25">
      <c r="A2358" s="2" t="s">
        <v>38</v>
      </c>
      <c r="B2358" s="6">
        <v>45068</v>
      </c>
      <c r="C2358" s="2" t="s">
        <v>174</v>
      </c>
      <c r="D2358" s="8">
        <v>-400</v>
      </c>
      <c r="E2358" s="8">
        <f>E2357+(0-400)</f>
        <v>12587654.75999981</v>
      </c>
    </row>
    <row r="2359" spans="1:5" x14ac:dyDescent="0.25">
      <c r="A2359" s="2" t="s">
        <v>38</v>
      </c>
      <c r="B2359" s="6">
        <v>45069</v>
      </c>
      <c r="C2359" s="2" t="s">
        <v>174</v>
      </c>
      <c r="D2359" s="8">
        <v>-53.75</v>
      </c>
      <c r="E2359" s="8">
        <f>E2358+(0-53.75)</f>
        <v>12587601.00999981</v>
      </c>
    </row>
    <row r="2360" spans="1:5" x14ac:dyDescent="0.25">
      <c r="A2360" s="2" t="s">
        <v>38</v>
      </c>
      <c r="B2360" s="6">
        <v>45069</v>
      </c>
      <c r="C2360" s="2" t="s">
        <v>174</v>
      </c>
      <c r="D2360" s="8">
        <v>-26.88</v>
      </c>
      <c r="E2360" s="8">
        <f>E2359+(0-26.88)</f>
        <v>12587574.129999809</v>
      </c>
    </row>
    <row r="2361" spans="1:5" x14ac:dyDescent="0.25">
      <c r="A2361" s="2" t="s">
        <v>38</v>
      </c>
      <c r="B2361" s="6">
        <v>45069</v>
      </c>
      <c r="C2361" s="2" t="s">
        <v>174</v>
      </c>
      <c r="D2361" s="8">
        <v>-300</v>
      </c>
      <c r="E2361" s="8">
        <f>E2360+(0-300)</f>
        <v>12587274.129999809</v>
      </c>
    </row>
    <row r="2362" spans="1:5" x14ac:dyDescent="0.25">
      <c r="A2362" s="2" t="s">
        <v>38</v>
      </c>
      <c r="B2362" s="6">
        <v>45070</v>
      </c>
      <c r="C2362" s="2" t="s">
        <v>17</v>
      </c>
      <c r="D2362" s="8">
        <v>-44</v>
      </c>
      <c r="E2362" s="8">
        <f>E2361+(0-44)</f>
        <v>12587230.129999809</v>
      </c>
    </row>
    <row r="2363" spans="1:5" x14ac:dyDescent="0.25">
      <c r="A2363" s="2" t="s">
        <v>38</v>
      </c>
      <c r="B2363" s="6">
        <v>45070</v>
      </c>
      <c r="C2363" s="2" t="s">
        <v>17</v>
      </c>
      <c r="D2363" s="8">
        <v>-44</v>
      </c>
      <c r="E2363" s="8">
        <f>E2362+(0-44)</f>
        <v>12587186.129999809</v>
      </c>
    </row>
    <row r="2364" spans="1:5" x14ac:dyDescent="0.25">
      <c r="A2364" s="2" t="s">
        <v>38</v>
      </c>
      <c r="B2364" s="6">
        <v>45070</v>
      </c>
      <c r="C2364" s="2" t="s">
        <v>174</v>
      </c>
      <c r="D2364" s="8">
        <v>-10.75</v>
      </c>
      <c r="E2364" s="8">
        <f>E2363+(0-10.75)</f>
        <v>12587175.379999809</v>
      </c>
    </row>
    <row r="2365" spans="1:5" x14ac:dyDescent="0.25">
      <c r="A2365" s="2" t="s">
        <v>38</v>
      </c>
      <c r="B2365" s="6">
        <v>45070</v>
      </c>
      <c r="C2365" s="2" t="s">
        <v>174</v>
      </c>
      <c r="D2365" s="8">
        <v>-26.88</v>
      </c>
      <c r="E2365" s="8">
        <f>E2364+(0-26.88)</f>
        <v>12587148.499999808</v>
      </c>
    </row>
    <row r="2366" spans="1:5" x14ac:dyDescent="0.25">
      <c r="A2366" s="2" t="s">
        <v>38</v>
      </c>
      <c r="B2366" s="6">
        <v>45070</v>
      </c>
      <c r="C2366" s="2" t="s">
        <v>174</v>
      </c>
      <c r="D2366" s="8">
        <v>-26.88</v>
      </c>
      <c r="E2366" s="8">
        <f>E2365+(0-26.88)</f>
        <v>12587121.619999807</v>
      </c>
    </row>
    <row r="2367" spans="1:5" x14ac:dyDescent="0.25">
      <c r="A2367" s="2" t="s">
        <v>38</v>
      </c>
      <c r="B2367" s="6">
        <v>45070</v>
      </c>
      <c r="C2367" s="2" t="s">
        <v>174</v>
      </c>
      <c r="D2367" s="8">
        <v>-26.88</v>
      </c>
      <c r="E2367" s="8">
        <f>E2366+(0-26.88)</f>
        <v>12587094.739999807</v>
      </c>
    </row>
    <row r="2368" spans="1:5" x14ac:dyDescent="0.25">
      <c r="A2368" s="2" t="s">
        <v>38</v>
      </c>
      <c r="B2368" s="6">
        <v>45070</v>
      </c>
      <c r="C2368" s="2" t="s">
        <v>174</v>
      </c>
      <c r="D2368" s="8">
        <v>-26.88</v>
      </c>
      <c r="E2368" s="8">
        <f>E2367+(0-26.88)</f>
        <v>12587067.859999806</v>
      </c>
    </row>
    <row r="2369" spans="1:5" x14ac:dyDescent="0.25">
      <c r="A2369" s="2" t="s">
        <v>38</v>
      </c>
      <c r="B2369" s="6">
        <v>45070</v>
      </c>
      <c r="C2369" s="2" t="s">
        <v>174</v>
      </c>
      <c r="D2369" s="8">
        <v>-26.88</v>
      </c>
      <c r="E2369" s="8">
        <f>E2368+(0-26.88)</f>
        <v>12587040.979999805</v>
      </c>
    </row>
    <row r="2370" spans="1:5" x14ac:dyDescent="0.25">
      <c r="A2370" s="2" t="s">
        <v>38</v>
      </c>
      <c r="B2370" s="6">
        <v>45070</v>
      </c>
      <c r="C2370" s="2" t="s">
        <v>174</v>
      </c>
      <c r="D2370" s="8">
        <v>-550</v>
      </c>
      <c r="E2370" s="8">
        <f>E2369+(0-550)</f>
        <v>12586490.979999805</v>
      </c>
    </row>
    <row r="2371" spans="1:5" x14ac:dyDescent="0.25">
      <c r="A2371" s="2" t="s">
        <v>38</v>
      </c>
      <c r="B2371" s="6">
        <v>45071</v>
      </c>
      <c r="C2371" s="2" t="s">
        <v>17</v>
      </c>
      <c r="D2371" s="8">
        <v>-124</v>
      </c>
      <c r="E2371" s="8">
        <f>E2370+(0-124)</f>
        <v>12586366.979999805</v>
      </c>
    </row>
    <row r="2372" spans="1:5" x14ac:dyDescent="0.25">
      <c r="A2372" s="2" t="s">
        <v>38</v>
      </c>
      <c r="B2372" s="6">
        <v>45071</v>
      </c>
      <c r="C2372" s="2" t="s">
        <v>53</v>
      </c>
      <c r="D2372" s="8">
        <v>-250</v>
      </c>
      <c r="E2372" s="8">
        <f>E2371+(0-250)</f>
        <v>12586116.979999805</v>
      </c>
    </row>
    <row r="2373" spans="1:5" x14ac:dyDescent="0.25">
      <c r="A2373" s="2" t="s">
        <v>38</v>
      </c>
      <c r="B2373" s="6">
        <v>45072</v>
      </c>
      <c r="C2373" s="2" t="s">
        <v>53</v>
      </c>
      <c r="D2373" s="8">
        <v>-26.88</v>
      </c>
      <c r="E2373" s="8">
        <f>E2372+(0-26.88)</f>
        <v>12586090.099999804</v>
      </c>
    </row>
    <row r="2374" spans="1:5" x14ac:dyDescent="0.25">
      <c r="A2374" s="2" t="s">
        <v>38</v>
      </c>
      <c r="B2374" s="6">
        <v>45072</v>
      </c>
      <c r="C2374" s="2" t="s">
        <v>53</v>
      </c>
      <c r="D2374" s="8">
        <v>-26.88</v>
      </c>
      <c r="E2374" s="8">
        <f>E2373+(0-26.88)</f>
        <v>12586063.219999803</v>
      </c>
    </row>
    <row r="2375" spans="1:5" x14ac:dyDescent="0.25">
      <c r="A2375" s="2" t="s">
        <v>38</v>
      </c>
      <c r="B2375" s="6">
        <v>45072</v>
      </c>
      <c r="C2375" s="2" t="s">
        <v>53</v>
      </c>
      <c r="D2375" s="8">
        <v>-53.75</v>
      </c>
      <c r="E2375" s="8">
        <f>E2374+(0-53.75)</f>
        <v>12586009.469999803</v>
      </c>
    </row>
    <row r="2376" spans="1:5" x14ac:dyDescent="0.25">
      <c r="A2376" s="2" t="s">
        <v>38</v>
      </c>
      <c r="B2376" s="6">
        <v>45072</v>
      </c>
      <c r="C2376" s="2" t="s">
        <v>53</v>
      </c>
      <c r="D2376" s="8">
        <v>-53.75</v>
      </c>
      <c r="E2376" s="8">
        <f>E2375+(0-53.75)</f>
        <v>12585955.719999803</v>
      </c>
    </row>
    <row r="2377" spans="1:5" x14ac:dyDescent="0.25">
      <c r="A2377" s="2" t="s">
        <v>38</v>
      </c>
      <c r="B2377" s="6">
        <v>45072</v>
      </c>
      <c r="C2377" s="2" t="s">
        <v>53</v>
      </c>
      <c r="D2377" s="8">
        <v>-26.88</v>
      </c>
      <c r="E2377" s="8">
        <f>E2376+(0-26.88)</f>
        <v>12585928.839999802</v>
      </c>
    </row>
    <row r="2378" spans="1:5" x14ac:dyDescent="0.25">
      <c r="A2378" s="2" t="s">
        <v>38</v>
      </c>
      <c r="B2378" s="6">
        <v>45072</v>
      </c>
      <c r="C2378" s="2" t="s">
        <v>53</v>
      </c>
      <c r="D2378" s="8">
        <v>-53.75</v>
      </c>
      <c r="E2378" s="8">
        <f>E2377+(0-53.75)</f>
        <v>12585875.089999802</v>
      </c>
    </row>
    <row r="2379" spans="1:5" x14ac:dyDescent="0.25">
      <c r="A2379" s="2" t="s">
        <v>38</v>
      </c>
      <c r="B2379" s="6">
        <v>45072</v>
      </c>
      <c r="C2379" s="2" t="s">
        <v>53</v>
      </c>
      <c r="D2379" s="8">
        <v>-26.88</v>
      </c>
      <c r="E2379" s="8">
        <f>E2378+(0-26.88)</f>
        <v>12585848.209999802</v>
      </c>
    </row>
    <row r="2380" spans="1:5" x14ac:dyDescent="0.25">
      <c r="A2380" s="2" t="s">
        <v>38</v>
      </c>
      <c r="B2380" s="6">
        <v>45072</v>
      </c>
      <c r="C2380" s="2" t="s">
        <v>53</v>
      </c>
      <c r="D2380" s="8">
        <v>-50</v>
      </c>
      <c r="E2380" s="8">
        <f>E2379+(0-50)</f>
        <v>12585798.209999802</v>
      </c>
    </row>
    <row r="2381" spans="1:5" x14ac:dyDescent="0.25">
      <c r="A2381" s="2" t="s">
        <v>38</v>
      </c>
      <c r="B2381" s="6">
        <v>45072</v>
      </c>
      <c r="C2381" s="2" t="s">
        <v>53</v>
      </c>
      <c r="D2381" s="8">
        <v>-50</v>
      </c>
      <c r="E2381" s="8">
        <f>E2380+(0-50)</f>
        <v>12585748.209999802</v>
      </c>
    </row>
    <row r="2382" spans="1:5" x14ac:dyDescent="0.25">
      <c r="A2382" s="2" t="s">
        <v>38</v>
      </c>
      <c r="B2382" s="6">
        <v>45072</v>
      </c>
      <c r="C2382" s="2" t="s">
        <v>53</v>
      </c>
      <c r="D2382" s="8">
        <v>-50</v>
      </c>
      <c r="E2382" s="8">
        <f>E2381+(0-50)</f>
        <v>12585698.209999802</v>
      </c>
    </row>
    <row r="2383" spans="1:5" x14ac:dyDescent="0.25">
      <c r="A2383" s="2" t="s">
        <v>38</v>
      </c>
      <c r="B2383" s="6">
        <v>45072</v>
      </c>
      <c r="C2383" s="2" t="s">
        <v>53</v>
      </c>
      <c r="D2383" s="8">
        <v>-50</v>
      </c>
      <c r="E2383" s="8">
        <f>E2382+(0-50)</f>
        <v>12585648.209999802</v>
      </c>
    </row>
    <row r="2384" spans="1:5" x14ac:dyDescent="0.25">
      <c r="A2384" s="2" t="s">
        <v>38</v>
      </c>
      <c r="B2384" s="6">
        <v>45072</v>
      </c>
      <c r="C2384" s="2" t="s">
        <v>53</v>
      </c>
      <c r="D2384" s="8">
        <v>-350</v>
      </c>
      <c r="E2384" s="8">
        <f>E2383+(0-350)</f>
        <v>12585298.209999802</v>
      </c>
    </row>
    <row r="2385" spans="1:5" x14ac:dyDescent="0.25">
      <c r="A2385" s="2" t="s">
        <v>38</v>
      </c>
      <c r="B2385" s="6">
        <v>45076</v>
      </c>
      <c r="C2385" s="2" t="s">
        <v>19</v>
      </c>
      <c r="D2385" s="8">
        <v>-24</v>
      </c>
      <c r="E2385" s="8">
        <f>E2384+(0-24)</f>
        <v>12585274.209999802</v>
      </c>
    </row>
    <row r="2386" spans="1:5" x14ac:dyDescent="0.25">
      <c r="A2386" s="2" t="s">
        <v>38</v>
      </c>
      <c r="B2386" s="6">
        <v>45076</v>
      </c>
      <c r="C2386" s="2" t="s">
        <v>53</v>
      </c>
      <c r="D2386" s="8">
        <v>-26.88</v>
      </c>
      <c r="E2386" s="8">
        <f>E2385+(0-26.88)</f>
        <v>12585247.329999801</v>
      </c>
    </row>
    <row r="2387" spans="1:5" x14ac:dyDescent="0.25">
      <c r="A2387" s="2" t="s">
        <v>38</v>
      </c>
      <c r="B2387" s="6">
        <v>45076</v>
      </c>
      <c r="C2387" s="2" t="s">
        <v>19</v>
      </c>
      <c r="D2387" s="8">
        <v>-108</v>
      </c>
      <c r="E2387" s="8">
        <f>E2386+(0-108)</f>
        <v>12585139.329999801</v>
      </c>
    </row>
    <row r="2388" spans="1:5" x14ac:dyDescent="0.25">
      <c r="A2388" s="2" t="s">
        <v>38</v>
      </c>
      <c r="B2388" s="6">
        <v>45076</v>
      </c>
      <c r="C2388" s="2" t="s">
        <v>19</v>
      </c>
      <c r="D2388" s="8">
        <v>-12</v>
      </c>
      <c r="E2388" s="8">
        <f>E2387+(0-12)</f>
        <v>12585127.329999801</v>
      </c>
    </row>
    <row r="2389" spans="1:5" x14ac:dyDescent="0.25">
      <c r="A2389" s="2" t="s">
        <v>38</v>
      </c>
      <c r="B2389" s="6">
        <v>45076</v>
      </c>
      <c r="C2389" s="2" t="s">
        <v>53</v>
      </c>
      <c r="D2389" s="8">
        <v>-53.75</v>
      </c>
      <c r="E2389" s="8">
        <f>E2388+(0-53.75)</f>
        <v>12585073.579999801</v>
      </c>
    </row>
    <row r="2390" spans="1:5" x14ac:dyDescent="0.25">
      <c r="A2390" s="2" t="s">
        <v>38</v>
      </c>
      <c r="B2390" s="6">
        <v>45076</v>
      </c>
      <c r="C2390" s="2" t="s">
        <v>19</v>
      </c>
      <c r="D2390" s="8">
        <v>-4</v>
      </c>
      <c r="E2390" s="8">
        <f>E2389+(0-4)</f>
        <v>12585069.579999801</v>
      </c>
    </row>
    <row r="2391" spans="1:5" x14ac:dyDescent="0.25">
      <c r="A2391" s="2" t="s">
        <v>38</v>
      </c>
      <c r="B2391" s="6">
        <v>45076</v>
      </c>
      <c r="C2391" s="2" t="s">
        <v>19</v>
      </c>
      <c r="D2391" s="8">
        <v>-12</v>
      </c>
      <c r="E2391" s="8">
        <f>E2390+(0-12)</f>
        <v>12585057.579999801</v>
      </c>
    </row>
    <row r="2392" spans="1:5" x14ac:dyDescent="0.25">
      <c r="A2392" s="2" t="s">
        <v>38</v>
      </c>
      <c r="B2392" s="6">
        <v>45076</v>
      </c>
      <c r="C2392" s="2" t="s">
        <v>53</v>
      </c>
      <c r="D2392" s="8">
        <v>-53.75</v>
      </c>
      <c r="E2392" s="8">
        <f>E2391+(0-53.75)</f>
        <v>12585003.829999801</v>
      </c>
    </row>
    <row r="2393" spans="1:5" x14ac:dyDescent="0.25">
      <c r="A2393" s="2" t="s">
        <v>38</v>
      </c>
      <c r="B2393" s="6">
        <v>45076</v>
      </c>
      <c r="C2393" s="2" t="s">
        <v>53</v>
      </c>
      <c r="D2393" s="8">
        <v>-26.88</v>
      </c>
      <c r="E2393" s="8">
        <f>E2392+(0-26.88)</f>
        <v>12584976.9499998</v>
      </c>
    </row>
    <row r="2394" spans="1:5" x14ac:dyDescent="0.25">
      <c r="A2394" s="2" t="s">
        <v>38</v>
      </c>
      <c r="B2394" s="6">
        <v>45076</v>
      </c>
      <c r="C2394" s="2" t="s">
        <v>53</v>
      </c>
      <c r="D2394" s="8">
        <v>-53.75</v>
      </c>
      <c r="E2394" s="8">
        <f>E2393+(0-53.75)</f>
        <v>12584923.1999998</v>
      </c>
    </row>
    <row r="2395" spans="1:5" x14ac:dyDescent="0.25">
      <c r="A2395" s="2" t="s">
        <v>38</v>
      </c>
      <c r="B2395" s="6">
        <v>45076</v>
      </c>
      <c r="C2395" s="2" t="s">
        <v>53</v>
      </c>
      <c r="D2395" s="8">
        <v>-800</v>
      </c>
      <c r="E2395" s="8">
        <f>E2394+(0-800)</f>
        <v>12584123.1999998</v>
      </c>
    </row>
    <row r="2396" spans="1:5" x14ac:dyDescent="0.25">
      <c r="A2396" s="2" t="s">
        <v>38</v>
      </c>
      <c r="B2396" s="6">
        <v>45076</v>
      </c>
      <c r="C2396" s="2" t="s">
        <v>53</v>
      </c>
      <c r="D2396" s="8">
        <v>-50</v>
      </c>
      <c r="E2396" s="8">
        <f>E2395+(0-50)</f>
        <v>12584073.1999998</v>
      </c>
    </row>
    <row r="2397" spans="1:5" x14ac:dyDescent="0.25">
      <c r="A2397" s="2" t="s">
        <v>38</v>
      </c>
      <c r="B2397" s="6">
        <v>45077</v>
      </c>
      <c r="C2397" s="2" t="s">
        <v>53</v>
      </c>
      <c r="D2397" s="8">
        <v>-53.75</v>
      </c>
      <c r="E2397" s="8">
        <f>E2396+(0-53.75)</f>
        <v>12584019.4499998</v>
      </c>
    </row>
    <row r="2398" spans="1:5" x14ac:dyDescent="0.25">
      <c r="A2398" s="2" t="s">
        <v>38</v>
      </c>
      <c r="B2398" s="6">
        <v>45077</v>
      </c>
      <c r="C2398" s="2" t="s">
        <v>53</v>
      </c>
      <c r="D2398" s="8">
        <v>-50</v>
      </c>
      <c r="E2398" s="8">
        <f>E2397+(0-50)</f>
        <v>12583969.4499998</v>
      </c>
    </row>
    <row r="2399" spans="1:5" x14ac:dyDescent="0.25">
      <c r="A2399" s="2" t="s">
        <v>38</v>
      </c>
      <c r="B2399" s="6">
        <v>45077</v>
      </c>
      <c r="C2399" s="2" t="s">
        <v>53</v>
      </c>
      <c r="D2399" s="8">
        <v>-450</v>
      </c>
      <c r="E2399" s="8">
        <f>E2398+(0-450)</f>
        <v>12583519.4499998</v>
      </c>
    </row>
    <row r="2400" spans="1:5" x14ac:dyDescent="0.25">
      <c r="A2400" s="2" t="s">
        <v>38</v>
      </c>
      <c r="B2400" s="6">
        <v>45078</v>
      </c>
      <c r="C2400" s="2" t="s">
        <v>53</v>
      </c>
      <c r="D2400" s="8">
        <v>-50</v>
      </c>
      <c r="E2400" s="8">
        <f>E2399+(0-50)</f>
        <v>12583469.4499998</v>
      </c>
    </row>
    <row r="2401" spans="1:5" x14ac:dyDescent="0.25">
      <c r="A2401" s="2" t="s">
        <v>38</v>
      </c>
      <c r="B2401" s="6">
        <v>45078</v>
      </c>
      <c r="C2401" s="2" t="s">
        <v>53</v>
      </c>
      <c r="D2401" s="8">
        <v>-300</v>
      </c>
      <c r="E2401" s="8">
        <f>E2400+(0-300)</f>
        <v>12583169.4499998</v>
      </c>
    </row>
    <row r="2402" spans="1:5" x14ac:dyDescent="0.25">
      <c r="A2402" s="2" t="s">
        <v>38</v>
      </c>
      <c r="B2402" s="6">
        <v>45078</v>
      </c>
      <c r="C2402" s="2" t="s">
        <v>19</v>
      </c>
      <c r="D2402" s="8">
        <v>-60</v>
      </c>
      <c r="E2402" s="8">
        <f>E2401+(0-60)</f>
        <v>12583109.4499998</v>
      </c>
    </row>
    <row r="2403" spans="1:5" x14ac:dyDescent="0.25">
      <c r="A2403" s="2" t="s">
        <v>38</v>
      </c>
      <c r="B2403" s="6">
        <v>45082</v>
      </c>
      <c r="C2403" s="2" t="s">
        <v>19</v>
      </c>
      <c r="D2403" s="8">
        <v>-112</v>
      </c>
      <c r="E2403" s="8">
        <f>E2402+(0-112)</f>
        <v>12582997.4499998</v>
      </c>
    </row>
    <row r="2404" spans="1:5" x14ac:dyDescent="0.25">
      <c r="A2404" s="2" t="s">
        <v>38</v>
      </c>
      <c r="B2404" s="6">
        <v>45104</v>
      </c>
      <c r="C2404" s="2" t="s">
        <v>53</v>
      </c>
      <c r="D2404" s="8">
        <v>-53.75</v>
      </c>
      <c r="E2404" s="8">
        <f>E2403+(0-53.75)</f>
        <v>12582943.6999998</v>
      </c>
    </row>
    <row r="2405" spans="1:5" x14ac:dyDescent="0.25">
      <c r="A2405" s="2" t="s">
        <v>38</v>
      </c>
      <c r="B2405" s="6">
        <v>45104</v>
      </c>
      <c r="C2405" s="2" t="s">
        <v>53</v>
      </c>
      <c r="D2405" s="8">
        <v>-53.75</v>
      </c>
      <c r="E2405" s="8">
        <f>E2404+(0-53.75)</f>
        <v>12582889.9499998</v>
      </c>
    </row>
    <row r="2406" spans="1:5" x14ac:dyDescent="0.25">
      <c r="A2406" s="2" t="s">
        <v>38</v>
      </c>
      <c r="B2406" s="6">
        <v>45104</v>
      </c>
      <c r="C2406" s="2" t="s">
        <v>53</v>
      </c>
      <c r="D2406" s="8">
        <v>-53.75</v>
      </c>
      <c r="E2406" s="8">
        <f>E2405+(0-53.75)</f>
        <v>12582836.1999998</v>
      </c>
    </row>
    <row r="2407" spans="1:5" x14ac:dyDescent="0.25">
      <c r="A2407" s="2" t="s">
        <v>38</v>
      </c>
      <c r="B2407" s="6">
        <v>45104</v>
      </c>
      <c r="C2407" s="2" t="s">
        <v>53</v>
      </c>
      <c r="D2407" s="8">
        <v>-53.75</v>
      </c>
      <c r="E2407" s="8">
        <f>E2406+(0-53.75)</f>
        <v>12582782.4499998</v>
      </c>
    </row>
    <row r="2408" spans="1:5" x14ac:dyDescent="0.25">
      <c r="A2408" s="2" t="s">
        <v>38</v>
      </c>
      <c r="B2408" s="6">
        <v>45104</v>
      </c>
      <c r="C2408" s="2" t="s">
        <v>53</v>
      </c>
      <c r="D2408" s="8">
        <v>-26.88</v>
      </c>
      <c r="E2408" s="8">
        <f>E2407+(0-26.88)</f>
        <v>12582755.569999799</v>
      </c>
    </row>
    <row r="2409" spans="1:5" x14ac:dyDescent="0.25">
      <c r="A2409" s="2" t="s">
        <v>38</v>
      </c>
      <c r="B2409" s="6">
        <v>45104</v>
      </c>
      <c r="C2409" s="2" t="s">
        <v>53</v>
      </c>
      <c r="D2409" s="8">
        <v>-26.88</v>
      </c>
      <c r="E2409" s="8">
        <f>E2408+(0-26.88)</f>
        <v>12582728.689999798</v>
      </c>
    </row>
    <row r="2410" spans="1:5" x14ac:dyDescent="0.25">
      <c r="A2410" s="2" t="s">
        <v>38</v>
      </c>
      <c r="B2410" s="6">
        <v>45104</v>
      </c>
      <c r="C2410" s="2" t="s">
        <v>53</v>
      </c>
      <c r="D2410" s="8">
        <v>-53.75</v>
      </c>
      <c r="E2410" s="8">
        <f>E2409+(0-53.75)</f>
        <v>12582674.939999798</v>
      </c>
    </row>
    <row r="2411" spans="1:5" x14ac:dyDescent="0.25">
      <c r="A2411" s="2" t="s">
        <v>38</v>
      </c>
      <c r="B2411" s="6">
        <v>45104</v>
      </c>
      <c r="C2411" s="2" t="s">
        <v>53</v>
      </c>
      <c r="D2411" s="8">
        <v>-53.75</v>
      </c>
      <c r="E2411" s="8">
        <f>E2410+(0-53.75)</f>
        <v>12582621.189999798</v>
      </c>
    </row>
    <row r="2412" spans="1:5" x14ac:dyDescent="0.25">
      <c r="A2412" s="2" t="s">
        <v>38</v>
      </c>
      <c r="B2412" s="6">
        <v>45104</v>
      </c>
      <c r="C2412" s="2" t="s">
        <v>53</v>
      </c>
      <c r="D2412" s="8">
        <v>-26.88</v>
      </c>
      <c r="E2412" s="8">
        <f>E2411+(0-26.88)</f>
        <v>12582594.309999797</v>
      </c>
    </row>
    <row r="2413" spans="1:5" x14ac:dyDescent="0.25">
      <c r="A2413" s="2" t="s">
        <v>38</v>
      </c>
      <c r="B2413" s="6">
        <v>45104</v>
      </c>
      <c r="C2413" s="2" t="s">
        <v>53</v>
      </c>
      <c r="D2413" s="8">
        <v>-250</v>
      </c>
      <c r="E2413" s="8">
        <f>E2412+(0-250)</f>
        <v>12582344.309999797</v>
      </c>
    </row>
    <row r="2414" spans="1:5" x14ac:dyDescent="0.25">
      <c r="A2414" s="2" t="s">
        <v>38</v>
      </c>
      <c r="B2414" s="6">
        <v>45107</v>
      </c>
      <c r="C2414" s="2" t="s">
        <v>53</v>
      </c>
      <c r="D2414" s="8">
        <v>-26.88</v>
      </c>
      <c r="E2414" s="8">
        <f>E2413+(0-26.88)</f>
        <v>12582317.429999797</v>
      </c>
    </row>
    <row r="2415" spans="1:5" x14ac:dyDescent="0.25">
      <c r="A2415" s="2" t="s">
        <v>38</v>
      </c>
      <c r="B2415" s="6">
        <v>45107</v>
      </c>
      <c r="C2415" s="2" t="s">
        <v>53</v>
      </c>
      <c r="D2415" s="8">
        <v>-550</v>
      </c>
      <c r="E2415" s="8">
        <f>E2414+(0-550)</f>
        <v>12581767.429999797</v>
      </c>
    </row>
    <row r="2416" spans="1:5" x14ac:dyDescent="0.25">
      <c r="A2416" s="2" t="s">
        <v>38</v>
      </c>
      <c r="B2416" s="6">
        <v>45107</v>
      </c>
      <c r="C2416" s="2" t="s">
        <v>53</v>
      </c>
      <c r="D2416" s="8">
        <v>-150</v>
      </c>
      <c r="E2416" s="8">
        <f>E2415+(0-150)</f>
        <v>12581617.429999797</v>
      </c>
    </row>
    <row r="2417" spans="1:5" x14ac:dyDescent="0.25">
      <c r="A2417" s="2" t="s">
        <v>38</v>
      </c>
      <c r="B2417" s="6">
        <v>45107</v>
      </c>
      <c r="C2417" s="2" t="s">
        <v>53</v>
      </c>
      <c r="D2417" s="8">
        <v>-50</v>
      </c>
      <c r="E2417" s="8">
        <f>E2416+(0-50)</f>
        <v>12581567.429999797</v>
      </c>
    </row>
    <row r="2418" spans="1:5" x14ac:dyDescent="0.25">
      <c r="A2418" s="2" t="s">
        <v>38</v>
      </c>
      <c r="B2418" s="6">
        <v>45110</v>
      </c>
      <c r="C2418" s="2" t="s">
        <v>53</v>
      </c>
      <c r="D2418" s="8">
        <v>-50</v>
      </c>
      <c r="E2418" s="8">
        <f>E2417+(0-50)</f>
        <v>12581517.429999797</v>
      </c>
    </row>
    <row r="2419" spans="1:5" x14ac:dyDescent="0.25">
      <c r="A2419" s="2" t="s">
        <v>38</v>
      </c>
      <c r="B2419" s="6">
        <v>45110</v>
      </c>
      <c r="C2419" s="2" t="s">
        <v>53</v>
      </c>
      <c r="D2419" s="8">
        <v>-50</v>
      </c>
      <c r="E2419" s="8">
        <f>E2418+(0-50)</f>
        <v>12581467.429999797</v>
      </c>
    </row>
    <row r="2420" spans="1:5" x14ac:dyDescent="0.25">
      <c r="A2420" s="2" t="s">
        <v>38</v>
      </c>
      <c r="B2420" s="6">
        <v>45110</v>
      </c>
      <c r="C2420" s="2" t="s">
        <v>53</v>
      </c>
      <c r="D2420" s="8">
        <v>-450</v>
      </c>
      <c r="E2420" s="8">
        <f>E2419+(0-450)</f>
        <v>12581017.429999797</v>
      </c>
    </row>
    <row r="2421" spans="1:5" x14ac:dyDescent="0.25">
      <c r="A2421" s="2" t="s">
        <v>38</v>
      </c>
      <c r="B2421" s="6">
        <v>45111</v>
      </c>
      <c r="C2421" s="2" t="s">
        <v>53</v>
      </c>
      <c r="D2421" s="8">
        <v>-53.75</v>
      </c>
      <c r="E2421" s="8">
        <f>E2420+(0-53.75)</f>
        <v>12580963.679999797</v>
      </c>
    </row>
    <row r="2422" spans="1:5" x14ac:dyDescent="0.25">
      <c r="A2422" s="2" t="s">
        <v>38</v>
      </c>
      <c r="B2422" s="6">
        <v>45111</v>
      </c>
      <c r="C2422" s="2" t="s">
        <v>53</v>
      </c>
      <c r="D2422" s="8">
        <v>-53.75</v>
      </c>
      <c r="E2422" s="8">
        <f>E2421+(0-53.75)</f>
        <v>12580909.929999797</v>
      </c>
    </row>
    <row r="2423" spans="1:5" x14ac:dyDescent="0.25">
      <c r="A2423" s="2" t="s">
        <v>38</v>
      </c>
      <c r="B2423" s="6">
        <v>45111</v>
      </c>
      <c r="C2423" s="2" t="s">
        <v>53</v>
      </c>
      <c r="D2423" s="8">
        <v>-26.88</v>
      </c>
      <c r="E2423" s="8">
        <f>E2422+(0-26.88)</f>
        <v>12580883.049999796</v>
      </c>
    </row>
    <row r="2424" spans="1:5" x14ac:dyDescent="0.25">
      <c r="A2424" s="2" t="s">
        <v>38</v>
      </c>
      <c r="B2424" s="6">
        <v>45111</v>
      </c>
      <c r="C2424" s="2" t="s">
        <v>53</v>
      </c>
      <c r="D2424" s="8">
        <v>-53.75</v>
      </c>
      <c r="E2424" s="8">
        <f>E2423+(0-53.75)</f>
        <v>12580829.299999796</v>
      </c>
    </row>
    <row r="2425" spans="1:5" x14ac:dyDescent="0.25">
      <c r="A2425" s="2" t="s">
        <v>38</v>
      </c>
      <c r="B2425" s="6">
        <v>45111</v>
      </c>
      <c r="C2425" s="2" t="s">
        <v>53</v>
      </c>
      <c r="D2425" s="8">
        <v>-50</v>
      </c>
      <c r="E2425" s="8">
        <f>E2424+(0-50)</f>
        <v>12580779.299999796</v>
      </c>
    </row>
    <row r="2426" spans="1:5" x14ac:dyDescent="0.25">
      <c r="A2426" s="2" t="s">
        <v>38</v>
      </c>
      <c r="B2426" s="6">
        <v>45111</v>
      </c>
      <c r="C2426" s="2" t="s">
        <v>53</v>
      </c>
      <c r="D2426" s="8">
        <v>-350</v>
      </c>
      <c r="E2426" s="8">
        <f>E2425+(0-350)</f>
        <v>12580429.299999796</v>
      </c>
    </row>
    <row r="2427" spans="1:5" x14ac:dyDescent="0.25">
      <c r="A2427" s="2" t="s">
        <v>38</v>
      </c>
      <c r="B2427" s="6">
        <v>45112</v>
      </c>
      <c r="C2427" s="2" t="s">
        <v>53</v>
      </c>
      <c r="D2427" s="8">
        <v>-53.75</v>
      </c>
      <c r="E2427" s="8">
        <f>E2426+(0-53.75)</f>
        <v>12580375.549999796</v>
      </c>
    </row>
    <row r="2428" spans="1:5" x14ac:dyDescent="0.25">
      <c r="A2428" s="2" t="s">
        <v>38</v>
      </c>
      <c r="B2428" s="6">
        <v>45112</v>
      </c>
      <c r="C2428" s="2" t="s">
        <v>53</v>
      </c>
      <c r="D2428" s="8">
        <v>-50</v>
      </c>
      <c r="E2428" s="8">
        <f>E2427+(0-50)</f>
        <v>12580325.549999796</v>
      </c>
    </row>
    <row r="2429" spans="1:5" x14ac:dyDescent="0.25">
      <c r="A2429" s="2" t="s">
        <v>38</v>
      </c>
      <c r="B2429" s="6">
        <v>45112</v>
      </c>
      <c r="C2429" s="2" t="s">
        <v>53</v>
      </c>
      <c r="D2429" s="8">
        <v>-50</v>
      </c>
      <c r="E2429" s="8">
        <f>E2428+(0-50)</f>
        <v>12580275.549999796</v>
      </c>
    </row>
    <row r="2430" spans="1:5" x14ac:dyDescent="0.25">
      <c r="A2430" s="2" t="s">
        <v>38</v>
      </c>
      <c r="B2430" s="6">
        <v>45112</v>
      </c>
      <c r="C2430" s="2" t="s">
        <v>53</v>
      </c>
      <c r="D2430" s="8">
        <v>-50</v>
      </c>
      <c r="E2430" s="8">
        <f>E2429+(0-50)</f>
        <v>12580225.549999796</v>
      </c>
    </row>
    <row r="2431" spans="1:5" x14ac:dyDescent="0.25">
      <c r="A2431" s="2" t="s">
        <v>38</v>
      </c>
      <c r="B2431" s="6">
        <v>45112</v>
      </c>
      <c r="C2431" s="2" t="s">
        <v>53</v>
      </c>
      <c r="D2431" s="8">
        <v>-50</v>
      </c>
      <c r="E2431" s="8">
        <f>E2430+(0-50)</f>
        <v>12580175.549999796</v>
      </c>
    </row>
    <row r="2432" spans="1:5" x14ac:dyDescent="0.25">
      <c r="A2432" s="2" t="s">
        <v>38</v>
      </c>
      <c r="B2432" s="6">
        <v>45112</v>
      </c>
      <c r="C2432" s="2" t="s">
        <v>53</v>
      </c>
      <c r="D2432" s="8">
        <v>-150</v>
      </c>
      <c r="E2432" s="8">
        <f>E2431+(0-150)</f>
        <v>12580025.549999796</v>
      </c>
    </row>
    <row r="2433" spans="1:5" x14ac:dyDescent="0.25">
      <c r="A2433" s="2" t="s">
        <v>38</v>
      </c>
      <c r="B2433" s="6">
        <v>45112</v>
      </c>
      <c r="C2433" s="2" t="s">
        <v>53</v>
      </c>
      <c r="D2433" s="8">
        <v>-50</v>
      </c>
      <c r="E2433" s="8">
        <f>E2432+(0-50)</f>
        <v>12579975.549999796</v>
      </c>
    </row>
    <row r="2434" spans="1:5" x14ac:dyDescent="0.25">
      <c r="A2434" s="2" t="s">
        <v>38</v>
      </c>
      <c r="B2434" s="6">
        <v>45113</v>
      </c>
      <c r="C2434" s="2" t="s">
        <v>53</v>
      </c>
      <c r="D2434" s="8">
        <v>-50</v>
      </c>
      <c r="E2434" s="8">
        <f>E2433+(0-50)</f>
        <v>12579925.549999796</v>
      </c>
    </row>
    <row r="2435" spans="1:5" x14ac:dyDescent="0.25">
      <c r="A2435" s="2" t="s">
        <v>38</v>
      </c>
      <c r="B2435" s="6">
        <v>45113</v>
      </c>
      <c r="C2435" s="2" t="s">
        <v>53</v>
      </c>
      <c r="D2435" s="8">
        <v>-50</v>
      </c>
      <c r="E2435" s="8">
        <f>E2434+(0-50)</f>
        <v>12579875.549999796</v>
      </c>
    </row>
    <row r="2436" spans="1:5" x14ac:dyDescent="0.25">
      <c r="A2436" s="2" t="s">
        <v>38</v>
      </c>
      <c r="B2436" s="6">
        <v>45113</v>
      </c>
      <c r="C2436" s="2" t="s">
        <v>53</v>
      </c>
      <c r="D2436" s="8">
        <v>-50</v>
      </c>
      <c r="E2436" s="8">
        <f>E2435+(0-50)</f>
        <v>12579825.549999796</v>
      </c>
    </row>
    <row r="2437" spans="1:5" x14ac:dyDescent="0.25">
      <c r="A2437" s="2" t="s">
        <v>38</v>
      </c>
      <c r="B2437" s="6">
        <v>45113</v>
      </c>
      <c r="C2437" s="2" t="s">
        <v>53</v>
      </c>
      <c r="D2437" s="8">
        <v>-26.88</v>
      </c>
      <c r="E2437" s="8">
        <f>E2436+(0-26.88)</f>
        <v>12579798.669999795</v>
      </c>
    </row>
    <row r="2438" spans="1:5" x14ac:dyDescent="0.25">
      <c r="A2438" s="2" t="s">
        <v>38</v>
      </c>
      <c r="B2438" s="6">
        <v>45113</v>
      </c>
      <c r="C2438" s="2" t="s">
        <v>53</v>
      </c>
      <c r="D2438" s="8">
        <v>-26.88</v>
      </c>
      <c r="E2438" s="8">
        <f>E2437+(0-26.88)</f>
        <v>12579771.789999794</v>
      </c>
    </row>
    <row r="2439" spans="1:5" x14ac:dyDescent="0.25">
      <c r="A2439" s="2" t="s">
        <v>38</v>
      </c>
      <c r="B2439" s="6">
        <v>45113</v>
      </c>
      <c r="C2439" s="2" t="s">
        <v>53</v>
      </c>
      <c r="D2439" s="8">
        <v>-53.75</v>
      </c>
      <c r="E2439" s="8">
        <f>E2438+(0-53.75)</f>
        <v>12579718.039999794</v>
      </c>
    </row>
    <row r="2440" spans="1:5" x14ac:dyDescent="0.25">
      <c r="A2440" s="2" t="s">
        <v>38</v>
      </c>
      <c r="B2440" s="6">
        <v>45113</v>
      </c>
      <c r="C2440" s="2" t="s">
        <v>53</v>
      </c>
      <c r="D2440" s="8">
        <v>-53.75</v>
      </c>
      <c r="E2440" s="8">
        <f>E2439+(0-53.75)</f>
        <v>12579664.289999794</v>
      </c>
    </row>
    <row r="2441" spans="1:5" x14ac:dyDescent="0.25">
      <c r="A2441" s="2" t="s">
        <v>38</v>
      </c>
      <c r="B2441" s="6">
        <v>45113</v>
      </c>
      <c r="C2441" s="2" t="s">
        <v>53</v>
      </c>
      <c r="D2441" s="8">
        <v>-10.75</v>
      </c>
      <c r="E2441" s="8">
        <f>E2440+(0-10.75)</f>
        <v>12579653.539999794</v>
      </c>
    </row>
    <row r="2442" spans="1:5" x14ac:dyDescent="0.25">
      <c r="A2442" s="2" t="s">
        <v>38</v>
      </c>
      <c r="B2442" s="6">
        <v>45113</v>
      </c>
      <c r="C2442" s="2" t="s">
        <v>53</v>
      </c>
      <c r="D2442" s="8">
        <v>-400</v>
      </c>
      <c r="E2442" s="8">
        <f>E2441+(0-400)</f>
        <v>12579253.539999794</v>
      </c>
    </row>
    <row r="2443" spans="1:5" x14ac:dyDescent="0.25">
      <c r="A2443" s="2" t="s">
        <v>38</v>
      </c>
      <c r="B2443" s="6">
        <v>45113</v>
      </c>
      <c r="C2443" s="2" t="s">
        <v>53</v>
      </c>
      <c r="D2443" s="8">
        <v>-50</v>
      </c>
      <c r="E2443" s="8">
        <f>E2442+(0-50)</f>
        <v>12579203.539999794</v>
      </c>
    </row>
    <row r="2444" spans="1:5" x14ac:dyDescent="0.25">
      <c r="A2444" s="2" t="s">
        <v>38</v>
      </c>
      <c r="B2444" s="6">
        <v>45114</v>
      </c>
      <c r="C2444" s="2" t="s">
        <v>53</v>
      </c>
      <c r="D2444" s="8">
        <v>-53.75</v>
      </c>
      <c r="E2444" s="8">
        <f>E2443+(0-53.75)</f>
        <v>12579149.789999794</v>
      </c>
    </row>
    <row r="2445" spans="1:5" x14ac:dyDescent="0.25">
      <c r="A2445" s="2" t="s">
        <v>38</v>
      </c>
      <c r="B2445" s="6">
        <v>45114</v>
      </c>
      <c r="C2445" s="2" t="s">
        <v>53</v>
      </c>
      <c r="D2445" s="8">
        <v>-26.88</v>
      </c>
      <c r="E2445" s="8">
        <f>E2444+(0-26.88)</f>
        <v>12579122.909999793</v>
      </c>
    </row>
    <row r="2446" spans="1:5" x14ac:dyDescent="0.25">
      <c r="A2446" s="2" t="s">
        <v>38</v>
      </c>
      <c r="B2446" s="6">
        <v>45114</v>
      </c>
      <c r="C2446" s="2" t="s">
        <v>53</v>
      </c>
      <c r="D2446" s="8">
        <v>-26.88</v>
      </c>
      <c r="E2446" s="8">
        <f>E2445+(0-26.88)</f>
        <v>12579096.029999793</v>
      </c>
    </row>
    <row r="2447" spans="1:5" x14ac:dyDescent="0.25">
      <c r="A2447" s="2" t="s">
        <v>38</v>
      </c>
      <c r="B2447" s="6">
        <v>45114</v>
      </c>
      <c r="C2447" s="2" t="s">
        <v>53</v>
      </c>
      <c r="D2447" s="8">
        <v>-50</v>
      </c>
      <c r="E2447" s="8">
        <f>E2446+(0-50)</f>
        <v>12579046.029999793</v>
      </c>
    </row>
    <row r="2448" spans="1:5" x14ac:dyDescent="0.25">
      <c r="A2448" s="2" t="s">
        <v>38</v>
      </c>
      <c r="B2448" s="6">
        <v>45114</v>
      </c>
      <c r="C2448" s="2" t="s">
        <v>53</v>
      </c>
      <c r="D2448" s="8">
        <v>-500</v>
      </c>
      <c r="E2448" s="8">
        <f>E2447+(0-500)</f>
        <v>12578546.029999793</v>
      </c>
    </row>
    <row r="2449" spans="1:5" x14ac:dyDescent="0.25">
      <c r="A2449" s="2" t="s">
        <v>38</v>
      </c>
      <c r="B2449" s="6">
        <v>45117</v>
      </c>
      <c r="C2449" s="2" t="s">
        <v>53</v>
      </c>
      <c r="D2449" s="8">
        <v>-26.88</v>
      </c>
      <c r="E2449" s="8">
        <f>E2448+(0-26.88)</f>
        <v>12578519.149999792</v>
      </c>
    </row>
    <row r="2450" spans="1:5" x14ac:dyDescent="0.25">
      <c r="A2450" s="2" t="s">
        <v>38</v>
      </c>
      <c r="B2450" s="6">
        <v>45117</v>
      </c>
      <c r="C2450" s="2" t="s">
        <v>53</v>
      </c>
      <c r="D2450" s="8">
        <v>-50</v>
      </c>
      <c r="E2450" s="8">
        <f>E2449+(0-50)</f>
        <v>12578469.149999792</v>
      </c>
    </row>
    <row r="2451" spans="1:5" x14ac:dyDescent="0.25">
      <c r="A2451" s="2" t="s">
        <v>38</v>
      </c>
      <c r="B2451" s="6">
        <v>45117</v>
      </c>
      <c r="C2451" s="2" t="s">
        <v>53</v>
      </c>
      <c r="D2451" s="8">
        <v>-600</v>
      </c>
      <c r="E2451" s="8">
        <f>E2450+(0-600)</f>
        <v>12577869.149999792</v>
      </c>
    </row>
    <row r="2452" spans="1:5" x14ac:dyDescent="0.25">
      <c r="A2452" s="2" t="s">
        <v>38</v>
      </c>
      <c r="B2452" s="6">
        <v>45118</v>
      </c>
      <c r="C2452" s="2" t="s">
        <v>53</v>
      </c>
      <c r="D2452" s="8">
        <v>-50</v>
      </c>
      <c r="E2452" s="8">
        <f>E2451+(0-50)</f>
        <v>12577819.149999792</v>
      </c>
    </row>
    <row r="2453" spans="1:5" x14ac:dyDescent="0.25">
      <c r="A2453" s="2" t="s">
        <v>38</v>
      </c>
      <c r="B2453" s="6">
        <v>45118</v>
      </c>
      <c r="C2453" s="2" t="s">
        <v>53</v>
      </c>
      <c r="D2453" s="8">
        <v>-50</v>
      </c>
      <c r="E2453" s="8">
        <f>E2452+(0-50)</f>
        <v>12577769.149999792</v>
      </c>
    </row>
    <row r="2454" spans="1:5" x14ac:dyDescent="0.25">
      <c r="A2454" s="2" t="s">
        <v>38</v>
      </c>
      <c r="B2454" s="6">
        <v>45118</v>
      </c>
      <c r="C2454" s="2" t="s">
        <v>53</v>
      </c>
      <c r="D2454" s="8">
        <v>-450</v>
      </c>
      <c r="E2454" s="8">
        <f>E2453+(0-450)</f>
        <v>12577319.149999792</v>
      </c>
    </row>
    <row r="2455" spans="1:5" x14ac:dyDescent="0.25">
      <c r="A2455" s="2" t="s">
        <v>38</v>
      </c>
      <c r="B2455" s="6">
        <v>45119</v>
      </c>
      <c r="C2455" s="2" t="s">
        <v>53</v>
      </c>
      <c r="D2455" s="8">
        <v>-26.88</v>
      </c>
      <c r="E2455" s="8">
        <f>E2454+(0-26.88)</f>
        <v>12577292.269999791</v>
      </c>
    </row>
    <row r="2456" spans="1:5" x14ac:dyDescent="0.25">
      <c r="A2456" s="2" t="s">
        <v>38</v>
      </c>
      <c r="B2456" s="6">
        <v>45119</v>
      </c>
      <c r="C2456" s="2" t="s">
        <v>53</v>
      </c>
      <c r="D2456" s="8">
        <v>-26.88</v>
      </c>
      <c r="E2456" s="8">
        <f>E2455+(0-26.88)</f>
        <v>12577265.38999979</v>
      </c>
    </row>
    <row r="2457" spans="1:5" x14ac:dyDescent="0.25">
      <c r="A2457" s="2" t="s">
        <v>38</v>
      </c>
      <c r="B2457" s="6">
        <v>45119</v>
      </c>
      <c r="C2457" s="2" t="s">
        <v>53</v>
      </c>
      <c r="D2457" s="8">
        <v>-50</v>
      </c>
      <c r="E2457" s="8">
        <f>E2456+(0-50)</f>
        <v>12577215.38999979</v>
      </c>
    </row>
    <row r="2458" spans="1:5" x14ac:dyDescent="0.25">
      <c r="A2458" s="2" t="s">
        <v>38</v>
      </c>
      <c r="B2458" s="6">
        <v>45119</v>
      </c>
      <c r="C2458" s="2" t="s">
        <v>53</v>
      </c>
      <c r="D2458" s="8">
        <v>-300</v>
      </c>
      <c r="E2458" s="8">
        <f>E2457+(0-300)</f>
        <v>12576915.38999979</v>
      </c>
    </row>
    <row r="2459" spans="1:5" x14ac:dyDescent="0.25">
      <c r="A2459" s="2" t="s">
        <v>38</v>
      </c>
      <c r="B2459" s="6">
        <v>45120</v>
      </c>
      <c r="C2459" s="2" t="s">
        <v>53</v>
      </c>
      <c r="D2459" s="8">
        <v>-50</v>
      </c>
      <c r="E2459" s="8">
        <f>E2458+(0-50)</f>
        <v>12576865.38999979</v>
      </c>
    </row>
    <row r="2460" spans="1:5" x14ac:dyDescent="0.25">
      <c r="A2460" s="2" t="s">
        <v>38</v>
      </c>
      <c r="B2460" s="6">
        <v>45120</v>
      </c>
      <c r="C2460" s="2" t="s">
        <v>53</v>
      </c>
      <c r="D2460" s="8">
        <v>-800</v>
      </c>
      <c r="E2460" s="8">
        <f>E2459+(0-800)</f>
        <v>12576065.38999979</v>
      </c>
    </row>
    <row r="2461" spans="1:5" x14ac:dyDescent="0.25">
      <c r="A2461" s="2" t="s">
        <v>38</v>
      </c>
      <c r="B2461" s="6">
        <v>45121</v>
      </c>
      <c r="C2461" s="2" t="s">
        <v>53</v>
      </c>
      <c r="D2461" s="8">
        <v>-26.88</v>
      </c>
      <c r="E2461" s="8">
        <f>E2460+(0-26.88)</f>
        <v>12576038.509999789</v>
      </c>
    </row>
    <row r="2462" spans="1:5" x14ac:dyDescent="0.25">
      <c r="A2462" s="2" t="s">
        <v>38</v>
      </c>
      <c r="B2462" s="6">
        <v>45121</v>
      </c>
      <c r="C2462" s="2" t="s">
        <v>53</v>
      </c>
      <c r="D2462" s="8">
        <v>-53.75</v>
      </c>
      <c r="E2462" s="8">
        <f>E2461+(0-53.75)</f>
        <v>12575984.759999789</v>
      </c>
    </row>
    <row r="2463" spans="1:5" x14ac:dyDescent="0.25">
      <c r="A2463" s="2" t="s">
        <v>38</v>
      </c>
      <c r="B2463" s="6">
        <v>45121</v>
      </c>
      <c r="C2463" s="2" t="s">
        <v>53</v>
      </c>
      <c r="D2463" s="8">
        <v>-400</v>
      </c>
      <c r="E2463" s="8">
        <f>E2462+(0-400)</f>
        <v>12575584.759999789</v>
      </c>
    </row>
    <row r="2464" spans="1:5" x14ac:dyDescent="0.25">
      <c r="A2464" s="2" t="s">
        <v>38</v>
      </c>
      <c r="B2464" s="6">
        <v>45124</v>
      </c>
      <c r="C2464" s="2" t="s">
        <v>53</v>
      </c>
      <c r="D2464" s="8">
        <v>-26.88</v>
      </c>
      <c r="E2464" s="8">
        <f>E2463+(0-26.88)</f>
        <v>12575557.879999788</v>
      </c>
    </row>
    <row r="2465" spans="1:5" x14ac:dyDescent="0.25">
      <c r="A2465" s="2" t="s">
        <v>38</v>
      </c>
      <c r="B2465" s="6">
        <v>45124</v>
      </c>
      <c r="C2465" s="2" t="s">
        <v>53</v>
      </c>
      <c r="D2465" s="8">
        <v>-50</v>
      </c>
      <c r="E2465" s="8">
        <f>E2464+(0-50)</f>
        <v>12575507.879999788</v>
      </c>
    </row>
    <row r="2466" spans="1:5" x14ac:dyDescent="0.25">
      <c r="A2466" s="2" t="s">
        <v>38</v>
      </c>
      <c r="B2466" s="6">
        <v>45124</v>
      </c>
      <c r="C2466" s="2" t="s">
        <v>53</v>
      </c>
      <c r="D2466" s="8">
        <v>-50</v>
      </c>
      <c r="E2466" s="8">
        <f>E2465+(0-50)</f>
        <v>12575457.879999788</v>
      </c>
    </row>
    <row r="2467" spans="1:5" x14ac:dyDescent="0.25">
      <c r="A2467" s="2" t="s">
        <v>38</v>
      </c>
      <c r="B2467" s="6">
        <v>45124</v>
      </c>
      <c r="C2467" s="2" t="s">
        <v>53</v>
      </c>
      <c r="D2467" s="8">
        <v>-900</v>
      </c>
      <c r="E2467" s="8">
        <f>E2466+(0-900)</f>
        <v>12574557.879999788</v>
      </c>
    </row>
    <row r="2468" spans="1:5" x14ac:dyDescent="0.25">
      <c r="A2468" s="2" t="s">
        <v>38</v>
      </c>
      <c r="B2468" s="6">
        <v>45125</v>
      </c>
      <c r="C2468" s="2" t="s">
        <v>192</v>
      </c>
      <c r="D2468" s="8">
        <v>-37.5</v>
      </c>
      <c r="E2468" s="8">
        <f>E2467+(0-37.5)</f>
        <v>12574520.379999788</v>
      </c>
    </row>
    <row r="2469" spans="1:5" x14ac:dyDescent="0.25">
      <c r="A2469" s="2" t="s">
        <v>38</v>
      </c>
      <c r="B2469" s="6">
        <v>45125</v>
      </c>
      <c r="C2469" s="2" t="s">
        <v>193</v>
      </c>
      <c r="D2469" s="8">
        <v>-500</v>
      </c>
      <c r="E2469" s="8">
        <f>E2468+(0-500)</f>
        <v>12574020.379999788</v>
      </c>
    </row>
    <row r="2470" spans="1:5" x14ac:dyDescent="0.25">
      <c r="A2470" s="2" t="s">
        <v>38</v>
      </c>
      <c r="B2470" s="6">
        <v>45125</v>
      </c>
      <c r="C2470" s="2" t="s">
        <v>193</v>
      </c>
      <c r="D2470" s="8">
        <v>-500</v>
      </c>
      <c r="E2470" s="8">
        <f>E2469+(0-500)</f>
        <v>12573520.379999788</v>
      </c>
    </row>
    <row r="2471" spans="1:5" x14ac:dyDescent="0.25">
      <c r="A2471" s="2" t="s">
        <v>38</v>
      </c>
      <c r="B2471" s="6">
        <v>45125</v>
      </c>
      <c r="C2471" s="2" t="s">
        <v>192</v>
      </c>
      <c r="D2471" s="8">
        <v>-37.5</v>
      </c>
      <c r="E2471" s="8">
        <f>E2470+(0-37.5)</f>
        <v>12573482.879999788</v>
      </c>
    </row>
    <row r="2472" spans="1:5" x14ac:dyDescent="0.25">
      <c r="A2472" s="2" t="s">
        <v>38</v>
      </c>
      <c r="B2472" s="6">
        <v>45125</v>
      </c>
      <c r="C2472" s="2" t="s">
        <v>194</v>
      </c>
      <c r="D2472" s="8">
        <v>-795.5</v>
      </c>
      <c r="E2472" s="8">
        <f>E2471+(0-795.5)</f>
        <v>12572687.379999788</v>
      </c>
    </row>
    <row r="2473" spans="1:5" x14ac:dyDescent="0.25">
      <c r="A2473" s="2" t="s">
        <v>38</v>
      </c>
      <c r="B2473" s="6">
        <v>45125</v>
      </c>
      <c r="C2473" s="2" t="s">
        <v>53</v>
      </c>
      <c r="D2473" s="8">
        <v>-350</v>
      </c>
      <c r="E2473" s="8">
        <f>E2472+(0-350)</f>
        <v>12572337.379999788</v>
      </c>
    </row>
    <row r="2474" spans="1:5" x14ac:dyDescent="0.25">
      <c r="A2474" s="2" t="s">
        <v>38</v>
      </c>
      <c r="B2474" s="6">
        <v>45125</v>
      </c>
      <c r="C2474" s="2" t="s">
        <v>53</v>
      </c>
      <c r="D2474" s="8">
        <v>-50</v>
      </c>
      <c r="E2474" s="8">
        <f>E2473+(0-50)</f>
        <v>12572287.379999788</v>
      </c>
    </row>
    <row r="2475" spans="1:5" x14ac:dyDescent="0.25">
      <c r="A2475" s="2" t="s">
        <v>38</v>
      </c>
      <c r="B2475" s="6">
        <v>45126</v>
      </c>
      <c r="C2475" s="2" t="s">
        <v>53</v>
      </c>
      <c r="D2475" s="8">
        <v>-26.88</v>
      </c>
      <c r="E2475" s="8">
        <f>E2474+(0-26.88)</f>
        <v>12572260.499999788</v>
      </c>
    </row>
    <row r="2476" spans="1:5" x14ac:dyDescent="0.25">
      <c r="A2476" s="2" t="s">
        <v>38</v>
      </c>
      <c r="B2476" s="6">
        <v>45126</v>
      </c>
      <c r="C2476" s="2" t="s">
        <v>53</v>
      </c>
      <c r="D2476" s="8">
        <v>-300</v>
      </c>
      <c r="E2476" s="8">
        <f>E2475+(0-300)</f>
        <v>12571960.499999788</v>
      </c>
    </row>
    <row r="2477" spans="1:5" x14ac:dyDescent="0.25">
      <c r="A2477" s="2" t="s">
        <v>38</v>
      </c>
      <c r="B2477" s="6">
        <v>45127</v>
      </c>
      <c r="C2477" s="2" t="s">
        <v>53</v>
      </c>
      <c r="D2477" s="8">
        <v>-53.75</v>
      </c>
      <c r="E2477" s="8">
        <f>E2476+(0-53.75)</f>
        <v>12571906.749999788</v>
      </c>
    </row>
    <row r="2478" spans="1:5" x14ac:dyDescent="0.25">
      <c r="A2478" s="2" t="s">
        <v>38</v>
      </c>
      <c r="B2478" s="6">
        <v>45127</v>
      </c>
      <c r="C2478" s="2" t="s">
        <v>53</v>
      </c>
      <c r="D2478" s="8">
        <v>-53.75</v>
      </c>
      <c r="E2478" s="8">
        <f>E2477+(0-53.75)</f>
        <v>12571852.999999788</v>
      </c>
    </row>
    <row r="2479" spans="1:5" x14ac:dyDescent="0.25">
      <c r="A2479" s="2" t="s">
        <v>38</v>
      </c>
      <c r="B2479" s="6">
        <v>45127</v>
      </c>
      <c r="C2479" s="2" t="s">
        <v>53</v>
      </c>
      <c r="D2479" s="8">
        <v>-150</v>
      </c>
      <c r="E2479" s="8">
        <f>E2478+(0-150)</f>
        <v>12571702.999999788</v>
      </c>
    </row>
    <row r="2480" spans="1:5" x14ac:dyDescent="0.25">
      <c r="A2480" s="2" t="s">
        <v>38</v>
      </c>
      <c r="B2480" s="6">
        <v>45127</v>
      </c>
      <c r="C2480" s="2" t="s">
        <v>53</v>
      </c>
      <c r="D2480" s="8">
        <v>-50</v>
      </c>
      <c r="E2480" s="8">
        <f>E2479+(0-50)</f>
        <v>12571652.999999788</v>
      </c>
    </row>
    <row r="2481" spans="1:5" x14ac:dyDescent="0.25">
      <c r="A2481" s="2" t="s">
        <v>38</v>
      </c>
      <c r="B2481" s="6">
        <v>45128</v>
      </c>
      <c r="C2481" s="2" t="s">
        <v>195</v>
      </c>
      <c r="D2481" s="8">
        <v>-24</v>
      </c>
      <c r="E2481" s="8">
        <f>E2480+(0-24)</f>
        <v>12571628.999999788</v>
      </c>
    </row>
    <row r="2482" spans="1:5" x14ac:dyDescent="0.25">
      <c r="A2482" s="2" t="s">
        <v>38</v>
      </c>
      <c r="B2482" s="6">
        <v>45128</v>
      </c>
      <c r="C2482" s="2" t="s">
        <v>19</v>
      </c>
      <c r="D2482" s="8">
        <v>-4</v>
      </c>
      <c r="E2482" s="8">
        <f>E2481+(0-4)</f>
        <v>12571624.999999788</v>
      </c>
    </row>
    <row r="2483" spans="1:5" x14ac:dyDescent="0.25">
      <c r="A2483" s="2" t="s">
        <v>38</v>
      </c>
      <c r="B2483" s="6">
        <v>45128</v>
      </c>
      <c r="C2483" s="2" t="s">
        <v>19</v>
      </c>
      <c r="D2483" s="8">
        <v>-64</v>
      </c>
      <c r="E2483" s="8">
        <f>E2482+(0-64)</f>
        <v>12571560.999999788</v>
      </c>
    </row>
    <row r="2484" spans="1:5" x14ac:dyDescent="0.25">
      <c r="A2484" s="2" t="s">
        <v>38</v>
      </c>
      <c r="B2484" s="6">
        <v>45128</v>
      </c>
      <c r="C2484" s="2" t="s">
        <v>19</v>
      </c>
      <c r="D2484" s="8">
        <v>-100</v>
      </c>
      <c r="E2484" s="8">
        <f>E2483+(0-100)</f>
        <v>12571460.999999788</v>
      </c>
    </row>
    <row r="2485" spans="1:5" x14ac:dyDescent="0.25">
      <c r="A2485" s="2" t="s">
        <v>38</v>
      </c>
      <c r="B2485" s="6">
        <v>45128</v>
      </c>
      <c r="C2485" s="2" t="s">
        <v>19</v>
      </c>
      <c r="D2485" s="8">
        <v>-300</v>
      </c>
      <c r="E2485" s="8">
        <f>E2484+(0-300)</f>
        <v>12571160.999999788</v>
      </c>
    </row>
    <row r="2486" spans="1:5" x14ac:dyDescent="0.25">
      <c r="A2486" s="2" t="s">
        <v>38</v>
      </c>
      <c r="B2486" s="6">
        <v>45131</v>
      </c>
      <c r="C2486" s="2" t="s">
        <v>53</v>
      </c>
      <c r="D2486" s="8">
        <v>-26.88</v>
      </c>
      <c r="E2486" s="8">
        <f>E2485+(0-26.88)</f>
        <v>12571134.119999787</v>
      </c>
    </row>
    <row r="2487" spans="1:5" x14ac:dyDescent="0.25">
      <c r="A2487" s="2" t="s">
        <v>38</v>
      </c>
      <c r="B2487" s="6">
        <v>45131</v>
      </c>
      <c r="C2487" s="2" t="s">
        <v>19</v>
      </c>
      <c r="D2487" s="8">
        <v>-28</v>
      </c>
      <c r="E2487" s="8">
        <f>E2486+(0-28)</f>
        <v>12571106.119999787</v>
      </c>
    </row>
    <row r="2488" spans="1:5" x14ac:dyDescent="0.25">
      <c r="A2488" s="2" t="s">
        <v>38</v>
      </c>
      <c r="B2488" s="6">
        <v>45131</v>
      </c>
      <c r="C2488" s="2" t="s">
        <v>19</v>
      </c>
      <c r="D2488" s="8">
        <v>-12</v>
      </c>
      <c r="E2488" s="8">
        <f>E2487+(0-12)</f>
        <v>12571094.119999787</v>
      </c>
    </row>
    <row r="2489" spans="1:5" x14ac:dyDescent="0.25">
      <c r="A2489" s="2" t="s">
        <v>38</v>
      </c>
      <c r="B2489" s="6">
        <v>45131</v>
      </c>
      <c r="C2489" s="2" t="s">
        <v>19</v>
      </c>
      <c r="D2489" s="8">
        <v>-56</v>
      </c>
      <c r="E2489" s="8">
        <f>E2488+(0-56)</f>
        <v>12571038.119999787</v>
      </c>
    </row>
    <row r="2490" spans="1:5" x14ac:dyDescent="0.25">
      <c r="A2490" s="2" t="s">
        <v>38</v>
      </c>
      <c r="B2490" s="6">
        <v>45131</v>
      </c>
      <c r="C2490" s="2" t="s">
        <v>19</v>
      </c>
      <c r="D2490" s="8">
        <v>-8</v>
      </c>
      <c r="E2490" s="8">
        <f>E2489+(0-8)</f>
        <v>12571030.119999787</v>
      </c>
    </row>
    <row r="2491" spans="1:5" x14ac:dyDescent="0.25">
      <c r="A2491" s="2" t="s">
        <v>38</v>
      </c>
      <c r="B2491" s="6">
        <v>45131</v>
      </c>
      <c r="C2491" s="2" t="s">
        <v>19</v>
      </c>
      <c r="D2491" s="8">
        <v>-12</v>
      </c>
      <c r="E2491" s="8">
        <f>E2490+(0-12)</f>
        <v>12571018.119999787</v>
      </c>
    </row>
    <row r="2492" spans="1:5" x14ac:dyDescent="0.25">
      <c r="A2492" s="2" t="s">
        <v>38</v>
      </c>
      <c r="B2492" s="6">
        <v>45131</v>
      </c>
      <c r="C2492" s="2" t="s">
        <v>19</v>
      </c>
      <c r="D2492" s="8">
        <v>-36</v>
      </c>
      <c r="E2492" s="8">
        <f>E2491+(0-36)</f>
        <v>12570982.119999787</v>
      </c>
    </row>
    <row r="2493" spans="1:5" x14ac:dyDescent="0.25">
      <c r="A2493" s="2" t="s">
        <v>38</v>
      </c>
      <c r="B2493" s="6">
        <v>45131</v>
      </c>
      <c r="C2493" s="2" t="s">
        <v>19</v>
      </c>
      <c r="D2493" s="8">
        <v>-92</v>
      </c>
      <c r="E2493" s="8">
        <f>E2492+(0-92)</f>
        <v>12570890.119999787</v>
      </c>
    </row>
    <row r="2494" spans="1:5" x14ac:dyDescent="0.25">
      <c r="A2494" s="2" t="s">
        <v>38</v>
      </c>
      <c r="B2494" s="6">
        <v>45131</v>
      </c>
      <c r="C2494" s="2" t="s">
        <v>19</v>
      </c>
      <c r="D2494" s="8">
        <v>-56</v>
      </c>
      <c r="E2494" s="8">
        <f>E2493+(0-56)</f>
        <v>12570834.119999787</v>
      </c>
    </row>
    <row r="2495" spans="1:5" x14ac:dyDescent="0.25">
      <c r="A2495" s="2" t="s">
        <v>38</v>
      </c>
      <c r="B2495" s="6">
        <v>45131</v>
      </c>
      <c r="C2495" s="2" t="s">
        <v>19</v>
      </c>
      <c r="D2495" s="8">
        <v>-88</v>
      </c>
      <c r="E2495" s="8">
        <f>E2494+(0-88)</f>
        <v>12570746.119999787</v>
      </c>
    </row>
    <row r="2496" spans="1:5" x14ac:dyDescent="0.25">
      <c r="A2496" s="2" t="s">
        <v>38</v>
      </c>
      <c r="B2496" s="6">
        <v>45131</v>
      </c>
      <c r="C2496" s="2" t="s">
        <v>19</v>
      </c>
      <c r="D2496" s="8">
        <v>-68</v>
      </c>
      <c r="E2496" s="8">
        <f>E2495+(0-68)</f>
        <v>12570678.119999787</v>
      </c>
    </row>
    <row r="2497" spans="1:5" x14ac:dyDescent="0.25">
      <c r="A2497" s="2" t="s">
        <v>38</v>
      </c>
      <c r="B2497" s="6">
        <v>45131</v>
      </c>
      <c r="C2497" s="2" t="s">
        <v>53</v>
      </c>
      <c r="D2497" s="8">
        <v>-50</v>
      </c>
      <c r="E2497" s="8">
        <f>E2496+(0-50)</f>
        <v>12570628.119999787</v>
      </c>
    </row>
    <row r="2498" spans="1:5" x14ac:dyDescent="0.25">
      <c r="A2498" s="2" t="s">
        <v>38</v>
      </c>
      <c r="B2498" s="6">
        <v>45131</v>
      </c>
      <c r="C2498" s="2" t="s">
        <v>53</v>
      </c>
      <c r="D2498" s="8">
        <v>-50</v>
      </c>
      <c r="E2498" s="8">
        <f>E2497+(0-50)</f>
        <v>12570578.119999787</v>
      </c>
    </row>
    <row r="2499" spans="1:5" x14ac:dyDescent="0.25">
      <c r="A2499" s="2" t="s">
        <v>38</v>
      </c>
      <c r="B2499" s="6">
        <v>45131</v>
      </c>
      <c r="C2499" s="2" t="s">
        <v>53</v>
      </c>
      <c r="D2499" s="8">
        <v>-50</v>
      </c>
      <c r="E2499" s="8">
        <f>E2498+(0-50)</f>
        <v>12570528.119999787</v>
      </c>
    </row>
    <row r="2500" spans="1:5" x14ac:dyDescent="0.25">
      <c r="A2500" s="2" t="s">
        <v>38</v>
      </c>
      <c r="B2500" s="6">
        <v>45131</v>
      </c>
      <c r="C2500" s="2" t="s">
        <v>53</v>
      </c>
      <c r="D2500" s="8">
        <v>-50</v>
      </c>
      <c r="E2500" s="8">
        <f>E2499+(0-50)</f>
        <v>12570478.119999787</v>
      </c>
    </row>
    <row r="2501" spans="1:5" x14ac:dyDescent="0.25">
      <c r="A2501" s="2" t="s">
        <v>38</v>
      </c>
      <c r="B2501" s="6">
        <v>45131</v>
      </c>
      <c r="C2501" s="2" t="s">
        <v>53</v>
      </c>
      <c r="D2501" s="8">
        <v>-50</v>
      </c>
      <c r="E2501" s="8">
        <f>E2500+(0-50)</f>
        <v>12570428.119999787</v>
      </c>
    </row>
    <row r="2502" spans="1:5" x14ac:dyDescent="0.25">
      <c r="A2502" s="2" t="s">
        <v>38</v>
      </c>
      <c r="B2502" s="6">
        <v>45131</v>
      </c>
      <c r="C2502" s="2" t="s">
        <v>53</v>
      </c>
      <c r="D2502" s="8">
        <v>-50</v>
      </c>
      <c r="E2502" s="8">
        <f>E2501+(0-50)</f>
        <v>12570378.119999787</v>
      </c>
    </row>
    <row r="2503" spans="1:5" x14ac:dyDescent="0.25">
      <c r="A2503" s="2" t="s">
        <v>38</v>
      </c>
      <c r="B2503" s="6">
        <v>45131</v>
      </c>
      <c r="C2503" s="2" t="s">
        <v>53</v>
      </c>
      <c r="D2503" s="8">
        <v>-50</v>
      </c>
      <c r="E2503" s="8">
        <f>E2502+(0-50)</f>
        <v>12570328.119999787</v>
      </c>
    </row>
    <row r="2504" spans="1:5" x14ac:dyDescent="0.25">
      <c r="A2504" s="2" t="s">
        <v>38</v>
      </c>
      <c r="B2504" s="6">
        <v>45131</v>
      </c>
      <c r="C2504" s="2" t="s">
        <v>53</v>
      </c>
      <c r="D2504" s="8">
        <v>-50</v>
      </c>
      <c r="E2504" s="8">
        <f>E2503+(0-50)</f>
        <v>12570278.119999787</v>
      </c>
    </row>
    <row r="2505" spans="1:5" x14ac:dyDescent="0.25">
      <c r="A2505" s="2" t="s">
        <v>38</v>
      </c>
      <c r="B2505" s="6">
        <v>45131</v>
      </c>
      <c r="C2505" s="2" t="s">
        <v>19</v>
      </c>
      <c r="D2505" s="8">
        <v>-8</v>
      </c>
      <c r="E2505" s="8">
        <f>E2504+(0-8)</f>
        <v>12570270.119999787</v>
      </c>
    </row>
    <row r="2506" spans="1:5" x14ac:dyDescent="0.25">
      <c r="A2506" s="2" t="s">
        <v>38</v>
      </c>
      <c r="B2506" s="6">
        <v>45131</v>
      </c>
      <c r="C2506" s="2" t="s">
        <v>19</v>
      </c>
      <c r="D2506" s="8">
        <v>-16</v>
      </c>
      <c r="E2506" s="8">
        <f>E2505+(0-16)</f>
        <v>12570254.119999787</v>
      </c>
    </row>
    <row r="2507" spans="1:5" x14ac:dyDescent="0.25">
      <c r="A2507" s="2" t="s">
        <v>38</v>
      </c>
      <c r="B2507" s="6">
        <v>45131</v>
      </c>
      <c r="C2507" s="2" t="s">
        <v>19</v>
      </c>
      <c r="D2507" s="8">
        <v>-40</v>
      </c>
      <c r="E2507" s="8">
        <f>E2506+(0-40)</f>
        <v>12570214.119999787</v>
      </c>
    </row>
    <row r="2508" spans="1:5" x14ac:dyDescent="0.25">
      <c r="A2508" s="2" t="s">
        <v>38</v>
      </c>
      <c r="B2508" s="6">
        <v>45131</v>
      </c>
      <c r="C2508" s="2" t="s">
        <v>19</v>
      </c>
      <c r="D2508" s="8">
        <v>-88</v>
      </c>
      <c r="E2508" s="8">
        <f>E2507+(0-88)</f>
        <v>12570126.119999787</v>
      </c>
    </row>
    <row r="2509" spans="1:5" x14ac:dyDescent="0.25">
      <c r="A2509" s="2" t="s">
        <v>38</v>
      </c>
      <c r="B2509" s="6">
        <v>45131</v>
      </c>
      <c r="C2509" s="2" t="s">
        <v>53</v>
      </c>
      <c r="D2509" s="8">
        <v>-350</v>
      </c>
      <c r="E2509" s="8">
        <f>E2508+(0-350)</f>
        <v>12569776.119999787</v>
      </c>
    </row>
    <row r="2510" spans="1:5" x14ac:dyDescent="0.25">
      <c r="A2510" s="2" t="s">
        <v>38</v>
      </c>
      <c r="B2510" s="6">
        <v>45132</v>
      </c>
      <c r="C2510" s="2" t="s">
        <v>53</v>
      </c>
      <c r="D2510" s="8">
        <v>-26.88</v>
      </c>
      <c r="E2510" s="8">
        <f>E2509+(0-26.88)</f>
        <v>12569749.239999786</v>
      </c>
    </row>
    <row r="2511" spans="1:5" x14ac:dyDescent="0.25">
      <c r="A2511" s="2" t="s">
        <v>38</v>
      </c>
      <c r="B2511" s="6">
        <v>45132</v>
      </c>
      <c r="C2511" s="2" t="s">
        <v>53</v>
      </c>
      <c r="D2511" s="8">
        <v>-26.88</v>
      </c>
      <c r="E2511" s="8">
        <f>E2510+(0-26.88)</f>
        <v>12569722.359999785</v>
      </c>
    </row>
    <row r="2512" spans="1:5" x14ac:dyDescent="0.25">
      <c r="A2512" s="2" t="s">
        <v>38</v>
      </c>
      <c r="B2512" s="6">
        <v>45132</v>
      </c>
      <c r="C2512" s="2" t="s">
        <v>53</v>
      </c>
      <c r="D2512" s="8">
        <v>-26.88</v>
      </c>
      <c r="E2512" s="8">
        <f>E2511+(0-26.88)</f>
        <v>12569695.479999784</v>
      </c>
    </row>
    <row r="2513" spans="1:5" x14ac:dyDescent="0.25">
      <c r="A2513" s="2" t="s">
        <v>38</v>
      </c>
      <c r="B2513" s="6">
        <v>45132</v>
      </c>
      <c r="C2513" s="2" t="s">
        <v>53</v>
      </c>
      <c r="D2513" s="8">
        <v>-53.75</v>
      </c>
      <c r="E2513" s="8">
        <f>E2512+(0-53.75)</f>
        <v>12569641.729999784</v>
      </c>
    </row>
    <row r="2514" spans="1:5" x14ac:dyDescent="0.25">
      <c r="A2514" s="2" t="s">
        <v>38</v>
      </c>
      <c r="B2514" s="6">
        <v>45132</v>
      </c>
      <c r="C2514" s="2" t="s">
        <v>53</v>
      </c>
      <c r="D2514" s="8">
        <v>-26.88</v>
      </c>
      <c r="E2514" s="8">
        <f>E2513+(0-26.88)</f>
        <v>12569614.849999784</v>
      </c>
    </row>
    <row r="2515" spans="1:5" x14ac:dyDescent="0.25">
      <c r="A2515" s="2" t="s">
        <v>38</v>
      </c>
      <c r="B2515" s="6">
        <v>45132</v>
      </c>
      <c r="C2515" s="2" t="s">
        <v>19</v>
      </c>
      <c r="D2515" s="8">
        <v>-76</v>
      </c>
      <c r="E2515" s="8">
        <f>E2514+(0-76)</f>
        <v>12569538.849999784</v>
      </c>
    </row>
    <row r="2516" spans="1:5" x14ac:dyDescent="0.25">
      <c r="A2516" s="2" t="s">
        <v>38</v>
      </c>
      <c r="B2516" s="6">
        <v>45132</v>
      </c>
      <c r="C2516" s="2" t="s">
        <v>19</v>
      </c>
      <c r="D2516" s="8">
        <v>-52</v>
      </c>
      <c r="E2516" s="8">
        <f>E2515+(0-52)</f>
        <v>12569486.849999784</v>
      </c>
    </row>
    <row r="2517" spans="1:5" x14ac:dyDescent="0.25">
      <c r="A2517" s="2" t="s">
        <v>38</v>
      </c>
      <c r="B2517" s="6">
        <v>45132</v>
      </c>
      <c r="C2517" s="2" t="s">
        <v>19</v>
      </c>
      <c r="D2517" s="8">
        <v>-4</v>
      </c>
      <c r="E2517" s="8">
        <f>E2516+(0-4)</f>
        <v>12569482.849999784</v>
      </c>
    </row>
    <row r="2518" spans="1:5" x14ac:dyDescent="0.25">
      <c r="A2518" s="2" t="s">
        <v>38</v>
      </c>
      <c r="B2518" s="6">
        <v>45132</v>
      </c>
      <c r="C2518" s="2" t="s">
        <v>53</v>
      </c>
      <c r="D2518" s="8">
        <v>-50</v>
      </c>
      <c r="E2518" s="8">
        <f>E2517+(0-50)</f>
        <v>12569432.849999784</v>
      </c>
    </row>
    <row r="2519" spans="1:5" x14ac:dyDescent="0.25">
      <c r="A2519" s="2" t="s">
        <v>38</v>
      </c>
      <c r="B2519" s="6">
        <v>45132</v>
      </c>
      <c r="C2519" s="2" t="s">
        <v>19</v>
      </c>
      <c r="D2519" s="8">
        <v>-8</v>
      </c>
      <c r="E2519" s="8">
        <f>E2518+(0-8)</f>
        <v>12569424.849999784</v>
      </c>
    </row>
    <row r="2520" spans="1:5" x14ac:dyDescent="0.25">
      <c r="A2520" s="2" t="s">
        <v>38</v>
      </c>
      <c r="B2520" s="6">
        <v>45132</v>
      </c>
      <c r="C2520" s="2" t="s">
        <v>19</v>
      </c>
      <c r="D2520" s="8">
        <v>-92</v>
      </c>
      <c r="E2520" s="8">
        <f>E2519+(0-92)</f>
        <v>12569332.849999784</v>
      </c>
    </row>
    <row r="2521" spans="1:5" x14ac:dyDescent="0.25">
      <c r="A2521" s="2" t="s">
        <v>38</v>
      </c>
      <c r="B2521" s="6">
        <v>45132</v>
      </c>
      <c r="C2521" s="2" t="s">
        <v>53</v>
      </c>
      <c r="D2521" s="8">
        <v>-350</v>
      </c>
      <c r="E2521" s="8">
        <f>E2520+(0-350)</f>
        <v>12568982.849999784</v>
      </c>
    </row>
    <row r="2522" spans="1:5" x14ac:dyDescent="0.25">
      <c r="A2522" s="2" t="s">
        <v>38</v>
      </c>
      <c r="B2522" s="6">
        <v>45133</v>
      </c>
      <c r="C2522" s="2" t="s">
        <v>19</v>
      </c>
      <c r="D2522" s="8">
        <v>-60</v>
      </c>
      <c r="E2522" s="8">
        <f>E2521+(0-60)</f>
        <v>12568922.849999784</v>
      </c>
    </row>
    <row r="2523" spans="1:5" x14ac:dyDescent="0.25">
      <c r="A2523" s="2" t="s">
        <v>38</v>
      </c>
      <c r="B2523" s="6">
        <v>45133</v>
      </c>
      <c r="C2523" s="2" t="s">
        <v>53</v>
      </c>
      <c r="D2523" s="8">
        <v>-53.75</v>
      </c>
      <c r="E2523" s="8">
        <f>E2522+(0-53.75)</f>
        <v>12568869.099999784</v>
      </c>
    </row>
    <row r="2524" spans="1:5" x14ac:dyDescent="0.25">
      <c r="A2524" s="2" t="s">
        <v>38</v>
      </c>
      <c r="B2524" s="6">
        <v>45133</v>
      </c>
      <c r="C2524" s="2" t="s">
        <v>53</v>
      </c>
      <c r="D2524" s="8">
        <v>-53.75</v>
      </c>
      <c r="E2524" s="8">
        <f>E2523+(0-53.75)</f>
        <v>12568815.349999784</v>
      </c>
    </row>
    <row r="2525" spans="1:5" x14ac:dyDescent="0.25">
      <c r="A2525" s="2" t="s">
        <v>38</v>
      </c>
      <c r="B2525" s="6">
        <v>45133</v>
      </c>
      <c r="C2525" s="2" t="s">
        <v>53</v>
      </c>
      <c r="D2525" s="8">
        <v>-53.75</v>
      </c>
      <c r="E2525" s="8">
        <f>E2524+(0-53.75)</f>
        <v>12568761.599999784</v>
      </c>
    </row>
    <row r="2526" spans="1:5" x14ac:dyDescent="0.25">
      <c r="A2526" s="2" t="s">
        <v>38</v>
      </c>
      <c r="B2526" s="6">
        <v>45133</v>
      </c>
      <c r="C2526" s="2" t="s">
        <v>53</v>
      </c>
      <c r="D2526" s="8">
        <v>-53.75</v>
      </c>
      <c r="E2526" s="8">
        <f>E2525+(0-53.75)</f>
        <v>12568707.849999784</v>
      </c>
    </row>
    <row r="2527" spans="1:5" x14ac:dyDescent="0.25">
      <c r="A2527" s="2" t="s">
        <v>38</v>
      </c>
      <c r="B2527" s="6">
        <v>45133</v>
      </c>
      <c r="C2527" s="2" t="s">
        <v>53</v>
      </c>
      <c r="D2527" s="8">
        <v>-53.75</v>
      </c>
      <c r="E2527" s="8">
        <f>E2526+(0-53.75)</f>
        <v>12568654.099999784</v>
      </c>
    </row>
    <row r="2528" spans="1:5" x14ac:dyDescent="0.25">
      <c r="A2528" s="2" t="s">
        <v>38</v>
      </c>
      <c r="B2528" s="6">
        <v>45133</v>
      </c>
      <c r="C2528" s="2" t="s">
        <v>53</v>
      </c>
      <c r="D2528" s="8">
        <v>-50</v>
      </c>
      <c r="E2528" s="8">
        <f>E2527+(0-50)</f>
        <v>12568604.099999784</v>
      </c>
    </row>
    <row r="2529" spans="1:5" x14ac:dyDescent="0.25">
      <c r="A2529" s="2" t="s">
        <v>38</v>
      </c>
      <c r="B2529" s="6">
        <v>45133</v>
      </c>
      <c r="C2529" s="2" t="s">
        <v>53</v>
      </c>
      <c r="D2529" s="8">
        <v>-250</v>
      </c>
      <c r="E2529" s="8">
        <f>E2528+(0-250)</f>
        <v>12568354.099999784</v>
      </c>
    </row>
    <row r="2530" spans="1:5" x14ac:dyDescent="0.25">
      <c r="A2530" s="2" t="s">
        <v>38</v>
      </c>
      <c r="B2530" s="6">
        <v>45133</v>
      </c>
      <c r="C2530" s="2" t="s">
        <v>53</v>
      </c>
      <c r="D2530" s="8">
        <v>-200</v>
      </c>
      <c r="E2530" s="8">
        <f>E2529+(0-200)</f>
        <v>12568154.099999784</v>
      </c>
    </row>
    <row r="2531" spans="1:5" x14ac:dyDescent="0.25">
      <c r="A2531" s="2" t="s">
        <v>38</v>
      </c>
      <c r="B2531" s="6">
        <v>45134</v>
      </c>
      <c r="C2531" s="2" t="s">
        <v>53</v>
      </c>
      <c r="D2531" s="8">
        <v>-350</v>
      </c>
      <c r="E2531" s="8">
        <f>E2530+(0-350)</f>
        <v>12567804.099999784</v>
      </c>
    </row>
    <row r="2532" spans="1:5" x14ac:dyDescent="0.25">
      <c r="A2532" s="2" t="s">
        <v>38</v>
      </c>
      <c r="B2532" s="6">
        <v>45134</v>
      </c>
      <c r="C2532" s="2" t="s">
        <v>19</v>
      </c>
      <c r="D2532" s="8">
        <v>-68</v>
      </c>
      <c r="E2532" s="8">
        <f>E2531+(0-68)</f>
        <v>12567736.099999784</v>
      </c>
    </row>
    <row r="2533" spans="1:5" x14ac:dyDescent="0.25">
      <c r="A2533" s="2" t="s">
        <v>38</v>
      </c>
      <c r="B2533" s="6">
        <v>45135</v>
      </c>
      <c r="C2533" s="2" t="s">
        <v>53</v>
      </c>
      <c r="D2533" s="8">
        <v>-26.88</v>
      </c>
      <c r="E2533" s="8">
        <f>E2532+(0-26.88)</f>
        <v>12567709.219999783</v>
      </c>
    </row>
    <row r="2534" spans="1:5" x14ac:dyDescent="0.25">
      <c r="A2534" s="2" t="s">
        <v>38</v>
      </c>
      <c r="B2534" s="6">
        <v>45135</v>
      </c>
      <c r="C2534" s="2" t="s">
        <v>53</v>
      </c>
      <c r="D2534" s="8">
        <v>-53.75</v>
      </c>
      <c r="E2534" s="8">
        <f>E2533+(0-53.75)</f>
        <v>12567655.469999783</v>
      </c>
    </row>
    <row r="2535" spans="1:5" x14ac:dyDescent="0.25">
      <c r="A2535" s="2" t="s">
        <v>38</v>
      </c>
      <c r="B2535" s="6">
        <v>45135</v>
      </c>
      <c r="C2535" s="2" t="s">
        <v>53</v>
      </c>
      <c r="D2535" s="8">
        <v>-26.88</v>
      </c>
      <c r="E2535" s="8">
        <f>E2534+(0-26.88)</f>
        <v>12567628.589999782</v>
      </c>
    </row>
    <row r="2536" spans="1:5" x14ac:dyDescent="0.25">
      <c r="A2536" s="2" t="s">
        <v>38</v>
      </c>
      <c r="B2536" s="6">
        <v>45135</v>
      </c>
      <c r="C2536" s="2" t="s">
        <v>53</v>
      </c>
      <c r="D2536" s="8">
        <v>-53.75</v>
      </c>
      <c r="E2536" s="8">
        <f>E2535+(0-53.75)</f>
        <v>12567574.839999782</v>
      </c>
    </row>
    <row r="2537" spans="1:5" x14ac:dyDescent="0.25">
      <c r="A2537" s="2" t="s">
        <v>38</v>
      </c>
      <c r="B2537" s="6">
        <v>45135</v>
      </c>
      <c r="C2537" s="2" t="s">
        <v>53</v>
      </c>
      <c r="D2537" s="8">
        <v>-53.75</v>
      </c>
      <c r="E2537" s="8">
        <f>E2536+(0-53.75)</f>
        <v>12567521.089999782</v>
      </c>
    </row>
    <row r="2538" spans="1:5" x14ac:dyDescent="0.25">
      <c r="A2538" s="2" t="s">
        <v>38</v>
      </c>
      <c r="B2538" s="6">
        <v>45135</v>
      </c>
      <c r="C2538" s="2" t="s">
        <v>53</v>
      </c>
      <c r="D2538" s="8">
        <v>-50</v>
      </c>
      <c r="E2538" s="8">
        <f>E2537+(0-50)</f>
        <v>12567471.089999782</v>
      </c>
    </row>
    <row r="2539" spans="1:5" x14ac:dyDescent="0.25">
      <c r="A2539" s="2" t="s">
        <v>38</v>
      </c>
      <c r="B2539" s="6">
        <v>45135</v>
      </c>
      <c r="C2539" s="2" t="s">
        <v>53</v>
      </c>
      <c r="D2539" s="8">
        <v>-450</v>
      </c>
      <c r="E2539" s="8">
        <f>E2538+(0-450)</f>
        <v>12567021.089999782</v>
      </c>
    </row>
    <row r="2540" spans="1:5" x14ac:dyDescent="0.25">
      <c r="A2540" s="2" t="s">
        <v>38</v>
      </c>
      <c r="B2540" s="6">
        <v>45138</v>
      </c>
      <c r="C2540" s="2" t="s">
        <v>19</v>
      </c>
      <c r="D2540" s="8">
        <v>-56</v>
      </c>
      <c r="E2540" s="8">
        <f>E2539+(0-56)</f>
        <v>12566965.089999782</v>
      </c>
    </row>
    <row r="2541" spans="1:5" x14ac:dyDescent="0.25">
      <c r="A2541" s="2" t="s">
        <v>38</v>
      </c>
      <c r="B2541" s="6">
        <v>45138</v>
      </c>
      <c r="C2541" s="2" t="s">
        <v>19</v>
      </c>
      <c r="D2541" s="8">
        <v>-32</v>
      </c>
      <c r="E2541" s="8">
        <f>E2540+(0-32)</f>
        <v>12566933.089999782</v>
      </c>
    </row>
    <row r="2542" spans="1:5" x14ac:dyDescent="0.25">
      <c r="A2542" s="2" t="s">
        <v>38</v>
      </c>
      <c r="B2542" s="6">
        <v>45138</v>
      </c>
      <c r="C2542" s="2" t="s">
        <v>19</v>
      </c>
      <c r="D2542" s="8">
        <v>-36</v>
      </c>
      <c r="E2542" s="8">
        <f>E2541+(0-36)</f>
        <v>12566897.089999782</v>
      </c>
    </row>
    <row r="2543" spans="1:5" x14ac:dyDescent="0.25">
      <c r="A2543" s="2" t="s">
        <v>38</v>
      </c>
      <c r="B2543" s="6">
        <v>45138</v>
      </c>
      <c r="C2543" s="2" t="s">
        <v>19</v>
      </c>
      <c r="D2543" s="8">
        <v>-28</v>
      </c>
      <c r="E2543" s="8">
        <f>E2542+(0-28)</f>
        <v>12566869.089999782</v>
      </c>
    </row>
    <row r="2544" spans="1:5" x14ac:dyDescent="0.25">
      <c r="A2544" s="2" t="s">
        <v>38</v>
      </c>
      <c r="B2544" s="6">
        <v>45138</v>
      </c>
      <c r="C2544" s="2" t="s">
        <v>19</v>
      </c>
      <c r="D2544" s="8">
        <v>-88</v>
      </c>
      <c r="E2544" s="8">
        <f>E2543+(0-88)</f>
        <v>12566781.089999782</v>
      </c>
    </row>
    <row r="2545" spans="1:5" x14ac:dyDescent="0.25">
      <c r="A2545" s="2" t="s">
        <v>38</v>
      </c>
      <c r="B2545" s="6">
        <v>45138</v>
      </c>
      <c r="C2545" s="2" t="s">
        <v>19</v>
      </c>
      <c r="D2545" s="8">
        <v>-76</v>
      </c>
      <c r="E2545" s="8">
        <f>E2544+(0-76)</f>
        <v>12566705.089999782</v>
      </c>
    </row>
    <row r="2546" spans="1:5" x14ac:dyDescent="0.25">
      <c r="A2546" s="2" t="s">
        <v>38</v>
      </c>
      <c r="B2546" s="6">
        <v>45138</v>
      </c>
      <c r="C2546" s="2" t="s">
        <v>19</v>
      </c>
      <c r="D2546" s="8">
        <v>-92</v>
      </c>
      <c r="E2546" s="8">
        <f>E2545+(0-92)</f>
        <v>12566613.089999782</v>
      </c>
    </row>
    <row r="2547" spans="1:5" x14ac:dyDescent="0.25">
      <c r="A2547" s="2" t="s">
        <v>38</v>
      </c>
      <c r="B2547" s="6">
        <v>45138</v>
      </c>
      <c r="C2547" s="2" t="s">
        <v>19</v>
      </c>
      <c r="D2547" s="8">
        <v>-48</v>
      </c>
      <c r="E2547" s="8">
        <f>E2546+(0-48)</f>
        <v>12566565.089999782</v>
      </c>
    </row>
    <row r="2548" spans="1:5" x14ac:dyDescent="0.25">
      <c r="A2548" s="2" t="s">
        <v>38</v>
      </c>
      <c r="B2548" s="6">
        <v>45138</v>
      </c>
      <c r="C2548" s="2" t="s">
        <v>53</v>
      </c>
      <c r="D2548" s="8">
        <v>-53.75</v>
      </c>
      <c r="E2548" s="8">
        <f>E2547+(0-53.75)</f>
        <v>12566511.339999782</v>
      </c>
    </row>
    <row r="2549" spans="1:5" x14ac:dyDescent="0.25">
      <c r="A2549" s="2" t="s">
        <v>38</v>
      </c>
      <c r="B2549" s="6">
        <v>45138</v>
      </c>
      <c r="C2549" s="2" t="s">
        <v>53</v>
      </c>
      <c r="D2549" s="8">
        <v>-53.75</v>
      </c>
      <c r="E2549" s="8">
        <f>E2548+(0-53.75)</f>
        <v>12566457.589999782</v>
      </c>
    </row>
    <row r="2550" spans="1:5" x14ac:dyDescent="0.25">
      <c r="A2550" s="2" t="s">
        <v>38</v>
      </c>
      <c r="B2550" s="6">
        <v>45138</v>
      </c>
      <c r="C2550" s="2" t="s">
        <v>53</v>
      </c>
      <c r="D2550" s="8">
        <v>-350</v>
      </c>
      <c r="E2550" s="8">
        <f>E2549+(0-350)</f>
        <v>12566107.589999782</v>
      </c>
    </row>
    <row r="2551" spans="1:5" x14ac:dyDescent="0.25">
      <c r="A2551" s="2" t="s">
        <v>38</v>
      </c>
      <c r="B2551" s="6">
        <v>45139</v>
      </c>
      <c r="C2551" s="2" t="s">
        <v>174</v>
      </c>
      <c r="D2551" s="8">
        <v>-26.88</v>
      </c>
      <c r="E2551" s="8">
        <f>E2550+(0-26.88)</f>
        <v>12566080.709999781</v>
      </c>
    </row>
    <row r="2552" spans="1:5" x14ac:dyDescent="0.25">
      <c r="A2552" s="2" t="s">
        <v>38</v>
      </c>
      <c r="B2552" s="6">
        <v>45139</v>
      </c>
      <c r="C2552" s="2" t="s">
        <v>174</v>
      </c>
      <c r="D2552" s="8">
        <v>-50</v>
      </c>
      <c r="E2552" s="8">
        <f>E2551+(0-50)</f>
        <v>12566030.709999781</v>
      </c>
    </row>
    <row r="2553" spans="1:5" x14ac:dyDescent="0.25">
      <c r="A2553" s="2" t="s">
        <v>38</v>
      </c>
      <c r="B2553" s="6">
        <v>45139</v>
      </c>
      <c r="C2553" s="2" t="s">
        <v>174</v>
      </c>
      <c r="D2553" s="8">
        <v>-450</v>
      </c>
      <c r="E2553" s="8">
        <f>E2552+(0-450)</f>
        <v>12565580.709999781</v>
      </c>
    </row>
    <row r="2554" spans="1:5" x14ac:dyDescent="0.25">
      <c r="A2554" s="2" t="s">
        <v>38</v>
      </c>
      <c r="B2554" s="6">
        <v>45140</v>
      </c>
      <c r="C2554" s="2" t="s">
        <v>53</v>
      </c>
      <c r="D2554" s="8">
        <v>-500</v>
      </c>
      <c r="E2554" s="8">
        <f>E2553+(0-500)</f>
        <v>12565080.709999781</v>
      </c>
    </row>
    <row r="2555" spans="1:5" x14ac:dyDescent="0.25">
      <c r="A2555" s="2" t="s">
        <v>38</v>
      </c>
      <c r="B2555" s="6">
        <v>45141</v>
      </c>
      <c r="C2555" s="2" t="s">
        <v>53</v>
      </c>
      <c r="D2555" s="8">
        <v>-700</v>
      </c>
      <c r="E2555" s="8">
        <f>E2554+(0-700)</f>
        <v>12564380.709999781</v>
      </c>
    </row>
    <row r="2556" spans="1:5" x14ac:dyDescent="0.25">
      <c r="A2556" s="2" t="s">
        <v>38</v>
      </c>
      <c r="B2556" s="6">
        <v>45142</v>
      </c>
      <c r="C2556" s="2" t="s">
        <v>53</v>
      </c>
      <c r="D2556" s="8">
        <v>-26.88</v>
      </c>
      <c r="E2556" s="8">
        <f>E2555+(0-26.88)</f>
        <v>12564353.82999978</v>
      </c>
    </row>
    <row r="2557" spans="1:5" x14ac:dyDescent="0.25">
      <c r="A2557" s="2" t="s">
        <v>38</v>
      </c>
      <c r="B2557" s="6">
        <v>45142</v>
      </c>
      <c r="C2557" s="2" t="s">
        <v>53</v>
      </c>
      <c r="D2557" s="8">
        <v>-53.75</v>
      </c>
      <c r="E2557" s="8">
        <f>E2556+(0-53.75)</f>
        <v>12564300.07999978</v>
      </c>
    </row>
    <row r="2558" spans="1:5" x14ac:dyDescent="0.25">
      <c r="A2558" s="2" t="s">
        <v>38</v>
      </c>
      <c r="B2558" s="6">
        <v>45142</v>
      </c>
      <c r="C2558" s="2" t="s">
        <v>53</v>
      </c>
      <c r="D2558" s="8">
        <v>-26.88</v>
      </c>
      <c r="E2558" s="8">
        <f>E2557+(0-26.88)</f>
        <v>12564273.199999779</v>
      </c>
    </row>
    <row r="2559" spans="1:5" x14ac:dyDescent="0.25">
      <c r="A2559" s="2" t="s">
        <v>38</v>
      </c>
      <c r="B2559" s="6">
        <v>45142</v>
      </c>
      <c r="C2559" s="2" t="s">
        <v>53</v>
      </c>
      <c r="D2559" s="8">
        <v>-500</v>
      </c>
      <c r="E2559" s="8">
        <f>E2558+(0-500)</f>
        <v>12563773.199999779</v>
      </c>
    </row>
    <row r="2560" spans="1:5" x14ac:dyDescent="0.25">
      <c r="A2560" s="2" t="s">
        <v>38</v>
      </c>
      <c r="B2560" s="6">
        <v>45145</v>
      </c>
      <c r="C2560" s="2" t="s">
        <v>53</v>
      </c>
      <c r="D2560" s="8">
        <v>-350</v>
      </c>
      <c r="E2560" s="8">
        <f>E2559+(0-350)</f>
        <v>12563423.199999779</v>
      </c>
    </row>
    <row r="2561" spans="1:5" x14ac:dyDescent="0.25">
      <c r="A2561" s="2" t="s">
        <v>38</v>
      </c>
      <c r="B2561" s="6">
        <v>45145</v>
      </c>
      <c r="C2561" s="2" t="s">
        <v>53</v>
      </c>
      <c r="D2561" s="8">
        <v>-50</v>
      </c>
      <c r="E2561" s="8">
        <f>E2560+(0-50)</f>
        <v>12563373.199999779</v>
      </c>
    </row>
    <row r="2562" spans="1:5" x14ac:dyDescent="0.25">
      <c r="A2562" s="2" t="s">
        <v>38</v>
      </c>
      <c r="B2562" s="6">
        <v>45146</v>
      </c>
      <c r="C2562" s="2" t="s">
        <v>53</v>
      </c>
      <c r="D2562" s="8">
        <v>-10.75</v>
      </c>
      <c r="E2562" s="8">
        <f>E2561+(0-10.75)</f>
        <v>12563362.449999779</v>
      </c>
    </row>
    <row r="2563" spans="1:5" x14ac:dyDescent="0.25">
      <c r="A2563" s="2" t="s">
        <v>38</v>
      </c>
      <c r="B2563" s="6">
        <v>45146</v>
      </c>
      <c r="C2563" s="2" t="s">
        <v>53</v>
      </c>
      <c r="D2563" s="8">
        <v>-26.88</v>
      </c>
      <c r="E2563" s="8">
        <f>E2562+(0-26.88)</f>
        <v>12563335.569999779</v>
      </c>
    </row>
    <row r="2564" spans="1:5" x14ac:dyDescent="0.25">
      <c r="A2564" s="2" t="s">
        <v>38</v>
      </c>
      <c r="B2564" s="6">
        <v>45146</v>
      </c>
      <c r="C2564" s="2" t="s">
        <v>53</v>
      </c>
      <c r="D2564" s="8">
        <v>-26.88</v>
      </c>
      <c r="E2564" s="8">
        <f>E2563+(0-26.88)</f>
        <v>12563308.689999778</v>
      </c>
    </row>
    <row r="2565" spans="1:5" x14ac:dyDescent="0.25">
      <c r="A2565" s="2" t="s">
        <v>38</v>
      </c>
      <c r="B2565" s="6">
        <v>45146</v>
      </c>
      <c r="C2565" s="2" t="s">
        <v>53</v>
      </c>
      <c r="D2565" s="8">
        <v>-26.88</v>
      </c>
      <c r="E2565" s="8">
        <f>E2564+(0-26.88)</f>
        <v>12563281.809999777</v>
      </c>
    </row>
    <row r="2566" spans="1:5" x14ac:dyDescent="0.25">
      <c r="A2566" s="2" t="s">
        <v>38</v>
      </c>
      <c r="B2566" s="6">
        <v>45146</v>
      </c>
      <c r="C2566" s="2" t="s">
        <v>53</v>
      </c>
      <c r="D2566" s="8">
        <v>-50</v>
      </c>
      <c r="E2566" s="8">
        <f>E2565+(0-50)</f>
        <v>12563231.809999777</v>
      </c>
    </row>
    <row r="2567" spans="1:5" x14ac:dyDescent="0.25">
      <c r="A2567" s="2" t="s">
        <v>38</v>
      </c>
      <c r="B2567" s="6">
        <v>45146</v>
      </c>
      <c r="C2567" s="2" t="s">
        <v>53</v>
      </c>
      <c r="D2567" s="8">
        <v>-50</v>
      </c>
      <c r="E2567" s="8">
        <f>E2566+(0-50)</f>
        <v>12563181.809999777</v>
      </c>
    </row>
    <row r="2568" spans="1:5" x14ac:dyDescent="0.25">
      <c r="A2568" s="2" t="s">
        <v>38</v>
      </c>
      <c r="B2568" s="6">
        <v>45146</v>
      </c>
      <c r="C2568" s="2" t="s">
        <v>53</v>
      </c>
      <c r="D2568" s="8">
        <v>-700</v>
      </c>
      <c r="E2568" s="8">
        <f>E2567+(0-700)</f>
        <v>12562481.809999777</v>
      </c>
    </row>
    <row r="2569" spans="1:5" x14ac:dyDescent="0.25">
      <c r="A2569" s="2" t="s">
        <v>38</v>
      </c>
      <c r="B2569" s="6">
        <v>45147</v>
      </c>
      <c r="C2569" s="2" t="s">
        <v>53</v>
      </c>
      <c r="D2569" s="8">
        <v>-50</v>
      </c>
      <c r="E2569" s="8">
        <f>E2568+(0-50)</f>
        <v>12562431.809999777</v>
      </c>
    </row>
    <row r="2570" spans="1:5" x14ac:dyDescent="0.25">
      <c r="A2570" s="2" t="s">
        <v>38</v>
      </c>
      <c r="B2570" s="6">
        <v>45147</v>
      </c>
      <c r="C2570" s="2" t="s">
        <v>53</v>
      </c>
      <c r="D2570" s="8">
        <v>-300</v>
      </c>
      <c r="E2570" s="8">
        <f>E2569+(0-300)</f>
        <v>12562131.809999777</v>
      </c>
    </row>
    <row r="2571" spans="1:5" x14ac:dyDescent="0.25">
      <c r="A2571" s="2" t="s">
        <v>38</v>
      </c>
      <c r="B2571" s="6">
        <v>45147</v>
      </c>
      <c r="C2571" s="2" t="s">
        <v>53</v>
      </c>
      <c r="D2571" s="8">
        <v>-50</v>
      </c>
      <c r="E2571" s="8">
        <f>E2570+(0-50)</f>
        <v>12562081.809999777</v>
      </c>
    </row>
    <row r="2572" spans="1:5" x14ac:dyDescent="0.25">
      <c r="A2572" s="2" t="s">
        <v>38</v>
      </c>
      <c r="B2572" s="6">
        <v>45148</v>
      </c>
      <c r="C2572" s="2" t="s">
        <v>53</v>
      </c>
      <c r="D2572" s="8">
        <v>-53.75</v>
      </c>
      <c r="E2572" s="8">
        <f>E2571+(0-53.75)</f>
        <v>12562028.059999777</v>
      </c>
    </row>
    <row r="2573" spans="1:5" x14ac:dyDescent="0.25">
      <c r="A2573" s="2" t="s">
        <v>38</v>
      </c>
      <c r="B2573" s="6">
        <v>45148</v>
      </c>
      <c r="C2573" s="2" t="s">
        <v>53</v>
      </c>
      <c r="D2573" s="8">
        <v>-26.88</v>
      </c>
      <c r="E2573" s="8">
        <f>E2572+(0-26.88)</f>
        <v>12562001.179999776</v>
      </c>
    </row>
    <row r="2574" spans="1:5" x14ac:dyDescent="0.25">
      <c r="A2574" s="2" t="s">
        <v>38</v>
      </c>
      <c r="B2574" s="6">
        <v>45148</v>
      </c>
      <c r="C2574" s="2" t="s">
        <v>53</v>
      </c>
      <c r="D2574" s="8">
        <v>-400</v>
      </c>
      <c r="E2574" s="8">
        <f>E2573+(0-400)</f>
        <v>12561601.179999776</v>
      </c>
    </row>
    <row r="2575" spans="1:5" x14ac:dyDescent="0.25">
      <c r="A2575" s="2" t="s">
        <v>38</v>
      </c>
      <c r="B2575" s="6">
        <v>45149</v>
      </c>
      <c r="C2575" s="2" t="s">
        <v>53</v>
      </c>
      <c r="D2575" s="8">
        <v>-550</v>
      </c>
      <c r="E2575" s="8">
        <f>E2574+(0-550)</f>
        <v>12561051.179999776</v>
      </c>
    </row>
    <row r="2576" spans="1:5" x14ac:dyDescent="0.25">
      <c r="A2576" s="2" t="s">
        <v>38</v>
      </c>
      <c r="B2576" s="6">
        <v>45149</v>
      </c>
      <c r="C2576" s="2" t="s">
        <v>53</v>
      </c>
      <c r="D2576" s="8">
        <v>-100</v>
      </c>
      <c r="E2576" s="8">
        <f>E2575+(0-100)</f>
        <v>12560951.179999776</v>
      </c>
    </row>
    <row r="2577" spans="1:5" x14ac:dyDescent="0.25">
      <c r="A2577" s="2" t="s">
        <v>38</v>
      </c>
      <c r="B2577" s="6">
        <v>45152</v>
      </c>
      <c r="C2577" s="2" t="s">
        <v>19</v>
      </c>
      <c r="D2577" s="8">
        <v>-108</v>
      </c>
      <c r="E2577" s="8">
        <f>E2576+(0-108)</f>
        <v>12560843.179999776</v>
      </c>
    </row>
    <row r="2578" spans="1:5" x14ac:dyDescent="0.25">
      <c r="A2578" s="2" t="s">
        <v>38</v>
      </c>
      <c r="B2578" s="6">
        <v>45152</v>
      </c>
      <c r="C2578" s="2" t="s">
        <v>19</v>
      </c>
      <c r="D2578" s="8">
        <v>-4</v>
      </c>
      <c r="E2578" s="8">
        <f>E2577+(0-4)</f>
        <v>12560839.179999776</v>
      </c>
    </row>
    <row r="2579" spans="1:5" x14ac:dyDescent="0.25">
      <c r="A2579" s="2" t="s">
        <v>38</v>
      </c>
      <c r="B2579" s="6">
        <v>45152</v>
      </c>
      <c r="C2579" s="2" t="s">
        <v>19</v>
      </c>
      <c r="D2579" s="8">
        <v>-8</v>
      </c>
      <c r="E2579" s="8">
        <f>E2578+(0-8)</f>
        <v>12560831.179999776</v>
      </c>
    </row>
    <row r="2580" spans="1:5" x14ac:dyDescent="0.25">
      <c r="A2580" s="2" t="s">
        <v>38</v>
      </c>
      <c r="B2580" s="6">
        <v>45152</v>
      </c>
      <c r="C2580" s="2" t="s">
        <v>19</v>
      </c>
      <c r="D2580" s="8">
        <v>-20</v>
      </c>
      <c r="E2580" s="8">
        <f>E2579+(0-20)</f>
        <v>12560811.179999776</v>
      </c>
    </row>
    <row r="2581" spans="1:5" x14ac:dyDescent="0.25">
      <c r="A2581" s="2" t="s">
        <v>38</v>
      </c>
      <c r="B2581" s="6">
        <v>45152</v>
      </c>
      <c r="C2581" s="2" t="s">
        <v>19</v>
      </c>
      <c r="D2581" s="8">
        <v>-64</v>
      </c>
      <c r="E2581" s="8">
        <f>E2580+(0-64)</f>
        <v>12560747.179999776</v>
      </c>
    </row>
    <row r="2582" spans="1:5" x14ac:dyDescent="0.25">
      <c r="A2582" s="2" t="s">
        <v>38</v>
      </c>
      <c r="B2582" s="6">
        <v>45152</v>
      </c>
      <c r="C2582" s="2" t="s">
        <v>19</v>
      </c>
      <c r="D2582" s="8">
        <v>-40</v>
      </c>
      <c r="E2582" s="8">
        <f>E2581+(0-40)</f>
        <v>12560707.179999776</v>
      </c>
    </row>
    <row r="2583" spans="1:5" x14ac:dyDescent="0.25">
      <c r="A2583" s="2" t="s">
        <v>38</v>
      </c>
      <c r="B2583" s="6">
        <v>45152</v>
      </c>
      <c r="C2583" s="2" t="s">
        <v>19</v>
      </c>
      <c r="D2583" s="8">
        <v>-32</v>
      </c>
      <c r="E2583" s="8">
        <f>E2582+(0-32)</f>
        <v>12560675.179999776</v>
      </c>
    </row>
    <row r="2584" spans="1:5" x14ac:dyDescent="0.25">
      <c r="A2584" s="2" t="s">
        <v>38</v>
      </c>
      <c r="B2584" s="6">
        <v>45152</v>
      </c>
      <c r="C2584" s="2" t="s">
        <v>19</v>
      </c>
      <c r="D2584" s="8">
        <v>-68</v>
      </c>
      <c r="E2584" s="8">
        <f>E2583+(0-68)</f>
        <v>12560607.179999776</v>
      </c>
    </row>
    <row r="2585" spans="1:5" x14ac:dyDescent="0.25">
      <c r="A2585" s="2" t="s">
        <v>38</v>
      </c>
      <c r="B2585" s="6">
        <v>45152</v>
      </c>
      <c r="C2585" s="2" t="s">
        <v>19</v>
      </c>
      <c r="D2585" s="8">
        <v>-8</v>
      </c>
      <c r="E2585" s="8">
        <f>E2584+(0-8)</f>
        <v>12560599.179999776</v>
      </c>
    </row>
    <row r="2586" spans="1:5" x14ac:dyDescent="0.25">
      <c r="A2586" s="2" t="s">
        <v>38</v>
      </c>
      <c r="B2586" s="6">
        <v>45152</v>
      </c>
      <c r="C2586" s="2" t="s">
        <v>19</v>
      </c>
      <c r="D2586" s="8">
        <v>-16</v>
      </c>
      <c r="E2586" s="8">
        <f>E2585+(0-16)</f>
        <v>12560583.179999776</v>
      </c>
    </row>
    <row r="2587" spans="1:5" x14ac:dyDescent="0.25">
      <c r="A2587" s="2" t="s">
        <v>38</v>
      </c>
      <c r="B2587" s="6">
        <v>45152</v>
      </c>
      <c r="C2587" s="2" t="s">
        <v>19</v>
      </c>
      <c r="D2587" s="8">
        <v>-88</v>
      </c>
      <c r="E2587" s="8">
        <f>E2586+(0-88)</f>
        <v>12560495.179999776</v>
      </c>
    </row>
    <row r="2588" spans="1:5" x14ac:dyDescent="0.25">
      <c r="A2588" s="2" t="s">
        <v>38</v>
      </c>
      <c r="B2588" s="6">
        <v>45152</v>
      </c>
      <c r="C2588" s="2" t="s">
        <v>19</v>
      </c>
      <c r="D2588" s="8">
        <v>-24</v>
      </c>
      <c r="E2588" s="8">
        <f>E2587+(0-24)</f>
        <v>12560471.179999776</v>
      </c>
    </row>
    <row r="2589" spans="1:5" x14ac:dyDescent="0.25">
      <c r="A2589" s="2" t="s">
        <v>38</v>
      </c>
      <c r="B2589" s="6">
        <v>45152</v>
      </c>
      <c r="C2589" s="2" t="s">
        <v>19</v>
      </c>
      <c r="D2589" s="8">
        <v>-56</v>
      </c>
      <c r="E2589" s="8">
        <f>E2588+(0-56)</f>
        <v>12560415.179999776</v>
      </c>
    </row>
    <row r="2590" spans="1:5" x14ac:dyDescent="0.25">
      <c r="A2590" s="2" t="s">
        <v>38</v>
      </c>
      <c r="B2590" s="6">
        <v>45152</v>
      </c>
      <c r="C2590" s="2" t="s">
        <v>19</v>
      </c>
      <c r="D2590" s="8">
        <v>-48</v>
      </c>
      <c r="E2590" s="8">
        <f>E2589+(0-48)</f>
        <v>12560367.179999776</v>
      </c>
    </row>
    <row r="2591" spans="1:5" x14ac:dyDescent="0.25">
      <c r="A2591" s="2" t="s">
        <v>38</v>
      </c>
      <c r="B2591" s="6">
        <v>45152</v>
      </c>
      <c r="C2591" s="2" t="s">
        <v>19</v>
      </c>
      <c r="D2591" s="8">
        <v>-12</v>
      </c>
      <c r="E2591" s="8">
        <f>E2590+(0-12)</f>
        <v>12560355.179999776</v>
      </c>
    </row>
    <row r="2592" spans="1:5" x14ac:dyDescent="0.25">
      <c r="A2592" s="2" t="s">
        <v>38</v>
      </c>
      <c r="B2592" s="6">
        <v>45152</v>
      </c>
      <c r="C2592" s="2" t="s">
        <v>53</v>
      </c>
      <c r="D2592" s="8">
        <v>-350</v>
      </c>
      <c r="E2592" s="8">
        <f>E2591+(0-350)</f>
        <v>12560005.179999776</v>
      </c>
    </row>
    <row r="2593" spans="1:5" x14ac:dyDescent="0.25">
      <c r="A2593" s="2" t="s">
        <v>38</v>
      </c>
      <c r="B2593" s="6">
        <v>45153</v>
      </c>
      <c r="C2593" s="2" t="s">
        <v>19</v>
      </c>
      <c r="D2593" s="8">
        <v>-20</v>
      </c>
      <c r="E2593" s="8">
        <f>E2592+(0-20)</f>
        <v>12559985.179999776</v>
      </c>
    </row>
    <row r="2594" spans="1:5" x14ac:dyDescent="0.25">
      <c r="A2594" s="2" t="s">
        <v>38</v>
      </c>
      <c r="B2594" s="6">
        <v>45153</v>
      </c>
      <c r="C2594" s="2" t="s">
        <v>53</v>
      </c>
      <c r="D2594" s="8">
        <v>-53.75</v>
      </c>
      <c r="E2594" s="8">
        <f>E2593+(0-53.75)</f>
        <v>12559931.429999776</v>
      </c>
    </row>
    <row r="2595" spans="1:5" x14ac:dyDescent="0.25">
      <c r="A2595" s="2" t="s">
        <v>38</v>
      </c>
      <c r="B2595" s="6">
        <v>45153</v>
      </c>
      <c r="C2595" s="2" t="s">
        <v>53</v>
      </c>
      <c r="D2595" s="8">
        <v>-450</v>
      </c>
      <c r="E2595" s="8">
        <f>E2594+(0-450)</f>
        <v>12559481.429999776</v>
      </c>
    </row>
    <row r="2596" spans="1:5" x14ac:dyDescent="0.25">
      <c r="A2596" s="2" t="s">
        <v>38</v>
      </c>
      <c r="B2596" s="6">
        <v>45154</v>
      </c>
      <c r="C2596" s="2" t="s">
        <v>53</v>
      </c>
      <c r="D2596" s="8">
        <v>-50</v>
      </c>
      <c r="E2596" s="8">
        <f>E2595+(0-50)</f>
        <v>12559431.429999776</v>
      </c>
    </row>
    <row r="2597" spans="1:5" x14ac:dyDescent="0.25">
      <c r="A2597" s="2" t="s">
        <v>38</v>
      </c>
      <c r="B2597" s="6">
        <v>45154</v>
      </c>
      <c r="C2597" s="2" t="s">
        <v>53</v>
      </c>
      <c r="D2597" s="8">
        <v>-650</v>
      </c>
      <c r="E2597" s="8">
        <f>E2596+(0-650)</f>
        <v>12558781.429999776</v>
      </c>
    </row>
    <row r="2598" spans="1:5" x14ac:dyDescent="0.25">
      <c r="A2598" s="2" t="s">
        <v>38</v>
      </c>
      <c r="B2598" s="6">
        <v>45155</v>
      </c>
      <c r="C2598" s="2" t="s">
        <v>19</v>
      </c>
      <c r="D2598" s="8">
        <v>-32</v>
      </c>
      <c r="E2598" s="8">
        <f>E2597+(0-32)</f>
        <v>12558749.429999776</v>
      </c>
    </row>
    <row r="2599" spans="1:5" x14ac:dyDescent="0.25">
      <c r="A2599" s="2" t="s">
        <v>38</v>
      </c>
      <c r="B2599" s="6">
        <v>45155</v>
      </c>
      <c r="C2599" s="2" t="s">
        <v>196</v>
      </c>
      <c r="D2599" s="8">
        <v>-48</v>
      </c>
      <c r="E2599" s="8">
        <f>E2598+(0-48)</f>
        <v>12558701.429999776</v>
      </c>
    </row>
    <row r="2600" spans="1:5" x14ac:dyDescent="0.25">
      <c r="A2600" s="2" t="s">
        <v>38</v>
      </c>
      <c r="B2600" s="6">
        <v>45155</v>
      </c>
      <c r="C2600" s="2" t="s">
        <v>53</v>
      </c>
      <c r="D2600" s="8">
        <v>-50</v>
      </c>
      <c r="E2600" s="8">
        <f>E2599+(0-50)</f>
        <v>12558651.429999776</v>
      </c>
    </row>
    <row r="2601" spans="1:5" x14ac:dyDescent="0.25">
      <c r="A2601" s="2" t="s">
        <v>38</v>
      </c>
      <c r="B2601" s="6">
        <v>45155</v>
      </c>
      <c r="C2601" s="2" t="s">
        <v>53</v>
      </c>
      <c r="D2601" s="8">
        <v>-53.75</v>
      </c>
      <c r="E2601" s="8">
        <f>E2600+(0-53.75)</f>
        <v>12558597.679999776</v>
      </c>
    </row>
    <row r="2602" spans="1:5" x14ac:dyDescent="0.25">
      <c r="A2602" s="2" t="s">
        <v>38</v>
      </c>
      <c r="B2602" s="6">
        <v>45155</v>
      </c>
      <c r="C2602" s="2" t="s">
        <v>53</v>
      </c>
      <c r="D2602" s="8">
        <v>-26.88</v>
      </c>
      <c r="E2602" s="8">
        <f>E2601+(0-26.88)</f>
        <v>12558570.799999775</v>
      </c>
    </row>
    <row r="2603" spans="1:5" x14ac:dyDescent="0.25">
      <c r="A2603" s="2" t="s">
        <v>38</v>
      </c>
      <c r="B2603" s="6">
        <v>45155</v>
      </c>
      <c r="C2603" s="2" t="s">
        <v>53</v>
      </c>
      <c r="D2603" s="8">
        <v>-500</v>
      </c>
      <c r="E2603" s="8">
        <f>E2602+(0-500)</f>
        <v>12558070.799999775</v>
      </c>
    </row>
    <row r="2604" spans="1:5" x14ac:dyDescent="0.25">
      <c r="A2604" s="2" t="s">
        <v>38</v>
      </c>
      <c r="B2604" s="6">
        <v>45155</v>
      </c>
      <c r="C2604" s="2" t="s">
        <v>53</v>
      </c>
      <c r="D2604" s="8">
        <v>-50</v>
      </c>
      <c r="E2604" s="8">
        <f>E2603+(0-50)</f>
        <v>12558020.799999775</v>
      </c>
    </row>
    <row r="2605" spans="1:5" x14ac:dyDescent="0.25">
      <c r="A2605" s="2" t="s">
        <v>38</v>
      </c>
      <c r="B2605" s="6">
        <v>45156</v>
      </c>
      <c r="C2605" s="2" t="s">
        <v>53</v>
      </c>
      <c r="D2605" s="8">
        <v>-26.88</v>
      </c>
      <c r="E2605" s="8">
        <f>E2604+(0-26.88)</f>
        <v>12557993.919999775</v>
      </c>
    </row>
    <row r="2606" spans="1:5" x14ac:dyDescent="0.25">
      <c r="A2606" s="2" t="s">
        <v>38</v>
      </c>
      <c r="B2606" s="6">
        <v>45156</v>
      </c>
      <c r="C2606" s="2" t="s">
        <v>53</v>
      </c>
      <c r="D2606" s="8">
        <v>-53.75</v>
      </c>
      <c r="E2606" s="8">
        <f>E2605+(0-53.75)</f>
        <v>12557940.169999775</v>
      </c>
    </row>
    <row r="2607" spans="1:5" x14ac:dyDescent="0.25">
      <c r="A2607" s="2" t="s">
        <v>38</v>
      </c>
      <c r="B2607" s="6">
        <v>45156</v>
      </c>
      <c r="C2607" s="2" t="s">
        <v>53</v>
      </c>
      <c r="D2607" s="8">
        <v>-600</v>
      </c>
      <c r="E2607" s="8">
        <f>E2606+(0-600)</f>
        <v>12557340.169999775</v>
      </c>
    </row>
    <row r="2608" spans="1:5" x14ac:dyDescent="0.25">
      <c r="A2608" s="2" t="s">
        <v>38</v>
      </c>
      <c r="B2608" s="6">
        <v>45156</v>
      </c>
      <c r="C2608" s="2" t="s">
        <v>53</v>
      </c>
      <c r="D2608" s="8">
        <v>-100</v>
      </c>
      <c r="E2608" s="8">
        <f>E2607+(0-100)</f>
        <v>12557240.169999775</v>
      </c>
    </row>
    <row r="2609" spans="1:5" x14ac:dyDescent="0.25">
      <c r="A2609" s="2" t="s">
        <v>38</v>
      </c>
      <c r="B2609" s="6">
        <v>45159</v>
      </c>
      <c r="C2609" s="2" t="s">
        <v>19</v>
      </c>
      <c r="D2609" s="8">
        <v>-72</v>
      </c>
      <c r="E2609" s="8">
        <f>E2608+(0-72)</f>
        <v>12557168.169999775</v>
      </c>
    </row>
    <row r="2610" spans="1:5" x14ac:dyDescent="0.25">
      <c r="A2610" s="2" t="s">
        <v>38</v>
      </c>
      <c r="B2610" s="6">
        <v>45159</v>
      </c>
      <c r="C2610" s="2" t="s">
        <v>53</v>
      </c>
      <c r="D2610" s="8">
        <v>-53.75</v>
      </c>
      <c r="E2610" s="8">
        <f>E2609+(0-53.75)</f>
        <v>12557114.419999775</v>
      </c>
    </row>
    <row r="2611" spans="1:5" x14ac:dyDescent="0.25">
      <c r="A2611" s="2" t="s">
        <v>38</v>
      </c>
      <c r="B2611" s="6">
        <v>45159</v>
      </c>
      <c r="C2611" s="2" t="s">
        <v>53</v>
      </c>
      <c r="D2611" s="8">
        <v>-26.88</v>
      </c>
      <c r="E2611" s="8">
        <f>E2610+(0-26.88)</f>
        <v>12557087.539999774</v>
      </c>
    </row>
    <row r="2612" spans="1:5" x14ac:dyDescent="0.25">
      <c r="A2612" s="2" t="s">
        <v>38</v>
      </c>
      <c r="B2612" s="6">
        <v>45159</v>
      </c>
      <c r="C2612" s="2" t="s">
        <v>53</v>
      </c>
      <c r="D2612" s="8">
        <v>-26.88</v>
      </c>
      <c r="E2612" s="8">
        <f>E2611+(0-26.88)</f>
        <v>12557060.659999773</v>
      </c>
    </row>
    <row r="2613" spans="1:5" x14ac:dyDescent="0.25">
      <c r="A2613" s="2" t="s">
        <v>38</v>
      </c>
      <c r="B2613" s="6">
        <v>45159</v>
      </c>
      <c r="C2613" s="2" t="s">
        <v>19</v>
      </c>
      <c r="D2613" s="8">
        <v>-24</v>
      </c>
      <c r="E2613" s="8">
        <f>E2612+(0-24)</f>
        <v>12557036.659999773</v>
      </c>
    </row>
    <row r="2614" spans="1:5" x14ac:dyDescent="0.25">
      <c r="A2614" s="2" t="s">
        <v>38</v>
      </c>
      <c r="B2614" s="6">
        <v>45159</v>
      </c>
      <c r="C2614" s="2" t="s">
        <v>19</v>
      </c>
      <c r="D2614" s="8">
        <v>-4</v>
      </c>
      <c r="E2614" s="8">
        <f>E2613+(0-4)</f>
        <v>12557032.659999773</v>
      </c>
    </row>
    <row r="2615" spans="1:5" x14ac:dyDescent="0.25">
      <c r="A2615" s="2" t="s">
        <v>38</v>
      </c>
      <c r="B2615" s="6">
        <v>45159</v>
      </c>
      <c r="C2615" s="2" t="s">
        <v>53</v>
      </c>
      <c r="D2615" s="8">
        <v>-10.75</v>
      </c>
      <c r="E2615" s="8">
        <f>E2614+(0-10.75)</f>
        <v>12557021.909999773</v>
      </c>
    </row>
    <row r="2616" spans="1:5" x14ac:dyDescent="0.25">
      <c r="A2616" s="2" t="s">
        <v>38</v>
      </c>
      <c r="B2616" s="6">
        <v>45159</v>
      </c>
      <c r="C2616" s="2" t="s">
        <v>53</v>
      </c>
      <c r="D2616" s="8">
        <v>-550</v>
      </c>
      <c r="E2616" s="8">
        <f>E2615+(0-550)</f>
        <v>12556471.909999773</v>
      </c>
    </row>
    <row r="2617" spans="1:5" x14ac:dyDescent="0.25">
      <c r="A2617" s="2" t="s">
        <v>38</v>
      </c>
      <c r="B2617" s="6">
        <v>45160</v>
      </c>
      <c r="C2617" s="2" t="s">
        <v>19</v>
      </c>
      <c r="D2617" s="8">
        <v>-76</v>
      </c>
      <c r="E2617" s="8">
        <f>E2616+(0-76)</f>
        <v>12556395.909999773</v>
      </c>
    </row>
    <row r="2618" spans="1:5" x14ac:dyDescent="0.25">
      <c r="A2618" s="2" t="s">
        <v>38</v>
      </c>
      <c r="B2618" s="6">
        <v>45160</v>
      </c>
      <c r="C2618" s="2" t="s">
        <v>53</v>
      </c>
      <c r="D2618" s="8">
        <v>-53.75</v>
      </c>
      <c r="E2618" s="8">
        <f>E2617+(0-53.75)</f>
        <v>12556342.159999773</v>
      </c>
    </row>
    <row r="2619" spans="1:5" x14ac:dyDescent="0.25">
      <c r="A2619" s="2" t="s">
        <v>38</v>
      </c>
      <c r="B2619" s="6">
        <v>45160</v>
      </c>
      <c r="C2619" s="2" t="s">
        <v>53</v>
      </c>
      <c r="D2619" s="8">
        <v>-50</v>
      </c>
      <c r="E2619" s="8">
        <f>E2618+(0-50)</f>
        <v>12556292.159999773</v>
      </c>
    </row>
    <row r="2620" spans="1:5" x14ac:dyDescent="0.25">
      <c r="A2620" s="2" t="s">
        <v>38</v>
      </c>
      <c r="B2620" s="6">
        <v>45160</v>
      </c>
      <c r="C2620" s="2" t="s">
        <v>53</v>
      </c>
      <c r="D2620" s="8">
        <v>-300</v>
      </c>
      <c r="E2620" s="8">
        <f>E2619+(0-300)</f>
        <v>12555992.159999773</v>
      </c>
    </row>
    <row r="2621" spans="1:5" x14ac:dyDescent="0.25">
      <c r="A2621" s="2" t="s">
        <v>38</v>
      </c>
      <c r="B2621" s="6">
        <v>45161</v>
      </c>
      <c r="C2621" s="2" t="s">
        <v>19</v>
      </c>
      <c r="D2621" s="8">
        <v>-76</v>
      </c>
      <c r="E2621" s="8">
        <f>E2620+(0-76)</f>
        <v>12555916.159999773</v>
      </c>
    </row>
    <row r="2622" spans="1:5" x14ac:dyDescent="0.25">
      <c r="A2622" s="2" t="s">
        <v>38</v>
      </c>
      <c r="B2622" s="6">
        <v>45161</v>
      </c>
      <c r="C2622" s="2" t="s">
        <v>19</v>
      </c>
      <c r="D2622" s="8">
        <v>-48</v>
      </c>
      <c r="E2622" s="8">
        <f>E2621+(0-48)</f>
        <v>12555868.159999773</v>
      </c>
    </row>
    <row r="2623" spans="1:5" x14ac:dyDescent="0.25">
      <c r="A2623" s="2" t="s">
        <v>38</v>
      </c>
      <c r="B2623" s="6">
        <v>45161</v>
      </c>
      <c r="C2623" s="2" t="s">
        <v>53</v>
      </c>
      <c r="D2623" s="8">
        <v>-53.75</v>
      </c>
      <c r="E2623" s="8">
        <f>E2622+(0-53.75)</f>
        <v>12555814.409999773</v>
      </c>
    </row>
    <row r="2624" spans="1:5" x14ac:dyDescent="0.25">
      <c r="A2624" s="2" t="s">
        <v>38</v>
      </c>
      <c r="B2624" s="6">
        <v>45161</v>
      </c>
      <c r="C2624" s="2" t="s">
        <v>53</v>
      </c>
      <c r="D2624" s="8">
        <v>-500</v>
      </c>
      <c r="E2624" s="8">
        <f>E2623+(0-500)</f>
        <v>12555314.409999773</v>
      </c>
    </row>
    <row r="2625" spans="1:5" x14ac:dyDescent="0.25">
      <c r="A2625" s="2" t="s">
        <v>38</v>
      </c>
      <c r="B2625" s="6">
        <v>45161</v>
      </c>
      <c r="C2625" s="2" t="s">
        <v>53</v>
      </c>
      <c r="D2625" s="8">
        <v>-100</v>
      </c>
      <c r="E2625" s="8">
        <f>E2624+(0-100)</f>
        <v>12555214.409999773</v>
      </c>
    </row>
    <row r="2626" spans="1:5" x14ac:dyDescent="0.25">
      <c r="A2626" s="2" t="s">
        <v>38</v>
      </c>
      <c r="B2626" s="6">
        <v>45162</v>
      </c>
      <c r="C2626" s="2" t="s">
        <v>19</v>
      </c>
      <c r="D2626" s="8">
        <v>-48</v>
      </c>
      <c r="E2626" s="8">
        <f>E2625+(0-48)</f>
        <v>12555166.409999773</v>
      </c>
    </row>
    <row r="2627" spans="1:5" x14ac:dyDescent="0.25">
      <c r="A2627" s="2" t="s">
        <v>38</v>
      </c>
      <c r="B2627" s="6">
        <v>45162</v>
      </c>
      <c r="C2627" s="2" t="s">
        <v>53</v>
      </c>
      <c r="D2627" s="8">
        <v>-500</v>
      </c>
      <c r="E2627" s="8">
        <f>E2626+(0-500)</f>
        <v>12554666.409999773</v>
      </c>
    </row>
    <row r="2628" spans="1:5" x14ac:dyDescent="0.25">
      <c r="A2628" s="2" t="s">
        <v>38</v>
      </c>
      <c r="B2628" s="6">
        <v>45163</v>
      </c>
      <c r="C2628" s="2" t="s">
        <v>53</v>
      </c>
      <c r="D2628" s="8">
        <v>-26.88</v>
      </c>
      <c r="E2628" s="8">
        <f>E2627+(0-26.88)</f>
        <v>12554639.529999772</v>
      </c>
    </row>
    <row r="2629" spans="1:5" x14ac:dyDescent="0.25">
      <c r="A2629" s="2" t="s">
        <v>38</v>
      </c>
      <c r="B2629" s="6">
        <v>45163</v>
      </c>
      <c r="C2629" s="2" t="s">
        <v>53</v>
      </c>
      <c r="D2629" s="8">
        <v>-26.88</v>
      </c>
      <c r="E2629" s="8">
        <f>E2628+(0-26.88)</f>
        <v>12554612.649999771</v>
      </c>
    </row>
    <row r="2630" spans="1:5" x14ac:dyDescent="0.25">
      <c r="A2630" s="2" t="s">
        <v>38</v>
      </c>
      <c r="B2630" s="6">
        <v>45163</v>
      </c>
      <c r="C2630" s="2" t="s">
        <v>53</v>
      </c>
      <c r="D2630" s="8">
        <v>-26.88</v>
      </c>
      <c r="E2630" s="8">
        <f>E2629+(0-26.88)</f>
        <v>12554585.76999977</v>
      </c>
    </row>
    <row r="2631" spans="1:5" x14ac:dyDescent="0.25">
      <c r="A2631" s="2" t="s">
        <v>38</v>
      </c>
      <c r="B2631" s="6">
        <v>45163</v>
      </c>
      <c r="C2631" s="2" t="s">
        <v>53</v>
      </c>
      <c r="D2631" s="8">
        <v>-53.75</v>
      </c>
      <c r="E2631" s="8">
        <f>E2630+(0-53.75)</f>
        <v>12554532.01999977</v>
      </c>
    </row>
    <row r="2632" spans="1:5" x14ac:dyDescent="0.25">
      <c r="A2632" s="2" t="s">
        <v>38</v>
      </c>
      <c r="B2632" s="6">
        <v>45163</v>
      </c>
      <c r="C2632" s="2" t="s">
        <v>53</v>
      </c>
      <c r="D2632" s="8">
        <v>-53.75</v>
      </c>
      <c r="E2632" s="8">
        <f>E2631+(0-53.75)</f>
        <v>12554478.26999977</v>
      </c>
    </row>
    <row r="2633" spans="1:5" x14ac:dyDescent="0.25">
      <c r="A2633" s="2" t="s">
        <v>38</v>
      </c>
      <c r="B2633" s="6">
        <v>45163</v>
      </c>
      <c r="C2633" s="2" t="s">
        <v>53</v>
      </c>
      <c r="D2633" s="8">
        <v>-53.75</v>
      </c>
      <c r="E2633" s="8">
        <f>E2632+(0-53.75)</f>
        <v>12554424.51999977</v>
      </c>
    </row>
    <row r="2634" spans="1:5" x14ac:dyDescent="0.25">
      <c r="A2634" s="2" t="s">
        <v>38</v>
      </c>
      <c r="B2634" s="6">
        <v>45163</v>
      </c>
      <c r="C2634" s="2" t="s">
        <v>53</v>
      </c>
      <c r="D2634" s="8">
        <v>-250</v>
      </c>
      <c r="E2634" s="8">
        <f>E2633+(0-250)</f>
        <v>12554174.51999977</v>
      </c>
    </row>
    <row r="2635" spans="1:5" x14ac:dyDescent="0.25">
      <c r="A2635" s="2" t="s">
        <v>38</v>
      </c>
      <c r="B2635" s="6">
        <v>45166</v>
      </c>
      <c r="C2635" s="2" t="s">
        <v>19</v>
      </c>
      <c r="D2635" s="8">
        <v>-36</v>
      </c>
      <c r="E2635" s="8">
        <f>E2634+(0-36)</f>
        <v>12554138.51999977</v>
      </c>
    </row>
    <row r="2636" spans="1:5" x14ac:dyDescent="0.25">
      <c r="A2636" s="2" t="s">
        <v>38</v>
      </c>
      <c r="B2636" s="6">
        <v>45166</v>
      </c>
      <c r="C2636" s="2" t="s">
        <v>19</v>
      </c>
      <c r="D2636" s="8">
        <v>-76</v>
      </c>
      <c r="E2636" s="8">
        <f>E2635+(0-76)</f>
        <v>12554062.51999977</v>
      </c>
    </row>
    <row r="2637" spans="1:5" x14ac:dyDescent="0.25">
      <c r="A2637" s="2" t="s">
        <v>38</v>
      </c>
      <c r="B2637" s="6">
        <v>45166</v>
      </c>
      <c r="C2637" s="2" t="s">
        <v>19</v>
      </c>
      <c r="D2637" s="8">
        <v>-12</v>
      </c>
      <c r="E2637" s="8">
        <f>E2636+(0-12)</f>
        <v>12554050.51999977</v>
      </c>
    </row>
    <row r="2638" spans="1:5" x14ac:dyDescent="0.25">
      <c r="A2638" s="2" t="s">
        <v>38</v>
      </c>
      <c r="B2638" s="6">
        <v>45166</v>
      </c>
      <c r="C2638" s="2" t="s">
        <v>174</v>
      </c>
      <c r="D2638" s="8">
        <v>-700</v>
      </c>
      <c r="E2638" s="8">
        <f>E2637+(0-700)</f>
        <v>12553350.51999977</v>
      </c>
    </row>
    <row r="2639" spans="1:5" x14ac:dyDescent="0.25">
      <c r="A2639" s="2" t="s">
        <v>38</v>
      </c>
      <c r="B2639" s="6">
        <v>45167</v>
      </c>
      <c r="C2639" s="2" t="s">
        <v>19</v>
      </c>
      <c r="D2639" s="8">
        <v>-4</v>
      </c>
      <c r="E2639" s="8">
        <f>E2638+(0-4)</f>
        <v>12553346.51999977</v>
      </c>
    </row>
    <row r="2640" spans="1:5" x14ac:dyDescent="0.25">
      <c r="A2640" s="2" t="s">
        <v>38</v>
      </c>
      <c r="B2640" s="6">
        <v>45167</v>
      </c>
      <c r="C2640" s="2" t="s">
        <v>19</v>
      </c>
      <c r="D2640" s="8">
        <v>-60</v>
      </c>
      <c r="E2640" s="8">
        <f>E2639+(0-60)</f>
        <v>12553286.51999977</v>
      </c>
    </row>
    <row r="2641" spans="1:5" x14ac:dyDescent="0.25">
      <c r="A2641" s="2" t="s">
        <v>38</v>
      </c>
      <c r="B2641" s="6">
        <v>45167</v>
      </c>
      <c r="C2641" s="2" t="s">
        <v>174</v>
      </c>
      <c r="D2641" s="8">
        <v>-300</v>
      </c>
      <c r="E2641" s="8">
        <f>E2640+(0-300)</f>
        <v>12552986.51999977</v>
      </c>
    </row>
    <row r="2642" spans="1:5" x14ac:dyDescent="0.25">
      <c r="A2642" s="2" t="s">
        <v>38</v>
      </c>
      <c r="B2642" s="6">
        <v>45167</v>
      </c>
      <c r="C2642" s="2" t="s">
        <v>174</v>
      </c>
      <c r="D2642" s="8">
        <v>-50</v>
      </c>
      <c r="E2642" s="8">
        <f>E2641+(0-50)</f>
        <v>12552936.51999977</v>
      </c>
    </row>
    <row r="2643" spans="1:5" x14ac:dyDescent="0.25">
      <c r="A2643" s="2" t="s">
        <v>38</v>
      </c>
      <c r="B2643" s="6">
        <v>45168</v>
      </c>
      <c r="C2643" s="2" t="s">
        <v>19</v>
      </c>
      <c r="D2643" s="8">
        <v>-20</v>
      </c>
      <c r="E2643" s="8">
        <f>E2642+(0-20)</f>
        <v>12552916.51999977</v>
      </c>
    </row>
    <row r="2644" spans="1:5" x14ac:dyDescent="0.25">
      <c r="A2644" s="2" t="s">
        <v>38</v>
      </c>
      <c r="B2644" s="6">
        <v>45168</v>
      </c>
      <c r="C2644" s="2" t="s">
        <v>174</v>
      </c>
      <c r="D2644" s="8">
        <v>-53.75</v>
      </c>
      <c r="E2644" s="8">
        <f>E2643+(0-53.75)</f>
        <v>12552862.76999977</v>
      </c>
    </row>
    <row r="2645" spans="1:5" x14ac:dyDescent="0.25">
      <c r="A2645" s="2" t="s">
        <v>38</v>
      </c>
      <c r="B2645" s="6">
        <v>45168</v>
      </c>
      <c r="C2645" s="2" t="s">
        <v>174</v>
      </c>
      <c r="D2645" s="8">
        <v>-50</v>
      </c>
      <c r="E2645" s="8">
        <f>E2644+(0-50)</f>
        <v>12552812.76999977</v>
      </c>
    </row>
    <row r="2646" spans="1:5" x14ac:dyDescent="0.25">
      <c r="A2646" s="2" t="s">
        <v>38</v>
      </c>
      <c r="B2646" s="6">
        <v>45168</v>
      </c>
      <c r="C2646" s="2" t="s">
        <v>174</v>
      </c>
      <c r="D2646" s="8">
        <v>-450</v>
      </c>
      <c r="E2646" s="8">
        <f>E2645+(0-450)</f>
        <v>12552362.76999977</v>
      </c>
    </row>
    <row r="2647" spans="1:5" x14ac:dyDescent="0.25">
      <c r="A2647" s="2" t="s">
        <v>38</v>
      </c>
      <c r="B2647" s="6">
        <v>45169</v>
      </c>
      <c r="C2647" s="2" t="s">
        <v>174</v>
      </c>
      <c r="D2647" s="8">
        <v>-53.75</v>
      </c>
      <c r="E2647" s="8">
        <f>E2646+(0-53.75)</f>
        <v>12552309.01999977</v>
      </c>
    </row>
    <row r="2648" spans="1:5" x14ac:dyDescent="0.25">
      <c r="A2648" s="2" t="s">
        <v>38</v>
      </c>
      <c r="B2648" s="6">
        <v>45169</v>
      </c>
      <c r="C2648" s="2" t="s">
        <v>174</v>
      </c>
      <c r="D2648" s="8">
        <v>-50</v>
      </c>
      <c r="E2648" s="8">
        <f>E2647+(0-50)</f>
        <v>12552259.01999977</v>
      </c>
    </row>
    <row r="2649" spans="1:5" x14ac:dyDescent="0.25">
      <c r="A2649" s="2" t="s">
        <v>38</v>
      </c>
      <c r="B2649" s="6">
        <v>45169</v>
      </c>
      <c r="C2649" s="2" t="s">
        <v>174</v>
      </c>
      <c r="D2649" s="8">
        <v>-300</v>
      </c>
      <c r="E2649" s="8">
        <f>E2648+(0-300)</f>
        <v>12551959.01999977</v>
      </c>
    </row>
    <row r="2650" spans="1:5" x14ac:dyDescent="0.25">
      <c r="A2650" s="2" t="s">
        <v>38</v>
      </c>
      <c r="B2650" s="6">
        <v>45170</v>
      </c>
      <c r="C2650" s="2" t="s">
        <v>19</v>
      </c>
      <c r="D2650" s="8">
        <v>-52</v>
      </c>
      <c r="E2650" s="8">
        <f>E2649+(0-52)</f>
        <v>12551907.01999977</v>
      </c>
    </row>
    <row r="2651" spans="1:5" x14ac:dyDescent="0.25">
      <c r="A2651" s="2" t="s">
        <v>38</v>
      </c>
      <c r="B2651" s="6">
        <v>45170</v>
      </c>
      <c r="C2651" s="2" t="s">
        <v>19</v>
      </c>
      <c r="D2651" s="8">
        <v>-32</v>
      </c>
      <c r="E2651" s="8">
        <f>E2650+(0-32)</f>
        <v>12551875.01999977</v>
      </c>
    </row>
    <row r="2652" spans="1:5" x14ac:dyDescent="0.25">
      <c r="A2652" s="2" t="s">
        <v>38</v>
      </c>
      <c r="B2652" s="6">
        <v>45170</v>
      </c>
      <c r="C2652" s="2" t="s">
        <v>174</v>
      </c>
      <c r="D2652" s="8">
        <v>-400</v>
      </c>
      <c r="E2652" s="8">
        <f>E2651+(0-400)</f>
        <v>12551475.01999977</v>
      </c>
    </row>
    <row r="2653" spans="1:5" x14ac:dyDescent="0.25">
      <c r="A2653" s="2" t="s">
        <v>38</v>
      </c>
      <c r="B2653" s="6">
        <v>45170</v>
      </c>
      <c r="C2653" s="2" t="s">
        <v>174</v>
      </c>
      <c r="D2653" s="8">
        <v>-50</v>
      </c>
      <c r="E2653" s="8">
        <f>E2652+(0-50)</f>
        <v>12551425.01999977</v>
      </c>
    </row>
    <row r="2654" spans="1:5" x14ac:dyDescent="0.25">
      <c r="A2654" s="2" t="s">
        <v>38</v>
      </c>
      <c r="B2654" s="6">
        <v>45173</v>
      </c>
      <c r="C2654" s="2" t="s">
        <v>19</v>
      </c>
      <c r="D2654" s="8">
        <v>-44</v>
      </c>
      <c r="E2654" s="8">
        <f>E2653+(0-44)</f>
        <v>12551381.01999977</v>
      </c>
    </row>
    <row r="2655" spans="1:5" x14ac:dyDescent="0.25">
      <c r="A2655" s="2" t="s">
        <v>38</v>
      </c>
      <c r="B2655" s="6">
        <v>45173</v>
      </c>
      <c r="C2655" s="2" t="s">
        <v>19</v>
      </c>
      <c r="D2655" s="8">
        <v>-8</v>
      </c>
      <c r="E2655" s="8">
        <f>E2654+(0-8)</f>
        <v>12551373.01999977</v>
      </c>
    </row>
    <row r="2656" spans="1:5" x14ac:dyDescent="0.25">
      <c r="A2656" s="2" t="s">
        <v>38</v>
      </c>
      <c r="B2656" s="6">
        <v>45173</v>
      </c>
      <c r="C2656" s="2" t="s">
        <v>174</v>
      </c>
      <c r="D2656" s="8">
        <v>-200</v>
      </c>
      <c r="E2656" s="8">
        <f>E2655+(0-200)</f>
        <v>12551173.01999977</v>
      </c>
    </row>
    <row r="2657" spans="1:5" x14ac:dyDescent="0.25">
      <c r="A2657" s="2" t="s">
        <v>38</v>
      </c>
      <c r="B2657" s="6">
        <v>45174</v>
      </c>
      <c r="C2657" s="2" t="s">
        <v>19</v>
      </c>
      <c r="D2657" s="8">
        <v>-16</v>
      </c>
      <c r="E2657" s="8">
        <f>E2656+(0-16)</f>
        <v>12551157.01999977</v>
      </c>
    </row>
    <row r="2658" spans="1:5" x14ac:dyDescent="0.25">
      <c r="A2658" s="2" t="s">
        <v>38</v>
      </c>
      <c r="B2658" s="6">
        <v>45174</v>
      </c>
      <c r="C2658" s="2" t="s">
        <v>174</v>
      </c>
      <c r="D2658" s="8">
        <v>-500</v>
      </c>
      <c r="E2658" s="8">
        <f>E2657+(0-500)</f>
        <v>12550657.01999977</v>
      </c>
    </row>
    <row r="2659" spans="1:5" x14ac:dyDescent="0.25">
      <c r="A2659" s="2" t="s">
        <v>38</v>
      </c>
      <c r="B2659" s="6">
        <v>45175</v>
      </c>
      <c r="C2659" s="2" t="s">
        <v>174</v>
      </c>
      <c r="D2659" s="8">
        <v>-53.75</v>
      </c>
      <c r="E2659" s="8">
        <f>E2658+(0-53.75)</f>
        <v>12550603.26999977</v>
      </c>
    </row>
    <row r="2660" spans="1:5" x14ac:dyDescent="0.25">
      <c r="A2660" s="2" t="s">
        <v>38</v>
      </c>
      <c r="B2660" s="6">
        <v>45175</v>
      </c>
      <c r="C2660" s="2" t="s">
        <v>174</v>
      </c>
      <c r="D2660" s="8">
        <v>-50</v>
      </c>
      <c r="E2660" s="8">
        <f>E2659+(0-50)</f>
        <v>12550553.26999977</v>
      </c>
    </row>
    <row r="2661" spans="1:5" x14ac:dyDescent="0.25">
      <c r="A2661" s="2" t="s">
        <v>38</v>
      </c>
      <c r="B2661" s="6">
        <v>45175</v>
      </c>
      <c r="C2661" s="2" t="s">
        <v>174</v>
      </c>
      <c r="D2661" s="8">
        <v>-300</v>
      </c>
      <c r="E2661" s="8">
        <f>E2660+(0-300)</f>
        <v>12550253.26999977</v>
      </c>
    </row>
    <row r="2662" spans="1:5" x14ac:dyDescent="0.25">
      <c r="A2662" s="2" t="s">
        <v>38</v>
      </c>
      <c r="B2662" s="6">
        <v>45176</v>
      </c>
      <c r="C2662" s="2" t="s">
        <v>19</v>
      </c>
      <c r="D2662" s="8">
        <v>-48</v>
      </c>
      <c r="E2662" s="8">
        <f>E2661+(0-48)</f>
        <v>12550205.26999977</v>
      </c>
    </row>
    <row r="2663" spans="1:5" x14ac:dyDescent="0.25">
      <c r="A2663" s="2" t="s">
        <v>38</v>
      </c>
      <c r="B2663" s="6">
        <v>45176</v>
      </c>
      <c r="C2663" s="2" t="s">
        <v>19</v>
      </c>
      <c r="D2663" s="8">
        <v>-32</v>
      </c>
      <c r="E2663" s="8">
        <f>E2662+(0-32)</f>
        <v>12550173.26999977</v>
      </c>
    </row>
    <row r="2664" spans="1:5" x14ac:dyDescent="0.25">
      <c r="A2664" s="2" t="s">
        <v>38</v>
      </c>
      <c r="B2664" s="6">
        <v>45176</v>
      </c>
      <c r="C2664" s="2" t="s">
        <v>174</v>
      </c>
      <c r="D2664" s="8">
        <v>-10.75</v>
      </c>
      <c r="E2664" s="8">
        <f>E2663+(0-10.75)</f>
        <v>12550162.51999977</v>
      </c>
    </row>
    <row r="2665" spans="1:5" x14ac:dyDescent="0.25">
      <c r="A2665" s="2" t="s">
        <v>38</v>
      </c>
      <c r="B2665" s="6">
        <v>45176</v>
      </c>
      <c r="C2665" s="2" t="s">
        <v>174</v>
      </c>
      <c r="D2665" s="8">
        <v>-120</v>
      </c>
      <c r="E2665" s="8">
        <f>E2664+(0-120)</f>
        <v>12550042.51999977</v>
      </c>
    </row>
    <row r="2666" spans="1:5" x14ac:dyDescent="0.25">
      <c r="A2666" s="2" t="s">
        <v>38</v>
      </c>
      <c r="B2666" s="6">
        <v>45176</v>
      </c>
      <c r="C2666" s="2" t="s">
        <v>174</v>
      </c>
      <c r="D2666" s="8">
        <v>-53.75</v>
      </c>
      <c r="E2666" s="8">
        <f>E2665+(0-53.75)</f>
        <v>12549988.76999977</v>
      </c>
    </row>
    <row r="2667" spans="1:5" x14ac:dyDescent="0.25">
      <c r="A2667" s="2" t="s">
        <v>38</v>
      </c>
      <c r="B2667" s="6">
        <v>45176</v>
      </c>
      <c r="C2667" s="2" t="s">
        <v>174</v>
      </c>
      <c r="D2667" s="8">
        <v>-26.88</v>
      </c>
      <c r="E2667" s="8">
        <f>E2666+(0-26.88)</f>
        <v>12549961.88999977</v>
      </c>
    </row>
    <row r="2668" spans="1:5" x14ac:dyDescent="0.25">
      <c r="A2668" s="2" t="s">
        <v>38</v>
      </c>
      <c r="B2668" s="6">
        <v>45176</v>
      </c>
      <c r="C2668" s="2" t="s">
        <v>174</v>
      </c>
      <c r="D2668" s="8">
        <v>-50</v>
      </c>
      <c r="E2668" s="8">
        <f>E2667+(0-50)</f>
        <v>12549911.88999977</v>
      </c>
    </row>
    <row r="2669" spans="1:5" x14ac:dyDescent="0.25">
      <c r="A2669" s="2" t="s">
        <v>38</v>
      </c>
      <c r="B2669" s="6">
        <v>45176</v>
      </c>
      <c r="C2669" s="2" t="s">
        <v>174</v>
      </c>
      <c r="D2669" s="8">
        <v>-50</v>
      </c>
      <c r="E2669" s="8">
        <f>E2668+(0-50)</f>
        <v>12549861.88999977</v>
      </c>
    </row>
    <row r="2670" spans="1:5" x14ac:dyDescent="0.25">
      <c r="A2670" s="2" t="s">
        <v>38</v>
      </c>
      <c r="B2670" s="6">
        <v>45176</v>
      </c>
      <c r="C2670" s="2" t="s">
        <v>174</v>
      </c>
      <c r="D2670" s="8">
        <v>-450</v>
      </c>
      <c r="E2670" s="8">
        <f>E2669+(0-450)</f>
        <v>12549411.88999977</v>
      </c>
    </row>
    <row r="2671" spans="1:5" x14ac:dyDescent="0.25">
      <c r="A2671" s="2" t="s">
        <v>38</v>
      </c>
      <c r="B2671" s="6">
        <v>45177</v>
      </c>
      <c r="C2671" s="2" t="s">
        <v>19</v>
      </c>
      <c r="D2671" s="8">
        <v>-52</v>
      </c>
      <c r="E2671" s="8">
        <f>E2670+(0-52)</f>
        <v>12549359.88999977</v>
      </c>
    </row>
    <row r="2672" spans="1:5" x14ac:dyDescent="0.25">
      <c r="A2672" s="2" t="s">
        <v>38</v>
      </c>
      <c r="B2672" s="6">
        <v>45177</v>
      </c>
      <c r="C2672" s="2" t="s">
        <v>174</v>
      </c>
      <c r="D2672" s="8">
        <v>-26.88</v>
      </c>
      <c r="E2672" s="8">
        <f>E2671+(0-26.88)</f>
        <v>12549333.009999769</v>
      </c>
    </row>
    <row r="2673" spans="1:5" x14ac:dyDescent="0.25">
      <c r="A2673" s="2" t="s">
        <v>38</v>
      </c>
      <c r="B2673" s="6">
        <v>45177</v>
      </c>
      <c r="C2673" s="2" t="s">
        <v>174</v>
      </c>
      <c r="D2673" s="8">
        <v>-400</v>
      </c>
      <c r="E2673" s="8">
        <f>E2672+(0-400)</f>
        <v>12548933.009999769</v>
      </c>
    </row>
    <row r="2674" spans="1:5" x14ac:dyDescent="0.25">
      <c r="A2674" s="2" t="s">
        <v>38</v>
      </c>
      <c r="B2674" s="6">
        <v>45177</v>
      </c>
      <c r="C2674" s="2" t="s">
        <v>174</v>
      </c>
      <c r="D2674" s="8">
        <v>-900</v>
      </c>
      <c r="E2674" s="8">
        <f>E2673+(0-900)</f>
        <v>12548033.009999769</v>
      </c>
    </row>
    <row r="2675" spans="1:5" x14ac:dyDescent="0.25">
      <c r="A2675" s="2" t="s">
        <v>38</v>
      </c>
      <c r="B2675" s="6">
        <v>45180</v>
      </c>
      <c r="C2675" s="2" t="s">
        <v>174</v>
      </c>
      <c r="D2675" s="8">
        <v>-26.88</v>
      </c>
      <c r="E2675" s="8">
        <f>E2674+(0-26.88)</f>
        <v>12548006.129999768</v>
      </c>
    </row>
    <row r="2676" spans="1:5" x14ac:dyDescent="0.25">
      <c r="A2676" s="2" t="s">
        <v>38</v>
      </c>
      <c r="B2676" s="6">
        <v>45180</v>
      </c>
      <c r="C2676" s="2" t="s">
        <v>19</v>
      </c>
      <c r="D2676" s="8">
        <v>-100</v>
      </c>
      <c r="E2676" s="8">
        <f>E2675+(0-100)</f>
        <v>12547906.129999768</v>
      </c>
    </row>
    <row r="2677" spans="1:5" x14ac:dyDescent="0.25">
      <c r="A2677" s="2" t="s">
        <v>38</v>
      </c>
      <c r="B2677" s="6">
        <v>45180</v>
      </c>
      <c r="C2677" s="2" t="s">
        <v>19</v>
      </c>
      <c r="D2677" s="8">
        <v>-20</v>
      </c>
      <c r="E2677" s="8">
        <f>E2676+(0-20)</f>
        <v>12547886.129999768</v>
      </c>
    </row>
    <row r="2678" spans="1:5" x14ac:dyDescent="0.25">
      <c r="A2678" s="2" t="s">
        <v>38</v>
      </c>
      <c r="B2678" s="6">
        <v>45180</v>
      </c>
      <c r="C2678" s="2" t="s">
        <v>19</v>
      </c>
      <c r="D2678" s="8">
        <v>-12</v>
      </c>
      <c r="E2678" s="8">
        <f>E2677+(0-12)</f>
        <v>12547874.129999768</v>
      </c>
    </row>
    <row r="2679" spans="1:5" x14ac:dyDescent="0.25">
      <c r="A2679" s="2" t="s">
        <v>38</v>
      </c>
      <c r="B2679" s="6">
        <v>45180</v>
      </c>
      <c r="C2679" s="2" t="s">
        <v>53</v>
      </c>
      <c r="D2679" s="8">
        <v>-53.75</v>
      </c>
      <c r="E2679" s="8">
        <f>E2678+(0-53.75)</f>
        <v>12547820.379999768</v>
      </c>
    </row>
    <row r="2680" spans="1:5" x14ac:dyDescent="0.25">
      <c r="A2680" s="2" t="s">
        <v>38</v>
      </c>
      <c r="B2680" s="6">
        <v>45180</v>
      </c>
      <c r="C2680" s="2" t="s">
        <v>53</v>
      </c>
      <c r="D2680" s="8">
        <v>-750</v>
      </c>
      <c r="E2680" s="8">
        <f>E2679+(0-750)</f>
        <v>12547070.379999768</v>
      </c>
    </row>
    <row r="2681" spans="1:5" x14ac:dyDescent="0.25">
      <c r="A2681" s="2" t="s">
        <v>38</v>
      </c>
      <c r="B2681" s="6">
        <v>45181</v>
      </c>
      <c r="C2681" s="2" t="s">
        <v>53</v>
      </c>
      <c r="D2681" s="8">
        <v>-50</v>
      </c>
      <c r="E2681" s="8">
        <f>E2680+(0-50)</f>
        <v>12547020.379999768</v>
      </c>
    </row>
    <row r="2682" spans="1:5" x14ac:dyDescent="0.25">
      <c r="A2682" s="2" t="s">
        <v>38</v>
      </c>
      <c r="B2682" s="6">
        <v>45181</v>
      </c>
      <c r="C2682" s="2" t="s">
        <v>53</v>
      </c>
      <c r="D2682" s="8">
        <v>-450</v>
      </c>
      <c r="E2682" s="8">
        <f>E2681+(0-450)</f>
        <v>12546570.379999768</v>
      </c>
    </row>
    <row r="2683" spans="1:5" x14ac:dyDescent="0.25">
      <c r="A2683" s="2" t="s">
        <v>38</v>
      </c>
      <c r="B2683" s="6">
        <v>45182</v>
      </c>
      <c r="C2683" s="2" t="s">
        <v>19</v>
      </c>
      <c r="D2683" s="8">
        <v>-20</v>
      </c>
      <c r="E2683" s="8">
        <f>E2682+(0-20)</f>
        <v>12546550.379999768</v>
      </c>
    </row>
    <row r="2684" spans="1:5" x14ac:dyDescent="0.25">
      <c r="A2684" s="2" t="s">
        <v>38</v>
      </c>
      <c r="B2684" s="6">
        <v>45182</v>
      </c>
      <c r="C2684" s="2" t="s">
        <v>19</v>
      </c>
      <c r="D2684" s="8">
        <v>-36</v>
      </c>
      <c r="E2684" s="8">
        <f>E2683+(0-36)</f>
        <v>12546514.379999768</v>
      </c>
    </row>
    <row r="2685" spans="1:5" x14ac:dyDescent="0.25">
      <c r="A2685" s="2" t="s">
        <v>38</v>
      </c>
      <c r="B2685" s="6">
        <v>45182</v>
      </c>
      <c r="C2685" s="2" t="s">
        <v>53</v>
      </c>
      <c r="D2685" s="8">
        <v>-26.88</v>
      </c>
      <c r="E2685" s="8">
        <f>E2684+(0-26.88)</f>
        <v>12546487.499999767</v>
      </c>
    </row>
    <row r="2686" spans="1:5" x14ac:dyDescent="0.25">
      <c r="A2686" s="2" t="s">
        <v>38</v>
      </c>
      <c r="B2686" s="6">
        <v>45182</v>
      </c>
      <c r="C2686" s="2" t="s">
        <v>53</v>
      </c>
      <c r="D2686" s="8">
        <v>-50</v>
      </c>
      <c r="E2686" s="8">
        <f>E2685+(0-50)</f>
        <v>12546437.499999767</v>
      </c>
    </row>
    <row r="2687" spans="1:5" x14ac:dyDescent="0.25">
      <c r="A2687" s="2" t="s">
        <v>38</v>
      </c>
      <c r="B2687" s="6">
        <v>45182</v>
      </c>
      <c r="C2687" s="2" t="s">
        <v>53</v>
      </c>
      <c r="D2687" s="8">
        <v>-50</v>
      </c>
      <c r="E2687" s="8">
        <f>E2686+(0-50)</f>
        <v>12546387.499999767</v>
      </c>
    </row>
    <row r="2688" spans="1:5" x14ac:dyDescent="0.25">
      <c r="A2688" s="2" t="s">
        <v>38</v>
      </c>
      <c r="B2688" s="6">
        <v>45182</v>
      </c>
      <c r="C2688" s="2" t="s">
        <v>53</v>
      </c>
      <c r="D2688" s="8">
        <v>-150</v>
      </c>
      <c r="E2688" s="8">
        <f>E2687+(0-150)</f>
        <v>12546237.499999767</v>
      </c>
    </row>
    <row r="2689" spans="1:5" x14ac:dyDescent="0.25">
      <c r="A2689" s="2" t="s">
        <v>38</v>
      </c>
      <c r="B2689" s="6">
        <v>45183</v>
      </c>
      <c r="C2689" s="2" t="s">
        <v>53</v>
      </c>
      <c r="D2689" s="8">
        <v>-950</v>
      </c>
      <c r="E2689" s="8">
        <f>E2688+(0-950)</f>
        <v>12545287.499999767</v>
      </c>
    </row>
    <row r="2690" spans="1:5" x14ac:dyDescent="0.25">
      <c r="A2690" s="2" t="s">
        <v>38</v>
      </c>
      <c r="B2690" s="6">
        <v>45183</v>
      </c>
      <c r="C2690" s="2" t="s">
        <v>53</v>
      </c>
      <c r="D2690" s="8">
        <v>-100</v>
      </c>
      <c r="E2690" s="8">
        <f>E2689+(0-100)</f>
        <v>12545187.499999767</v>
      </c>
    </row>
    <row r="2691" spans="1:5" x14ac:dyDescent="0.25">
      <c r="A2691" s="2" t="s">
        <v>38</v>
      </c>
      <c r="B2691" s="6">
        <v>45183</v>
      </c>
      <c r="C2691" s="2" t="s">
        <v>19</v>
      </c>
      <c r="D2691" s="8">
        <v>-28</v>
      </c>
      <c r="E2691" s="8">
        <f>E2690+(0-28)</f>
        <v>12545159.499999767</v>
      </c>
    </row>
    <row r="2692" spans="1:5" x14ac:dyDescent="0.25">
      <c r="A2692" s="2" t="s">
        <v>38</v>
      </c>
      <c r="B2692" s="6">
        <v>45184</v>
      </c>
      <c r="C2692" s="2" t="s">
        <v>19</v>
      </c>
      <c r="D2692" s="8">
        <v>-48</v>
      </c>
      <c r="E2692" s="8">
        <f>E2691+(0-48)</f>
        <v>12545111.499999767</v>
      </c>
    </row>
    <row r="2693" spans="1:5" x14ac:dyDescent="0.25">
      <c r="A2693" s="2" t="s">
        <v>38</v>
      </c>
      <c r="B2693" s="6">
        <v>45184</v>
      </c>
      <c r="C2693" s="2" t="s">
        <v>53</v>
      </c>
      <c r="D2693" s="8">
        <v>-53.75</v>
      </c>
      <c r="E2693" s="8">
        <f>E2692+(0-53.75)</f>
        <v>12545057.749999767</v>
      </c>
    </row>
    <row r="2694" spans="1:5" x14ac:dyDescent="0.25">
      <c r="A2694" s="2" t="s">
        <v>38</v>
      </c>
      <c r="B2694" s="6">
        <v>45184</v>
      </c>
      <c r="C2694" s="2" t="s">
        <v>53</v>
      </c>
      <c r="D2694" s="8">
        <v>-400</v>
      </c>
      <c r="E2694" s="8">
        <f>E2693+(0-400)</f>
        <v>12544657.749999767</v>
      </c>
    </row>
    <row r="2695" spans="1:5" x14ac:dyDescent="0.25">
      <c r="A2695" s="2" t="s">
        <v>38</v>
      </c>
      <c r="B2695" s="6">
        <v>45187</v>
      </c>
      <c r="C2695" s="2" t="s">
        <v>53</v>
      </c>
      <c r="D2695" s="8">
        <v>-100</v>
      </c>
      <c r="E2695" s="8">
        <f>E2694+(0-100)</f>
        <v>12544557.749999767</v>
      </c>
    </row>
    <row r="2696" spans="1:5" x14ac:dyDescent="0.25">
      <c r="A2696" s="2" t="s">
        <v>38</v>
      </c>
      <c r="B2696" s="6">
        <v>45187</v>
      </c>
      <c r="C2696" s="2" t="s">
        <v>53</v>
      </c>
      <c r="D2696" s="8">
        <v>-700</v>
      </c>
      <c r="E2696" s="8">
        <f>E2695+(0-700)</f>
        <v>12543857.749999767</v>
      </c>
    </row>
    <row r="2697" spans="1:5" x14ac:dyDescent="0.25">
      <c r="A2697" s="2" t="s">
        <v>38</v>
      </c>
      <c r="B2697" s="6">
        <v>45187</v>
      </c>
      <c r="C2697" s="2" t="s">
        <v>53</v>
      </c>
      <c r="D2697" s="8">
        <v>-50</v>
      </c>
      <c r="E2697" s="8">
        <f>E2696+(0-50)</f>
        <v>12543807.749999767</v>
      </c>
    </row>
    <row r="2698" spans="1:5" x14ac:dyDescent="0.25">
      <c r="A2698" s="2" t="s">
        <v>38</v>
      </c>
      <c r="B2698" s="6">
        <v>45188</v>
      </c>
      <c r="C2698" s="2" t="s">
        <v>53</v>
      </c>
      <c r="D2698" s="8">
        <v>-450</v>
      </c>
      <c r="E2698" s="8">
        <f>E2697+(0-450)</f>
        <v>12543357.749999767</v>
      </c>
    </row>
    <row r="2699" spans="1:5" x14ac:dyDescent="0.25">
      <c r="A2699" s="2" t="s">
        <v>38</v>
      </c>
      <c r="B2699" s="6">
        <v>45189</v>
      </c>
      <c r="C2699" s="2" t="s">
        <v>53</v>
      </c>
      <c r="D2699" s="8">
        <v>-53.75</v>
      </c>
      <c r="E2699" s="8">
        <f>E2698+(0-53.75)</f>
        <v>12543303.999999767</v>
      </c>
    </row>
    <row r="2700" spans="1:5" x14ac:dyDescent="0.25">
      <c r="A2700" s="2" t="s">
        <v>38</v>
      </c>
      <c r="B2700" s="6">
        <v>45189</v>
      </c>
      <c r="C2700" s="2" t="s">
        <v>53</v>
      </c>
      <c r="D2700" s="8">
        <v>-50</v>
      </c>
      <c r="E2700" s="8">
        <f>E2699+(0-50)</f>
        <v>12543253.999999767</v>
      </c>
    </row>
    <row r="2701" spans="1:5" x14ac:dyDescent="0.25">
      <c r="A2701" s="2" t="s">
        <v>38</v>
      </c>
      <c r="B2701" s="6">
        <v>45189</v>
      </c>
      <c r="C2701" s="2" t="s">
        <v>53</v>
      </c>
      <c r="D2701" s="8">
        <v>-650</v>
      </c>
      <c r="E2701" s="8">
        <f>E2700+(0-650)</f>
        <v>12542603.999999767</v>
      </c>
    </row>
    <row r="2702" spans="1:5" x14ac:dyDescent="0.25">
      <c r="A2702" s="2" t="s">
        <v>38</v>
      </c>
      <c r="B2702" s="6">
        <v>45189</v>
      </c>
      <c r="C2702" s="2" t="s">
        <v>53</v>
      </c>
      <c r="D2702" s="8">
        <v>-50</v>
      </c>
      <c r="E2702" s="8">
        <f>E2701+(0-50)</f>
        <v>12542553.999999767</v>
      </c>
    </row>
    <row r="2703" spans="1:5" x14ac:dyDescent="0.25">
      <c r="A2703" s="2" t="s">
        <v>38</v>
      </c>
      <c r="B2703" s="6">
        <v>45190</v>
      </c>
      <c r="C2703" s="2" t="s">
        <v>53</v>
      </c>
      <c r="D2703" s="8">
        <v>-250</v>
      </c>
      <c r="E2703" s="8">
        <f>E2702+(0-250)</f>
        <v>12542303.999999767</v>
      </c>
    </row>
    <row r="2704" spans="1:5" x14ac:dyDescent="0.25">
      <c r="A2704" s="2" t="s">
        <v>38</v>
      </c>
      <c r="B2704" s="6">
        <v>45191</v>
      </c>
      <c r="C2704" s="2" t="s">
        <v>53</v>
      </c>
      <c r="D2704" s="8">
        <v>-53.75</v>
      </c>
      <c r="E2704" s="8">
        <f>E2703+(0-53.75)</f>
        <v>12542250.249999767</v>
      </c>
    </row>
    <row r="2705" spans="1:5" x14ac:dyDescent="0.25">
      <c r="A2705" s="2" t="s">
        <v>38</v>
      </c>
      <c r="B2705" s="6">
        <v>45191</v>
      </c>
      <c r="C2705" s="2" t="s">
        <v>53</v>
      </c>
      <c r="D2705" s="8">
        <v>-26.88</v>
      </c>
      <c r="E2705" s="8">
        <f>E2704+(0-26.88)</f>
        <v>12542223.369999766</v>
      </c>
    </row>
    <row r="2706" spans="1:5" x14ac:dyDescent="0.25">
      <c r="A2706" s="2" t="s">
        <v>38</v>
      </c>
      <c r="B2706" s="6">
        <v>45191</v>
      </c>
      <c r="C2706" s="2" t="s">
        <v>53</v>
      </c>
      <c r="D2706" s="8">
        <v>-53.75</v>
      </c>
      <c r="E2706" s="8">
        <f>E2705+(0-53.75)</f>
        <v>12542169.619999766</v>
      </c>
    </row>
    <row r="2707" spans="1:5" x14ac:dyDescent="0.25">
      <c r="A2707" s="2" t="s">
        <v>38</v>
      </c>
      <c r="B2707" s="6">
        <v>45191</v>
      </c>
      <c r="C2707" s="2" t="s">
        <v>53</v>
      </c>
      <c r="D2707" s="8">
        <v>-400</v>
      </c>
      <c r="E2707" s="8">
        <f>E2706+(0-400)</f>
        <v>12541769.619999766</v>
      </c>
    </row>
    <row r="2708" spans="1:5" x14ac:dyDescent="0.25">
      <c r="A2708" s="2" t="s">
        <v>38</v>
      </c>
      <c r="B2708" s="6">
        <v>45194</v>
      </c>
      <c r="C2708" s="2" t="s">
        <v>53</v>
      </c>
      <c r="D2708" s="8">
        <v>-26.88</v>
      </c>
      <c r="E2708" s="8">
        <f>E2707+(0-26.88)</f>
        <v>12541742.739999766</v>
      </c>
    </row>
    <row r="2709" spans="1:5" x14ac:dyDescent="0.25">
      <c r="A2709" s="2" t="s">
        <v>38</v>
      </c>
      <c r="B2709" s="6">
        <v>45194</v>
      </c>
      <c r="C2709" s="2" t="s">
        <v>53</v>
      </c>
      <c r="D2709" s="8">
        <v>-10.75</v>
      </c>
      <c r="E2709" s="8">
        <f>E2708+(0-10.75)</f>
        <v>12541731.989999766</v>
      </c>
    </row>
    <row r="2710" spans="1:5" x14ac:dyDescent="0.25">
      <c r="A2710" s="2" t="s">
        <v>38</v>
      </c>
      <c r="B2710" s="6">
        <v>45194</v>
      </c>
      <c r="C2710" s="2" t="s">
        <v>53</v>
      </c>
      <c r="D2710" s="8">
        <v>-53.75</v>
      </c>
      <c r="E2710" s="8">
        <f>E2709+(0-53.75)</f>
        <v>12541678.239999766</v>
      </c>
    </row>
    <row r="2711" spans="1:5" x14ac:dyDescent="0.25">
      <c r="A2711" s="2" t="s">
        <v>38</v>
      </c>
      <c r="B2711" s="6">
        <v>45194</v>
      </c>
      <c r="C2711" s="2" t="s">
        <v>53</v>
      </c>
      <c r="D2711" s="8">
        <v>-50</v>
      </c>
      <c r="E2711" s="8">
        <f>E2710+(0-50)</f>
        <v>12541628.239999766</v>
      </c>
    </row>
    <row r="2712" spans="1:5" x14ac:dyDescent="0.25">
      <c r="A2712" s="2" t="s">
        <v>38</v>
      </c>
      <c r="B2712" s="6">
        <v>45194</v>
      </c>
      <c r="C2712" s="2" t="s">
        <v>53</v>
      </c>
      <c r="D2712" s="8">
        <v>-26.88</v>
      </c>
      <c r="E2712" s="8">
        <f>E2711+(0-26.88)</f>
        <v>12541601.359999765</v>
      </c>
    </row>
    <row r="2713" spans="1:5" x14ac:dyDescent="0.25">
      <c r="A2713" s="2" t="s">
        <v>38</v>
      </c>
      <c r="B2713" s="6">
        <v>45194</v>
      </c>
      <c r="C2713" s="2" t="s">
        <v>53</v>
      </c>
      <c r="D2713" s="8">
        <v>-26.88</v>
      </c>
      <c r="E2713" s="8">
        <f>E2712+(0-26.88)</f>
        <v>12541574.479999764</v>
      </c>
    </row>
    <row r="2714" spans="1:5" x14ac:dyDescent="0.25">
      <c r="A2714" s="2" t="s">
        <v>38</v>
      </c>
      <c r="B2714" s="6">
        <v>45194</v>
      </c>
      <c r="C2714" s="2" t="s">
        <v>53</v>
      </c>
      <c r="D2714" s="8">
        <v>-53.75</v>
      </c>
      <c r="E2714" s="8">
        <f>E2713+(0-53.75)</f>
        <v>12541520.729999764</v>
      </c>
    </row>
    <row r="2715" spans="1:5" x14ac:dyDescent="0.25">
      <c r="A2715" s="2" t="s">
        <v>38</v>
      </c>
      <c r="B2715" s="6">
        <v>45194</v>
      </c>
      <c r="C2715" s="2" t="s">
        <v>53</v>
      </c>
      <c r="D2715" s="8">
        <v>-53.75</v>
      </c>
      <c r="E2715" s="8">
        <f>E2714+(0-53.75)</f>
        <v>12541466.979999764</v>
      </c>
    </row>
    <row r="2716" spans="1:5" x14ac:dyDescent="0.25">
      <c r="A2716" s="2" t="s">
        <v>38</v>
      </c>
      <c r="B2716" s="6">
        <v>45194</v>
      </c>
      <c r="C2716" s="2" t="s">
        <v>53</v>
      </c>
      <c r="D2716" s="8">
        <v>-26.88</v>
      </c>
      <c r="E2716" s="8">
        <f>E2715+(0-26.88)</f>
        <v>12541440.099999763</v>
      </c>
    </row>
    <row r="2717" spans="1:5" x14ac:dyDescent="0.25">
      <c r="A2717" s="2" t="s">
        <v>38</v>
      </c>
      <c r="B2717" s="6">
        <v>45194</v>
      </c>
      <c r="C2717" s="2" t="s">
        <v>53</v>
      </c>
      <c r="D2717" s="8">
        <v>-53.75</v>
      </c>
      <c r="E2717" s="8">
        <f>E2716+(0-53.75)</f>
        <v>12541386.349999763</v>
      </c>
    </row>
    <row r="2718" spans="1:5" x14ac:dyDescent="0.25">
      <c r="A2718" s="2" t="s">
        <v>38</v>
      </c>
      <c r="B2718" s="6">
        <v>45194</v>
      </c>
      <c r="C2718" s="2" t="s">
        <v>53</v>
      </c>
      <c r="D2718" s="8">
        <v>-600</v>
      </c>
      <c r="E2718" s="8">
        <f>E2717+(0-600)</f>
        <v>12540786.349999763</v>
      </c>
    </row>
    <row r="2719" spans="1:5" x14ac:dyDescent="0.25">
      <c r="A2719" s="2" t="s">
        <v>38</v>
      </c>
      <c r="B2719" s="6">
        <v>45195</v>
      </c>
      <c r="C2719" s="2" t="s">
        <v>53</v>
      </c>
      <c r="D2719" s="8">
        <v>-650</v>
      </c>
      <c r="E2719" s="8">
        <f>E2718+(0-650)</f>
        <v>12540136.349999763</v>
      </c>
    </row>
    <row r="2720" spans="1:5" x14ac:dyDescent="0.25">
      <c r="A2720" s="2" t="s">
        <v>38</v>
      </c>
      <c r="B2720" s="6">
        <v>45197</v>
      </c>
      <c r="C2720" s="2" t="s">
        <v>53</v>
      </c>
      <c r="D2720" s="8">
        <v>-700</v>
      </c>
      <c r="E2720" s="8">
        <f>E2719+(0-700)</f>
        <v>12539436.349999763</v>
      </c>
    </row>
    <row r="2721" spans="1:5" x14ac:dyDescent="0.25">
      <c r="A2721" s="2" t="s">
        <v>38</v>
      </c>
      <c r="B2721" s="6">
        <v>45198</v>
      </c>
      <c r="C2721" s="2" t="s">
        <v>53</v>
      </c>
      <c r="D2721" s="8">
        <v>-53.75</v>
      </c>
      <c r="E2721" s="8">
        <f>E2720+(0-53.75)</f>
        <v>12539382.599999763</v>
      </c>
    </row>
    <row r="2722" spans="1:5" x14ac:dyDescent="0.25">
      <c r="A2722" s="2" t="s">
        <v>38</v>
      </c>
      <c r="B2722" s="6">
        <v>45198</v>
      </c>
      <c r="C2722" s="2" t="s">
        <v>53</v>
      </c>
      <c r="D2722" s="8">
        <v>-26.88</v>
      </c>
      <c r="E2722" s="8">
        <f>E2721+(0-26.88)</f>
        <v>12539355.719999762</v>
      </c>
    </row>
    <row r="2723" spans="1:5" x14ac:dyDescent="0.25">
      <c r="A2723" s="2" t="s">
        <v>38</v>
      </c>
      <c r="B2723" s="6">
        <v>45198</v>
      </c>
      <c r="C2723" s="2" t="s">
        <v>53</v>
      </c>
      <c r="D2723" s="8">
        <v>-50</v>
      </c>
      <c r="E2723" s="8">
        <f>E2722+(0-50)</f>
        <v>12539305.719999762</v>
      </c>
    </row>
    <row r="2724" spans="1:5" x14ac:dyDescent="0.25">
      <c r="A2724" s="2" t="s">
        <v>38</v>
      </c>
      <c r="B2724" s="6">
        <v>45198</v>
      </c>
      <c r="C2724" s="2" t="s">
        <v>53</v>
      </c>
      <c r="D2724" s="8">
        <v>-600</v>
      </c>
      <c r="E2724" s="8">
        <f>E2723+(0-600)</f>
        <v>12538705.719999762</v>
      </c>
    </row>
    <row r="2725" spans="1:5" x14ac:dyDescent="0.25">
      <c r="A2725" s="2" t="s">
        <v>38</v>
      </c>
      <c r="B2725" s="6">
        <v>45202</v>
      </c>
      <c r="C2725" s="2" t="s">
        <v>53</v>
      </c>
      <c r="D2725" s="8">
        <v>-700</v>
      </c>
      <c r="E2725" s="8">
        <f>E2724+(0-700)</f>
        <v>12538005.719999762</v>
      </c>
    </row>
    <row r="2726" spans="1:5" x14ac:dyDescent="0.25">
      <c r="A2726" s="2" t="s">
        <v>38</v>
      </c>
      <c r="B2726" s="6">
        <v>45203</v>
      </c>
      <c r="C2726" s="2" t="s">
        <v>53</v>
      </c>
      <c r="D2726" s="8">
        <v>-50</v>
      </c>
      <c r="E2726" s="8">
        <f>E2725+(0-50)</f>
        <v>12537955.719999762</v>
      </c>
    </row>
    <row r="2727" spans="1:5" x14ac:dyDescent="0.25">
      <c r="A2727" s="2" t="s">
        <v>38</v>
      </c>
      <c r="B2727" s="6">
        <v>45203</v>
      </c>
      <c r="C2727" s="2" t="s">
        <v>53</v>
      </c>
      <c r="D2727" s="8">
        <v>-200</v>
      </c>
      <c r="E2727" s="8">
        <f>E2726+(0-200)</f>
        <v>12537755.719999762</v>
      </c>
    </row>
    <row r="2728" spans="1:5" x14ac:dyDescent="0.25">
      <c r="A2728" s="2" t="s">
        <v>38</v>
      </c>
      <c r="B2728" s="6">
        <v>45203</v>
      </c>
      <c r="C2728" s="2" t="s">
        <v>53</v>
      </c>
      <c r="D2728" s="8">
        <v>-50</v>
      </c>
      <c r="E2728" s="8">
        <f>E2727+(0-50)</f>
        <v>12537705.719999762</v>
      </c>
    </row>
    <row r="2729" spans="1:5" x14ac:dyDescent="0.25">
      <c r="A2729" s="2" t="s">
        <v>38</v>
      </c>
      <c r="B2729" s="6">
        <v>45204</v>
      </c>
      <c r="C2729" s="2" t="s">
        <v>53</v>
      </c>
      <c r="D2729" s="8">
        <v>-500</v>
      </c>
      <c r="E2729" s="8">
        <f>E2728+(0-500)</f>
        <v>12537205.719999762</v>
      </c>
    </row>
    <row r="2730" spans="1:5" x14ac:dyDescent="0.25">
      <c r="A2730" s="2" t="s">
        <v>38</v>
      </c>
      <c r="B2730" s="6">
        <v>45205</v>
      </c>
      <c r="C2730" s="2" t="s">
        <v>53</v>
      </c>
      <c r="D2730" s="8">
        <v>-26.88</v>
      </c>
      <c r="E2730" s="8">
        <f>E2729+(0-26.88)</f>
        <v>12537178.839999761</v>
      </c>
    </row>
    <row r="2731" spans="1:5" x14ac:dyDescent="0.25">
      <c r="A2731" s="2" t="s">
        <v>38</v>
      </c>
      <c r="B2731" s="6">
        <v>45205</v>
      </c>
      <c r="C2731" s="2" t="s">
        <v>53</v>
      </c>
      <c r="D2731" s="8">
        <v>-400</v>
      </c>
      <c r="E2731" s="8">
        <f>E2730+(0-400)</f>
        <v>12536778.839999761</v>
      </c>
    </row>
    <row r="2732" spans="1:5" x14ac:dyDescent="0.25">
      <c r="A2732" s="2" t="s">
        <v>38</v>
      </c>
      <c r="B2732" s="6">
        <v>45208</v>
      </c>
      <c r="C2732" s="2" t="s">
        <v>53</v>
      </c>
      <c r="D2732" s="8">
        <v>-50</v>
      </c>
      <c r="E2732" s="8">
        <f>E2731+(0-50)</f>
        <v>12536728.839999761</v>
      </c>
    </row>
    <row r="2733" spans="1:5" x14ac:dyDescent="0.25">
      <c r="A2733" s="2" t="s">
        <v>38</v>
      </c>
      <c r="B2733" s="6">
        <v>45208</v>
      </c>
      <c r="C2733" s="2" t="s">
        <v>53</v>
      </c>
      <c r="D2733" s="8">
        <v>-26.88</v>
      </c>
      <c r="E2733" s="8">
        <f>E2732+(0-26.88)</f>
        <v>12536701.959999761</v>
      </c>
    </row>
    <row r="2734" spans="1:5" x14ac:dyDescent="0.25">
      <c r="A2734" s="2" t="s">
        <v>38</v>
      </c>
      <c r="B2734" s="6">
        <v>45208</v>
      </c>
      <c r="C2734" s="2" t="s">
        <v>53</v>
      </c>
      <c r="D2734" s="8">
        <v>-400</v>
      </c>
      <c r="E2734" s="8">
        <f>E2733+(0-400)</f>
        <v>12536301.959999761</v>
      </c>
    </row>
    <row r="2735" spans="1:5" x14ac:dyDescent="0.25">
      <c r="A2735" s="2" t="s">
        <v>38</v>
      </c>
      <c r="B2735" s="6">
        <v>45208</v>
      </c>
      <c r="C2735" s="2" t="s">
        <v>53</v>
      </c>
      <c r="D2735" s="8">
        <v>-50</v>
      </c>
      <c r="E2735" s="8">
        <f>E2734+(0-50)</f>
        <v>12536251.959999761</v>
      </c>
    </row>
    <row r="2736" spans="1:5" x14ac:dyDescent="0.25">
      <c r="A2736" s="2" t="s">
        <v>38</v>
      </c>
      <c r="B2736" s="6">
        <v>45209</v>
      </c>
      <c r="C2736" s="2" t="s">
        <v>53</v>
      </c>
      <c r="D2736" s="8">
        <v>-26.88</v>
      </c>
      <c r="E2736" s="8">
        <f>E2735+(0-26.88)</f>
        <v>12536225.07999976</v>
      </c>
    </row>
    <row r="2737" spans="1:5" x14ac:dyDescent="0.25">
      <c r="A2737" s="2" t="s">
        <v>38</v>
      </c>
      <c r="B2737" s="6">
        <v>45209</v>
      </c>
      <c r="C2737" s="2" t="s">
        <v>53</v>
      </c>
      <c r="D2737" s="8">
        <v>-200</v>
      </c>
      <c r="E2737" s="8">
        <f>E2736+(0-200)</f>
        <v>12536025.07999976</v>
      </c>
    </row>
    <row r="2738" spans="1:5" x14ac:dyDescent="0.25">
      <c r="A2738" s="2" t="s">
        <v>38</v>
      </c>
      <c r="B2738" s="6">
        <v>45210</v>
      </c>
      <c r="C2738" s="2" t="s">
        <v>53</v>
      </c>
      <c r="D2738" s="8">
        <v>-350</v>
      </c>
      <c r="E2738" s="8">
        <f>E2737+(0-350)</f>
        <v>12535675.07999976</v>
      </c>
    </row>
    <row r="2739" spans="1:5" x14ac:dyDescent="0.25">
      <c r="A2739" s="2" t="s">
        <v>38</v>
      </c>
      <c r="B2739" s="6">
        <v>45210</v>
      </c>
      <c r="C2739" s="2" t="s">
        <v>53</v>
      </c>
      <c r="D2739" s="8">
        <v>-100</v>
      </c>
      <c r="E2739" s="8">
        <f>E2738+(0-100)</f>
        <v>12535575.07999976</v>
      </c>
    </row>
    <row r="2740" spans="1:5" x14ac:dyDescent="0.25">
      <c r="A2740" s="2" t="s">
        <v>38</v>
      </c>
      <c r="B2740" s="6">
        <v>45211</v>
      </c>
      <c r="C2740" s="2" t="s">
        <v>53</v>
      </c>
      <c r="D2740" s="8">
        <v>-53.75</v>
      </c>
      <c r="E2740" s="8">
        <f>E2739+(0-53.75)</f>
        <v>12535521.32999976</v>
      </c>
    </row>
    <row r="2741" spans="1:5" x14ac:dyDescent="0.25">
      <c r="A2741" s="2" t="s">
        <v>38</v>
      </c>
      <c r="B2741" s="6">
        <v>45211</v>
      </c>
      <c r="C2741" s="2" t="s">
        <v>53</v>
      </c>
      <c r="D2741" s="8">
        <v>-700</v>
      </c>
      <c r="E2741" s="8">
        <f>E2740+(0-700)</f>
        <v>12534821.32999976</v>
      </c>
    </row>
    <row r="2742" spans="1:5" x14ac:dyDescent="0.25">
      <c r="A2742" s="2" t="s">
        <v>38</v>
      </c>
      <c r="B2742" s="6">
        <v>45212</v>
      </c>
      <c r="C2742" s="2" t="s">
        <v>53</v>
      </c>
      <c r="D2742" s="8">
        <v>-53.75</v>
      </c>
      <c r="E2742" s="8">
        <f>E2741+(0-53.75)</f>
        <v>12534767.57999976</v>
      </c>
    </row>
    <row r="2743" spans="1:5" x14ac:dyDescent="0.25">
      <c r="A2743" s="2" t="s">
        <v>38</v>
      </c>
      <c r="B2743" s="6">
        <v>45212</v>
      </c>
      <c r="C2743" s="2" t="s">
        <v>53</v>
      </c>
      <c r="D2743" s="8">
        <v>-53.75</v>
      </c>
      <c r="E2743" s="8">
        <f>E2742+(0-53.75)</f>
        <v>12534713.82999976</v>
      </c>
    </row>
    <row r="2744" spans="1:5" x14ac:dyDescent="0.25">
      <c r="A2744" s="2" t="s">
        <v>38</v>
      </c>
      <c r="B2744" s="6">
        <v>45212</v>
      </c>
      <c r="C2744" s="2" t="s">
        <v>197</v>
      </c>
      <c r="D2744" s="8">
        <v>-53.75</v>
      </c>
      <c r="E2744" s="8">
        <f>E2743+(0-53.75)</f>
        <v>12534660.07999976</v>
      </c>
    </row>
    <row r="2745" spans="1:5" x14ac:dyDescent="0.25">
      <c r="A2745" s="2" t="s">
        <v>38</v>
      </c>
      <c r="B2745" s="6">
        <v>45212</v>
      </c>
      <c r="C2745" s="2" t="s">
        <v>53</v>
      </c>
      <c r="D2745" s="8">
        <v>-500</v>
      </c>
      <c r="E2745" s="8">
        <f>E2744+(0-500)</f>
        <v>12534160.07999976</v>
      </c>
    </row>
    <row r="2746" spans="1:5" x14ac:dyDescent="0.25">
      <c r="A2746" s="2" t="s">
        <v>38</v>
      </c>
      <c r="B2746" s="6">
        <v>45215</v>
      </c>
      <c r="C2746" s="2" t="s">
        <v>53</v>
      </c>
      <c r="D2746" s="8">
        <v>-600</v>
      </c>
      <c r="E2746" s="8">
        <f>E2745+(0-600)</f>
        <v>12533560.07999976</v>
      </c>
    </row>
    <row r="2747" spans="1:5" x14ac:dyDescent="0.25">
      <c r="A2747" s="2" t="s">
        <v>38</v>
      </c>
      <c r="B2747" s="6">
        <v>45215</v>
      </c>
      <c r="C2747" s="2" t="s">
        <v>53</v>
      </c>
      <c r="D2747" s="8">
        <v>-50</v>
      </c>
      <c r="E2747" s="8">
        <f>E2746+(0-50)</f>
        <v>12533510.07999976</v>
      </c>
    </row>
    <row r="2748" spans="1:5" x14ac:dyDescent="0.25">
      <c r="A2748" s="2" t="s">
        <v>38</v>
      </c>
      <c r="B2748" s="6">
        <v>45215</v>
      </c>
      <c r="C2748" s="2" t="s">
        <v>53</v>
      </c>
      <c r="D2748" s="8">
        <v>-26.88</v>
      </c>
      <c r="E2748" s="8">
        <f>E2747+(0-26.88)</f>
        <v>12533483.199999759</v>
      </c>
    </row>
    <row r="2749" spans="1:5" x14ac:dyDescent="0.25">
      <c r="A2749" s="2" t="s">
        <v>38</v>
      </c>
      <c r="B2749" s="6">
        <v>45216</v>
      </c>
      <c r="C2749" s="2" t="s">
        <v>53</v>
      </c>
      <c r="D2749" s="8">
        <v>-53.75</v>
      </c>
      <c r="E2749" s="8">
        <f>E2748+(0-53.75)</f>
        <v>12533429.449999759</v>
      </c>
    </row>
    <row r="2750" spans="1:5" x14ac:dyDescent="0.25">
      <c r="A2750" s="2" t="s">
        <v>38</v>
      </c>
      <c r="B2750" s="6">
        <v>45216</v>
      </c>
      <c r="C2750" s="2" t="s">
        <v>53</v>
      </c>
      <c r="D2750" s="8">
        <v>-500</v>
      </c>
      <c r="E2750" s="8">
        <f>E2749+(0-500)</f>
        <v>12532929.449999759</v>
      </c>
    </row>
    <row r="2751" spans="1:5" x14ac:dyDescent="0.25">
      <c r="A2751" s="2" t="s">
        <v>38</v>
      </c>
      <c r="B2751" s="6">
        <v>45216</v>
      </c>
      <c r="C2751" s="2" t="s">
        <v>53</v>
      </c>
      <c r="D2751" s="8">
        <v>-50</v>
      </c>
      <c r="E2751" s="8">
        <f>E2750+(0-50)</f>
        <v>12532879.449999759</v>
      </c>
    </row>
    <row r="2752" spans="1:5" x14ac:dyDescent="0.25">
      <c r="A2752" s="2" t="s">
        <v>38</v>
      </c>
      <c r="B2752" s="6">
        <v>45217</v>
      </c>
      <c r="C2752" s="2" t="s">
        <v>53</v>
      </c>
      <c r="D2752" s="8">
        <v>-50</v>
      </c>
      <c r="E2752" s="8">
        <f>E2751+(0-50)</f>
        <v>12532829.449999759</v>
      </c>
    </row>
    <row r="2753" spans="1:5" x14ac:dyDescent="0.25">
      <c r="A2753" s="2" t="s">
        <v>38</v>
      </c>
      <c r="B2753" s="6">
        <v>45217</v>
      </c>
      <c r="C2753" s="2" t="s">
        <v>53</v>
      </c>
      <c r="D2753" s="8">
        <v>-53.75</v>
      </c>
      <c r="E2753" s="8">
        <f>E2752+(0-53.75)</f>
        <v>12532775.699999759</v>
      </c>
    </row>
    <row r="2754" spans="1:5" x14ac:dyDescent="0.25">
      <c r="A2754" s="2" t="s">
        <v>38</v>
      </c>
      <c r="B2754" s="6">
        <v>45217</v>
      </c>
      <c r="C2754" s="2" t="s">
        <v>53</v>
      </c>
      <c r="D2754" s="8">
        <v>-350</v>
      </c>
      <c r="E2754" s="8">
        <f>E2753+(0-350)</f>
        <v>12532425.699999759</v>
      </c>
    </row>
    <row r="2755" spans="1:5" x14ac:dyDescent="0.25">
      <c r="A2755" s="2" t="s">
        <v>38</v>
      </c>
      <c r="B2755" s="6">
        <v>45217</v>
      </c>
      <c r="C2755" s="2" t="s">
        <v>53</v>
      </c>
      <c r="D2755" s="8">
        <v>-250</v>
      </c>
      <c r="E2755" s="8">
        <f>E2754+(0-250)</f>
        <v>12532175.699999759</v>
      </c>
    </row>
    <row r="2756" spans="1:5" x14ac:dyDescent="0.25">
      <c r="A2756" s="2" t="s">
        <v>38</v>
      </c>
      <c r="B2756" s="6">
        <v>45218</v>
      </c>
      <c r="C2756" s="2" t="s">
        <v>53</v>
      </c>
      <c r="D2756" s="8">
        <v>-53.75</v>
      </c>
      <c r="E2756" s="8">
        <f>E2755+(0-53.75)</f>
        <v>12532121.949999759</v>
      </c>
    </row>
    <row r="2757" spans="1:5" x14ac:dyDescent="0.25">
      <c r="A2757" s="2" t="s">
        <v>38</v>
      </c>
      <c r="B2757" s="6">
        <v>45218</v>
      </c>
      <c r="C2757" s="2" t="s">
        <v>53</v>
      </c>
      <c r="D2757" s="8">
        <v>-50</v>
      </c>
      <c r="E2757" s="8">
        <f>E2756+(0-50)</f>
        <v>12532071.949999759</v>
      </c>
    </row>
    <row r="2758" spans="1:5" x14ac:dyDescent="0.25">
      <c r="A2758" s="2" t="s">
        <v>38</v>
      </c>
      <c r="B2758" s="6">
        <v>45218</v>
      </c>
      <c r="C2758" s="2" t="s">
        <v>53</v>
      </c>
      <c r="D2758" s="8">
        <v>-26.88</v>
      </c>
      <c r="E2758" s="8">
        <f>E2757+(0-26.88)</f>
        <v>12532045.069999758</v>
      </c>
    </row>
    <row r="2759" spans="1:5" x14ac:dyDescent="0.25">
      <c r="A2759" s="2" t="s">
        <v>38</v>
      </c>
      <c r="B2759" s="6">
        <v>45218</v>
      </c>
      <c r="C2759" s="2" t="s">
        <v>53</v>
      </c>
      <c r="D2759" s="8">
        <v>-450</v>
      </c>
      <c r="E2759" s="8">
        <f>E2758+(0-450)</f>
        <v>12531595.069999758</v>
      </c>
    </row>
    <row r="2760" spans="1:5" x14ac:dyDescent="0.25">
      <c r="A2760" s="2" t="s">
        <v>38</v>
      </c>
      <c r="B2760" s="6">
        <v>45218</v>
      </c>
      <c r="C2760" s="2" t="s">
        <v>53</v>
      </c>
      <c r="D2760" s="8">
        <v>-200</v>
      </c>
      <c r="E2760" s="8">
        <f>E2759+(0-200)</f>
        <v>12531395.069999758</v>
      </c>
    </row>
    <row r="2761" spans="1:5" x14ac:dyDescent="0.25">
      <c r="A2761" s="2" t="s">
        <v>38</v>
      </c>
      <c r="B2761" s="6">
        <v>45219</v>
      </c>
      <c r="C2761" s="2" t="s">
        <v>53</v>
      </c>
      <c r="D2761" s="8">
        <v>-53.75</v>
      </c>
      <c r="E2761" s="8">
        <f>E2760+(0-53.75)</f>
        <v>12531341.319999758</v>
      </c>
    </row>
    <row r="2762" spans="1:5" x14ac:dyDescent="0.25">
      <c r="A2762" s="2" t="s">
        <v>38</v>
      </c>
      <c r="B2762" s="6">
        <v>45219</v>
      </c>
      <c r="C2762" s="2" t="s">
        <v>53</v>
      </c>
      <c r="D2762" s="8">
        <v>-53.75</v>
      </c>
      <c r="E2762" s="8">
        <f>E2761+(0-53.75)</f>
        <v>12531287.569999758</v>
      </c>
    </row>
    <row r="2763" spans="1:5" x14ac:dyDescent="0.25">
      <c r="A2763" s="2" t="s">
        <v>38</v>
      </c>
      <c r="B2763" s="6">
        <v>45219</v>
      </c>
      <c r="C2763" s="2" t="s">
        <v>53</v>
      </c>
      <c r="D2763" s="8">
        <v>-800</v>
      </c>
      <c r="E2763" s="8">
        <f>E2762+(0-800)</f>
        <v>12530487.569999758</v>
      </c>
    </row>
    <row r="2764" spans="1:5" x14ac:dyDescent="0.25">
      <c r="A2764" s="2" t="s">
        <v>38</v>
      </c>
      <c r="B2764" s="6">
        <v>45222</v>
      </c>
      <c r="C2764" s="2" t="s">
        <v>19</v>
      </c>
      <c r="D2764" s="8">
        <v>-4</v>
      </c>
      <c r="E2764" s="8">
        <f>E2763+(0-4)</f>
        <v>12530483.569999758</v>
      </c>
    </row>
    <row r="2765" spans="1:5" x14ac:dyDescent="0.25">
      <c r="A2765" s="2" t="s">
        <v>38</v>
      </c>
      <c r="B2765" s="6">
        <v>45222</v>
      </c>
      <c r="C2765" s="2" t="s">
        <v>19</v>
      </c>
      <c r="D2765" s="8">
        <v>-56</v>
      </c>
      <c r="E2765" s="8">
        <f>E2764+(0-56)</f>
        <v>12530427.569999758</v>
      </c>
    </row>
    <row r="2766" spans="1:5" x14ac:dyDescent="0.25">
      <c r="A2766" s="2" t="s">
        <v>38</v>
      </c>
      <c r="B2766" s="6">
        <v>45222</v>
      </c>
      <c r="C2766" s="2" t="s">
        <v>19</v>
      </c>
      <c r="D2766" s="8">
        <v>-36</v>
      </c>
      <c r="E2766" s="8">
        <f>E2765+(0-36)</f>
        <v>12530391.569999758</v>
      </c>
    </row>
    <row r="2767" spans="1:5" x14ac:dyDescent="0.25">
      <c r="A2767" s="2" t="s">
        <v>38</v>
      </c>
      <c r="B2767" s="6">
        <v>45222</v>
      </c>
      <c r="C2767" s="2" t="s">
        <v>19</v>
      </c>
      <c r="D2767" s="8">
        <v>-48</v>
      </c>
      <c r="E2767" s="8">
        <f>E2766+(0-48)</f>
        <v>12530343.569999758</v>
      </c>
    </row>
    <row r="2768" spans="1:5" x14ac:dyDescent="0.25">
      <c r="A2768" s="2" t="s">
        <v>38</v>
      </c>
      <c r="B2768" s="6">
        <v>45222</v>
      </c>
      <c r="C2768" s="2" t="s">
        <v>19</v>
      </c>
      <c r="D2768" s="8">
        <v>-20</v>
      </c>
      <c r="E2768" s="8">
        <f>E2767+(0-20)</f>
        <v>12530323.569999758</v>
      </c>
    </row>
    <row r="2769" spans="1:5" x14ac:dyDescent="0.25">
      <c r="A2769" s="2" t="s">
        <v>38</v>
      </c>
      <c r="B2769" s="6">
        <v>45222</v>
      </c>
      <c r="C2769" s="2" t="s">
        <v>19</v>
      </c>
      <c r="D2769" s="8">
        <v>-52</v>
      </c>
      <c r="E2769" s="8">
        <f>E2768+(0-52)</f>
        <v>12530271.569999758</v>
      </c>
    </row>
    <row r="2770" spans="1:5" x14ac:dyDescent="0.25">
      <c r="A2770" s="2" t="s">
        <v>38</v>
      </c>
      <c r="B2770" s="6">
        <v>45222</v>
      </c>
      <c r="C2770" s="2" t="s">
        <v>19</v>
      </c>
      <c r="D2770" s="8">
        <v>-20</v>
      </c>
      <c r="E2770" s="8">
        <f>E2769+(0-20)</f>
        <v>12530251.569999758</v>
      </c>
    </row>
    <row r="2771" spans="1:5" x14ac:dyDescent="0.25">
      <c r="A2771" s="2" t="s">
        <v>38</v>
      </c>
      <c r="B2771" s="6">
        <v>45222</v>
      </c>
      <c r="C2771" s="2" t="s">
        <v>19</v>
      </c>
      <c r="D2771" s="8">
        <v>-60</v>
      </c>
      <c r="E2771" s="8">
        <f>E2770+(0-60)</f>
        <v>12530191.569999758</v>
      </c>
    </row>
    <row r="2772" spans="1:5" x14ac:dyDescent="0.25">
      <c r="A2772" s="2" t="s">
        <v>38</v>
      </c>
      <c r="B2772" s="6">
        <v>45222</v>
      </c>
      <c r="C2772" s="2" t="s">
        <v>19</v>
      </c>
      <c r="D2772" s="8">
        <v>-48</v>
      </c>
      <c r="E2772" s="8">
        <f>E2771+(0-48)</f>
        <v>12530143.569999758</v>
      </c>
    </row>
    <row r="2773" spans="1:5" x14ac:dyDescent="0.25">
      <c r="A2773" s="2" t="s">
        <v>38</v>
      </c>
      <c r="B2773" s="6">
        <v>45222</v>
      </c>
      <c r="C2773" s="2" t="s">
        <v>53</v>
      </c>
      <c r="D2773" s="8">
        <v>-450</v>
      </c>
      <c r="E2773" s="8">
        <f>E2772+(0-450)</f>
        <v>12529693.569999758</v>
      </c>
    </row>
    <row r="2774" spans="1:5" x14ac:dyDescent="0.25">
      <c r="A2774" s="2" t="s">
        <v>38</v>
      </c>
      <c r="B2774" s="6">
        <v>45222</v>
      </c>
      <c r="C2774" s="2" t="s">
        <v>53</v>
      </c>
      <c r="D2774" s="8">
        <v>-50</v>
      </c>
      <c r="E2774" s="8">
        <f>E2773+(0-50)</f>
        <v>12529643.569999758</v>
      </c>
    </row>
    <row r="2775" spans="1:5" x14ac:dyDescent="0.25">
      <c r="A2775" s="2" t="s">
        <v>38</v>
      </c>
      <c r="B2775" s="6">
        <v>45222</v>
      </c>
      <c r="C2775" s="2" t="s">
        <v>53</v>
      </c>
      <c r="D2775" s="8">
        <v>-26.88</v>
      </c>
      <c r="E2775" s="8">
        <f>E2774+(0-26.88)</f>
        <v>12529616.689999757</v>
      </c>
    </row>
    <row r="2776" spans="1:5" x14ac:dyDescent="0.25">
      <c r="A2776" s="2" t="s">
        <v>38</v>
      </c>
      <c r="B2776" s="6">
        <v>45223</v>
      </c>
      <c r="C2776" s="2" t="s">
        <v>53</v>
      </c>
      <c r="D2776" s="8">
        <v>-550</v>
      </c>
      <c r="E2776" s="8">
        <f>E2775+(0-550)</f>
        <v>12529066.689999757</v>
      </c>
    </row>
    <row r="2777" spans="1:5" x14ac:dyDescent="0.25">
      <c r="A2777" s="2" t="s">
        <v>38</v>
      </c>
      <c r="B2777" s="6">
        <v>45224</v>
      </c>
      <c r="C2777" s="2" t="s">
        <v>53</v>
      </c>
      <c r="D2777" s="8">
        <v>-50</v>
      </c>
      <c r="E2777" s="8">
        <f>E2776+(0-50)</f>
        <v>12529016.689999757</v>
      </c>
    </row>
    <row r="2778" spans="1:5" x14ac:dyDescent="0.25">
      <c r="A2778" s="2" t="s">
        <v>38</v>
      </c>
      <c r="B2778" s="6">
        <v>45224</v>
      </c>
      <c r="C2778" s="2" t="s">
        <v>53</v>
      </c>
      <c r="D2778" s="8">
        <v>-50</v>
      </c>
      <c r="E2778" s="8">
        <f>E2777+(0-50)</f>
        <v>12528966.689999757</v>
      </c>
    </row>
    <row r="2779" spans="1:5" x14ac:dyDescent="0.25">
      <c r="A2779" s="2" t="s">
        <v>38</v>
      </c>
      <c r="B2779" s="6">
        <v>45224</v>
      </c>
      <c r="C2779" s="2" t="s">
        <v>53</v>
      </c>
      <c r="D2779" s="8">
        <v>-26.88</v>
      </c>
      <c r="E2779" s="8">
        <f>E2778+(0-26.88)</f>
        <v>12528939.809999757</v>
      </c>
    </row>
    <row r="2780" spans="1:5" x14ac:dyDescent="0.25">
      <c r="A2780" s="2" t="s">
        <v>38</v>
      </c>
      <c r="B2780" s="6">
        <v>45224</v>
      </c>
      <c r="C2780" s="2" t="s">
        <v>53</v>
      </c>
      <c r="D2780" s="8">
        <v>-600</v>
      </c>
      <c r="E2780" s="8">
        <f>E2779+(0-600)</f>
        <v>12528339.809999757</v>
      </c>
    </row>
    <row r="2781" spans="1:5" x14ac:dyDescent="0.25">
      <c r="A2781" s="2" t="s">
        <v>38</v>
      </c>
      <c r="B2781" s="6">
        <v>45225</v>
      </c>
      <c r="C2781" s="2" t="s">
        <v>53</v>
      </c>
      <c r="D2781" s="8">
        <v>-26.88</v>
      </c>
      <c r="E2781" s="8">
        <f>E2780+(0-26.88)</f>
        <v>12528312.929999756</v>
      </c>
    </row>
    <row r="2782" spans="1:5" x14ac:dyDescent="0.25">
      <c r="A2782" s="2" t="s">
        <v>38</v>
      </c>
      <c r="B2782" s="6">
        <v>45225</v>
      </c>
      <c r="C2782" s="2" t="s">
        <v>53</v>
      </c>
      <c r="D2782" s="8">
        <v>-26.88</v>
      </c>
      <c r="E2782" s="8">
        <f>E2781+(0-26.88)</f>
        <v>12528286.049999755</v>
      </c>
    </row>
    <row r="2783" spans="1:5" x14ac:dyDescent="0.25">
      <c r="A2783" s="2" t="s">
        <v>38</v>
      </c>
      <c r="B2783" s="6">
        <v>45225</v>
      </c>
      <c r="C2783" s="2" t="s">
        <v>53</v>
      </c>
      <c r="D2783" s="8">
        <v>-50</v>
      </c>
      <c r="E2783" s="8">
        <f>E2782+(0-50)</f>
        <v>12528236.049999755</v>
      </c>
    </row>
    <row r="2784" spans="1:5" x14ac:dyDescent="0.25">
      <c r="A2784" s="2" t="s">
        <v>38</v>
      </c>
      <c r="B2784" s="6">
        <v>45225</v>
      </c>
      <c r="C2784" s="2" t="s">
        <v>53</v>
      </c>
      <c r="D2784" s="8">
        <v>-550</v>
      </c>
      <c r="E2784" s="8">
        <f>E2783+(0-550)</f>
        <v>12527686.049999755</v>
      </c>
    </row>
    <row r="2785" spans="1:5" x14ac:dyDescent="0.25">
      <c r="A2785" s="2" t="s">
        <v>38</v>
      </c>
      <c r="B2785" s="6">
        <v>45226</v>
      </c>
      <c r="C2785" s="2" t="s">
        <v>53</v>
      </c>
      <c r="D2785" s="8">
        <v>-53.75</v>
      </c>
      <c r="E2785" s="8">
        <f>E2784+(0-53.75)</f>
        <v>12527632.299999755</v>
      </c>
    </row>
    <row r="2786" spans="1:5" x14ac:dyDescent="0.25">
      <c r="A2786" s="2" t="s">
        <v>38</v>
      </c>
      <c r="B2786" s="6">
        <v>45226</v>
      </c>
      <c r="C2786" s="2" t="s">
        <v>19</v>
      </c>
      <c r="D2786" s="8">
        <v>-16</v>
      </c>
      <c r="E2786" s="8">
        <f>E2785+(0-16)</f>
        <v>12527616.299999755</v>
      </c>
    </row>
    <row r="2787" spans="1:5" x14ac:dyDescent="0.25">
      <c r="A2787" s="2" t="s">
        <v>38</v>
      </c>
      <c r="B2787" s="6">
        <v>45226</v>
      </c>
      <c r="C2787" s="2" t="s">
        <v>53</v>
      </c>
      <c r="D2787" s="8">
        <v>-53.75</v>
      </c>
      <c r="E2787" s="8">
        <f>E2786+(0-53.75)</f>
        <v>12527562.549999755</v>
      </c>
    </row>
    <row r="2788" spans="1:5" x14ac:dyDescent="0.25">
      <c r="A2788" s="2" t="s">
        <v>38</v>
      </c>
      <c r="B2788" s="6">
        <v>45226</v>
      </c>
      <c r="C2788" s="2" t="s">
        <v>53</v>
      </c>
      <c r="D2788" s="8">
        <v>-26.88</v>
      </c>
      <c r="E2788" s="8">
        <f>E2787+(0-26.88)</f>
        <v>12527535.669999754</v>
      </c>
    </row>
    <row r="2789" spans="1:5" x14ac:dyDescent="0.25">
      <c r="A2789" s="2" t="s">
        <v>38</v>
      </c>
      <c r="B2789" s="6">
        <v>45226</v>
      </c>
      <c r="C2789" s="2" t="s">
        <v>53</v>
      </c>
      <c r="D2789" s="8">
        <v>-26.88</v>
      </c>
      <c r="E2789" s="8">
        <f>E2788+(0-26.88)</f>
        <v>12527508.789999753</v>
      </c>
    </row>
    <row r="2790" spans="1:5" x14ac:dyDescent="0.25">
      <c r="A2790" s="2" t="s">
        <v>38</v>
      </c>
      <c r="B2790" s="6">
        <v>45226</v>
      </c>
      <c r="C2790" s="2" t="s">
        <v>53</v>
      </c>
      <c r="D2790" s="8">
        <v>-53.75</v>
      </c>
      <c r="E2790" s="8">
        <f>E2789+(0-53.75)</f>
        <v>12527455.039999753</v>
      </c>
    </row>
    <row r="2791" spans="1:5" x14ac:dyDescent="0.25">
      <c r="A2791" s="2" t="s">
        <v>38</v>
      </c>
      <c r="B2791" s="6">
        <v>45226</v>
      </c>
      <c r="C2791" s="2" t="s">
        <v>53</v>
      </c>
      <c r="D2791" s="8">
        <v>-26.88</v>
      </c>
      <c r="E2791" s="8">
        <f>E2790+(0-26.88)</f>
        <v>12527428.159999752</v>
      </c>
    </row>
    <row r="2792" spans="1:5" x14ac:dyDescent="0.25">
      <c r="A2792" s="2" t="s">
        <v>38</v>
      </c>
      <c r="B2792" s="6">
        <v>45226</v>
      </c>
      <c r="C2792" s="2" t="s">
        <v>53</v>
      </c>
      <c r="D2792" s="8">
        <v>-53.75</v>
      </c>
      <c r="E2792" s="8">
        <f>E2791+(0-53.75)</f>
        <v>12527374.409999752</v>
      </c>
    </row>
    <row r="2793" spans="1:5" x14ac:dyDescent="0.25">
      <c r="A2793" s="2" t="s">
        <v>38</v>
      </c>
      <c r="B2793" s="6">
        <v>45226</v>
      </c>
      <c r="C2793" s="2" t="s">
        <v>53</v>
      </c>
      <c r="D2793" s="8">
        <v>-550</v>
      </c>
      <c r="E2793" s="8">
        <f>E2792+(0-550)</f>
        <v>12526824.409999752</v>
      </c>
    </row>
    <row r="2794" spans="1:5" x14ac:dyDescent="0.25">
      <c r="A2794" s="2" t="s">
        <v>38</v>
      </c>
      <c r="B2794" s="6">
        <v>45229</v>
      </c>
      <c r="C2794" s="2" t="s">
        <v>19</v>
      </c>
      <c r="D2794" s="8">
        <v>-44</v>
      </c>
      <c r="E2794" s="8">
        <f>E2793+(0-44)</f>
        <v>12526780.409999752</v>
      </c>
    </row>
    <row r="2795" spans="1:5" x14ac:dyDescent="0.25">
      <c r="A2795" s="2" t="s">
        <v>38</v>
      </c>
      <c r="B2795" s="6">
        <v>45229</v>
      </c>
      <c r="C2795" s="2" t="s">
        <v>19</v>
      </c>
      <c r="D2795" s="8">
        <v>-4</v>
      </c>
      <c r="E2795" s="8">
        <f>E2794+(0-4)</f>
        <v>12526776.409999752</v>
      </c>
    </row>
    <row r="2796" spans="1:5" x14ac:dyDescent="0.25">
      <c r="A2796" s="2" t="s">
        <v>38</v>
      </c>
      <c r="B2796" s="6">
        <v>45229</v>
      </c>
      <c r="C2796" s="2" t="s">
        <v>19</v>
      </c>
      <c r="D2796" s="8">
        <v>-4</v>
      </c>
      <c r="E2796" s="8">
        <f>E2795+(0-4)</f>
        <v>12526772.409999752</v>
      </c>
    </row>
    <row r="2797" spans="1:5" x14ac:dyDescent="0.25">
      <c r="A2797" s="2" t="s">
        <v>38</v>
      </c>
      <c r="B2797" s="6">
        <v>45229</v>
      </c>
      <c r="C2797" s="2" t="s">
        <v>19</v>
      </c>
      <c r="D2797" s="8">
        <v>-16</v>
      </c>
      <c r="E2797" s="8">
        <f>E2796+(0-16)</f>
        <v>12526756.409999752</v>
      </c>
    </row>
    <row r="2798" spans="1:5" x14ac:dyDescent="0.25">
      <c r="A2798" s="2" t="s">
        <v>38</v>
      </c>
      <c r="B2798" s="6">
        <v>45229</v>
      </c>
      <c r="C2798" s="2" t="s">
        <v>19</v>
      </c>
      <c r="D2798" s="8">
        <v>-40</v>
      </c>
      <c r="E2798" s="8">
        <f>E2797+(0-40)</f>
        <v>12526716.409999752</v>
      </c>
    </row>
    <row r="2799" spans="1:5" x14ac:dyDescent="0.25">
      <c r="A2799" s="2" t="s">
        <v>38</v>
      </c>
      <c r="B2799" s="6">
        <v>45229</v>
      </c>
      <c r="C2799" s="2" t="s">
        <v>19</v>
      </c>
      <c r="D2799" s="8">
        <v>-12</v>
      </c>
      <c r="E2799" s="8">
        <f>E2798+(0-12)</f>
        <v>12526704.409999752</v>
      </c>
    </row>
    <row r="2800" spans="1:5" x14ac:dyDescent="0.25">
      <c r="A2800" s="2" t="s">
        <v>38</v>
      </c>
      <c r="B2800" s="6">
        <v>45229</v>
      </c>
      <c r="C2800" s="2" t="s">
        <v>19</v>
      </c>
      <c r="D2800" s="8">
        <v>-48</v>
      </c>
      <c r="E2800" s="8">
        <f>E2799+(0-48)</f>
        <v>12526656.409999752</v>
      </c>
    </row>
    <row r="2801" spans="1:5" x14ac:dyDescent="0.25">
      <c r="A2801" s="2" t="s">
        <v>38</v>
      </c>
      <c r="B2801" s="6">
        <v>45229</v>
      </c>
      <c r="C2801" s="2" t="s">
        <v>19</v>
      </c>
      <c r="D2801" s="8">
        <v>-24</v>
      </c>
      <c r="E2801" s="8">
        <f>E2800+(0-24)</f>
        <v>12526632.409999752</v>
      </c>
    </row>
    <row r="2802" spans="1:5" x14ac:dyDescent="0.25">
      <c r="A2802" s="2" t="s">
        <v>38</v>
      </c>
      <c r="B2802" s="6">
        <v>45229</v>
      </c>
      <c r="C2802" s="2" t="s">
        <v>19</v>
      </c>
      <c r="D2802" s="8">
        <v>-4</v>
      </c>
      <c r="E2802" s="8">
        <f>E2801+(0-4)</f>
        <v>12526628.409999752</v>
      </c>
    </row>
    <row r="2803" spans="1:5" x14ac:dyDescent="0.25">
      <c r="A2803" s="2" t="s">
        <v>38</v>
      </c>
      <c r="B2803" s="6">
        <v>45229</v>
      </c>
      <c r="C2803" s="2" t="s">
        <v>19</v>
      </c>
      <c r="D2803" s="8">
        <v>-4</v>
      </c>
      <c r="E2803" s="8">
        <f>E2802+(0-4)</f>
        <v>12526624.409999752</v>
      </c>
    </row>
    <row r="2804" spans="1:5" x14ac:dyDescent="0.25">
      <c r="A2804" s="2" t="s">
        <v>38</v>
      </c>
      <c r="B2804" s="6">
        <v>45229</v>
      </c>
      <c r="C2804" s="2" t="s">
        <v>19</v>
      </c>
      <c r="D2804" s="8">
        <v>-44</v>
      </c>
      <c r="E2804" s="8">
        <f>E2803+(0-44)</f>
        <v>12526580.409999752</v>
      </c>
    </row>
    <row r="2805" spans="1:5" x14ac:dyDescent="0.25">
      <c r="A2805" s="2" t="s">
        <v>38</v>
      </c>
      <c r="B2805" s="6">
        <v>45229</v>
      </c>
      <c r="C2805" s="2" t="s">
        <v>53</v>
      </c>
      <c r="D2805" s="8">
        <v>-50</v>
      </c>
      <c r="E2805" s="8">
        <f>E2804+(0-50)</f>
        <v>12526530.409999752</v>
      </c>
    </row>
    <row r="2806" spans="1:5" x14ac:dyDescent="0.25">
      <c r="A2806" s="2" t="s">
        <v>38</v>
      </c>
      <c r="B2806" s="6">
        <v>45229</v>
      </c>
      <c r="C2806" s="2" t="s">
        <v>53</v>
      </c>
      <c r="D2806" s="8">
        <v>-53.75</v>
      </c>
      <c r="E2806" s="8">
        <f>E2805+(0-53.75)</f>
        <v>12526476.659999752</v>
      </c>
    </row>
    <row r="2807" spans="1:5" x14ac:dyDescent="0.25">
      <c r="A2807" s="2" t="s">
        <v>38</v>
      </c>
      <c r="B2807" s="6">
        <v>45229</v>
      </c>
      <c r="C2807" s="2" t="s">
        <v>53</v>
      </c>
      <c r="D2807" s="8">
        <v>-700</v>
      </c>
      <c r="E2807" s="8">
        <f>E2806+(0-700)</f>
        <v>12525776.659999752</v>
      </c>
    </row>
    <row r="2808" spans="1:5" x14ac:dyDescent="0.25">
      <c r="A2808" s="2" t="s">
        <v>38</v>
      </c>
      <c r="B2808" s="6">
        <v>45230</v>
      </c>
      <c r="C2808" s="2" t="s">
        <v>53</v>
      </c>
      <c r="D2808" s="8">
        <v>-53.75</v>
      </c>
      <c r="E2808" s="8">
        <f>E2807+(0-53.75)</f>
        <v>12525722.909999752</v>
      </c>
    </row>
    <row r="2809" spans="1:5" x14ac:dyDescent="0.25">
      <c r="A2809" s="2" t="s">
        <v>38</v>
      </c>
      <c r="B2809" s="6">
        <v>45230</v>
      </c>
      <c r="C2809" s="2" t="s">
        <v>53</v>
      </c>
      <c r="D2809" s="8">
        <v>-350</v>
      </c>
      <c r="E2809" s="8">
        <f>E2808+(0-350)</f>
        <v>12525372.909999752</v>
      </c>
    </row>
    <row r="2810" spans="1:5" x14ac:dyDescent="0.25">
      <c r="A2810" s="2" t="s">
        <v>38</v>
      </c>
      <c r="B2810" s="6">
        <v>45231</v>
      </c>
      <c r="C2810" s="2" t="s">
        <v>53</v>
      </c>
      <c r="D2810" s="8">
        <v>-53.75</v>
      </c>
      <c r="E2810" s="8">
        <f>E2809+(0-53.75)</f>
        <v>12525319.159999752</v>
      </c>
    </row>
    <row r="2811" spans="1:5" x14ac:dyDescent="0.25">
      <c r="A2811" s="2" t="s">
        <v>38</v>
      </c>
      <c r="B2811" s="6">
        <v>45231</v>
      </c>
      <c r="C2811" s="2" t="s">
        <v>53</v>
      </c>
      <c r="D2811" s="8">
        <v>-26.88</v>
      </c>
      <c r="E2811" s="8">
        <f>E2810+(0-26.88)</f>
        <v>12525292.279999752</v>
      </c>
    </row>
    <row r="2812" spans="1:5" x14ac:dyDescent="0.25">
      <c r="A2812" s="2" t="s">
        <v>38</v>
      </c>
      <c r="B2812" s="6">
        <v>45231</v>
      </c>
      <c r="C2812" s="2" t="s">
        <v>53</v>
      </c>
      <c r="D2812" s="8">
        <v>-53.75</v>
      </c>
      <c r="E2812" s="8">
        <f>E2811+(0-53.75)</f>
        <v>12525238.529999752</v>
      </c>
    </row>
    <row r="2813" spans="1:5" x14ac:dyDescent="0.25">
      <c r="A2813" s="2" t="s">
        <v>38</v>
      </c>
      <c r="B2813" s="6">
        <v>45231</v>
      </c>
      <c r="C2813" s="2" t="s">
        <v>53</v>
      </c>
      <c r="D2813" s="8">
        <v>-250</v>
      </c>
      <c r="E2813" s="8">
        <f>E2812+(0-250)</f>
        <v>12524988.529999752</v>
      </c>
    </row>
    <row r="2814" spans="1:5" x14ac:dyDescent="0.25">
      <c r="A2814" s="2" t="s">
        <v>38</v>
      </c>
      <c r="B2814" s="6">
        <v>45232</v>
      </c>
      <c r="C2814" s="2" t="s">
        <v>53</v>
      </c>
      <c r="D2814" s="8">
        <v>-550</v>
      </c>
      <c r="E2814" s="8">
        <f>E2813+(0-550)</f>
        <v>12524438.529999752</v>
      </c>
    </row>
    <row r="2815" spans="1:5" x14ac:dyDescent="0.25">
      <c r="A2815" s="2" t="s">
        <v>38</v>
      </c>
      <c r="B2815" s="6">
        <v>45233</v>
      </c>
      <c r="C2815" s="2" t="s">
        <v>53</v>
      </c>
      <c r="D2815" s="8">
        <v>-50</v>
      </c>
      <c r="E2815" s="8">
        <f>E2814+(0-50)</f>
        <v>12524388.529999752</v>
      </c>
    </row>
    <row r="2816" spans="1:5" x14ac:dyDescent="0.25">
      <c r="A2816" s="2" t="s">
        <v>38</v>
      </c>
      <c r="B2816" s="6">
        <v>45233</v>
      </c>
      <c r="C2816" s="2" t="s">
        <v>53</v>
      </c>
      <c r="D2816" s="8">
        <v>-50</v>
      </c>
      <c r="E2816" s="8">
        <f>E2815+(0-50)</f>
        <v>12524338.529999752</v>
      </c>
    </row>
    <row r="2817" spans="1:5" x14ac:dyDescent="0.25">
      <c r="A2817" s="2" t="s">
        <v>38</v>
      </c>
      <c r="B2817" s="6">
        <v>45233</v>
      </c>
      <c r="C2817" s="2" t="s">
        <v>53</v>
      </c>
      <c r="D2817" s="8">
        <v>-450</v>
      </c>
      <c r="E2817" s="8">
        <f>E2816+(0-450)</f>
        <v>12523888.529999752</v>
      </c>
    </row>
    <row r="2818" spans="1:5" x14ac:dyDescent="0.25">
      <c r="A2818" s="2" t="s">
        <v>38</v>
      </c>
      <c r="B2818" s="6">
        <v>45236</v>
      </c>
      <c r="C2818" s="2" t="s">
        <v>53</v>
      </c>
      <c r="D2818" s="8">
        <v>-150</v>
      </c>
      <c r="E2818" s="8">
        <f>E2817+(0-150)</f>
        <v>12523738.529999752</v>
      </c>
    </row>
    <row r="2819" spans="1:5" x14ac:dyDescent="0.25">
      <c r="A2819" s="2" t="s">
        <v>38</v>
      </c>
      <c r="B2819" s="6">
        <v>45236</v>
      </c>
      <c r="C2819" s="2" t="s">
        <v>53</v>
      </c>
      <c r="D2819" s="8">
        <v>-50</v>
      </c>
      <c r="E2819" s="8">
        <f>E2818+(0-50)</f>
        <v>12523688.529999752</v>
      </c>
    </row>
    <row r="2820" spans="1:5" x14ac:dyDescent="0.25">
      <c r="A2820" s="2" t="s">
        <v>38</v>
      </c>
      <c r="B2820" s="6">
        <v>45236</v>
      </c>
      <c r="C2820" s="2" t="s">
        <v>53</v>
      </c>
      <c r="D2820" s="8">
        <v>-53.75</v>
      </c>
      <c r="E2820" s="8">
        <f>E2819+(0-53.75)</f>
        <v>12523634.779999752</v>
      </c>
    </row>
    <row r="2821" spans="1:5" x14ac:dyDescent="0.25">
      <c r="A2821" s="2" t="s">
        <v>38</v>
      </c>
      <c r="B2821" s="6">
        <v>45237</v>
      </c>
      <c r="C2821" s="2" t="s">
        <v>53</v>
      </c>
      <c r="D2821" s="8">
        <v>-300</v>
      </c>
      <c r="E2821" s="8">
        <f>E2820+(0-300)</f>
        <v>12523334.779999752</v>
      </c>
    </row>
    <row r="2822" spans="1:5" x14ac:dyDescent="0.25">
      <c r="A2822" s="2" t="s">
        <v>38</v>
      </c>
      <c r="B2822" s="6">
        <v>45238</v>
      </c>
      <c r="C2822" s="2" t="s">
        <v>53</v>
      </c>
      <c r="D2822" s="8">
        <v>-53.75</v>
      </c>
      <c r="E2822" s="8">
        <f>E2821+(0-53.75)</f>
        <v>12523281.029999752</v>
      </c>
    </row>
    <row r="2823" spans="1:5" x14ac:dyDescent="0.25">
      <c r="A2823" s="2" t="s">
        <v>38</v>
      </c>
      <c r="B2823" s="6">
        <v>45238</v>
      </c>
      <c r="C2823" s="2" t="s">
        <v>53</v>
      </c>
      <c r="D2823" s="8">
        <v>-53.75</v>
      </c>
      <c r="E2823" s="8">
        <f>E2822+(0-53.75)</f>
        <v>12523227.279999752</v>
      </c>
    </row>
    <row r="2824" spans="1:5" x14ac:dyDescent="0.25">
      <c r="A2824" s="2" t="s">
        <v>38</v>
      </c>
      <c r="B2824" s="6">
        <v>45238</v>
      </c>
      <c r="C2824" s="2" t="s">
        <v>53</v>
      </c>
      <c r="D2824" s="8">
        <v>-26.88</v>
      </c>
      <c r="E2824" s="8">
        <f>E2823+(0-26.88)</f>
        <v>12523200.399999751</v>
      </c>
    </row>
    <row r="2825" spans="1:5" x14ac:dyDescent="0.25">
      <c r="A2825" s="2" t="s">
        <v>38</v>
      </c>
      <c r="B2825" s="6">
        <v>45238</v>
      </c>
      <c r="C2825" s="2" t="s">
        <v>53</v>
      </c>
      <c r="D2825" s="8">
        <v>-50</v>
      </c>
      <c r="E2825" s="8">
        <f>E2824+(0-50)</f>
        <v>12523150.399999751</v>
      </c>
    </row>
    <row r="2826" spans="1:5" x14ac:dyDescent="0.25">
      <c r="A2826" s="2" t="s">
        <v>38</v>
      </c>
      <c r="B2826" s="6">
        <v>45238</v>
      </c>
      <c r="C2826" s="2" t="s">
        <v>53</v>
      </c>
      <c r="D2826" s="8">
        <v>-500</v>
      </c>
      <c r="E2826" s="8">
        <f>E2825+(0-500)</f>
        <v>12522650.399999751</v>
      </c>
    </row>
    <row r="2827" spans="1:5" x14ac:dyDescent="0.25">
      <c r="A2827" s="2" t="s">
        <v>38</v>
      </c>
      <c r="B2827" s="6">
        <v>45239</v>
      </c>
      <c r="C2827" s="2" t="s">
        <v>53</v>
      </c>
      <c r="D2827" s="8">
        <v>-50</v>
      </c>
      <c r="E2827" s="8">
        <f>E2826+(0-50)</f>
        <v>12522600.399999751</v>
      </c>
    </row>
    <row r="2828" spans="1:5" x14ac:dyDescent="0.25">
      <c r="A2828" s="2" t="s">
        <v>38</v>
      </c>
      <c r="B2828" s="6">
        <v>45239</v>
      </c>
      <c r="C2828" s="2" t="s">
        <v>53</v>
      </c>
      <c r="D2828" s="8">
        <v>-500</v>
      </c>
      <c r="E2828" s="8">
        <f>E2827+(0-500)</f>
        <v>12522100.399999751</v>
      </c>
    </row>
    <row r="2829" spans="1:5" x14ac:dyDescent="0.25">
      <c r="A2829" s="2" t="s">
        <v>38</v>
      </c>
      <c r="B2829" s="6">
        <v>45240</v>
      </c>
      <c r="C2829" s="2" t="s">
        <v>19</v>
      </c>
      <c r="D2829" s="8">
        <v>-48</v>
      </c>
      <c r="E2829" s="8">
        <f>E2828+(0-48)</f>
        <v>12522052.399999751</v>
      </c>
    </row>
    <row r="2830" spans="1:5" x14ac:dyDescent="0.25">
      <c r="A2830" s="2" t="s">
        <v>38</v>
      </c>
      <c r="B2830" s="6">
        <v>45240</v>
      </c>
      <c r="C2830" s="2" t="s">
        <v>19</v>
      </c>
      <c r="D2830" s="8">
        <v>-40</v>
      </c>
      <c r="E2830" s="8">
        <f>E2829+(0-40)</f>
        <v>12522012.399999751</v>
      </c>
    </row>
    <row r="2831" spans="1:5" x14ac:dyDescent="0.25">
      <c r="A2831" s="2" t="s">
        <v>38</v>
      </c>
      <c r="B2831" s="6">
        <v>45240</v>
      </c>
      <c r="C2831" s="2" t="s">
        <v>19</v>
      </c>
      <c r="D2831" s="8">
        <v>-24</v>
      </c>
      <c r="E2831" s="8">
        <f>E2830+(0-24)</f>
        <v>12521988.399999751</v>
      </c>
    </row>
    <row r="2832" spans="1:5" x14ac:dyDescent="0.25">
      <c r="A2832" s="2" t="s">
        <v>38</v>
      </c>
      <c r="B2832" s="6">
        <v>45240</v>
      </c>
      <c r="C2832" s="2" t="s">
        <v>19</v>
      </c>
      <c r="D2832" s="8">
        <v>-40</v>
      </c>
      <c r="E2832" s="8">
        <f>E2831+(0-40)</f>
        <v>12521948.399999751</v>
      </c>
    </row>
    <row r="2833" spans="1:5" x14ac:dyDescent="0.25">
      <c r="A2833" s="2" t="s">
        <v>38</v>
      </c>
      <c r="B2833" s="6">
        <v>45240</v>
      </c>
      <c r="C2833" s="2" t="s">
        <v>53</v>
      </c>
      <c r="D2833" s="8">
        <v>-450</v>
      </c>
      <c r="E2833" s="8">
        <f>E2832+(0-450)</f>
        <v>12521498.399999751</v>
      </c>
    </row>
    <row r="2834" spans="1:5" x14ac:dyDescent="0.25">
      <c r="A2834" s="2" t="s">
        <v>38</v>
      </c>
      <c r="B2834" s="6">
        <v>45243</v>
      </c>
      <c r="C2834" s="2" t="s">
        <v>19</v>
      </c>
      <c r="D2834" s="8">
        <v>-68</v>
      </c>
      <c r="E2834" s="8">
        <f>E2833+(0-68)</f>
        <v>12521430.399999751</v>
      </c>
    </row>
    <row r="2835" spans="1:5" x14ac:dyDescent="0.25">
      <c r="A2835" s="2" t="s">
        <v>38</v>
      </c>
      <c r="B2835" s="6">
        <v>45243</v>
      </c>
      <c r="C2835" s="2" t="s">
        <v>19</v>
      </c>
      <c r="D2835" s="8">
        <v>-4</v>
      </c>
      <c r="E2835" s="8">
        <f>E2834+(0-4)</f>
        <v>12521426.399999751</v>
      </c>
    </row>
    <row r="2836" spans="1:5" x14ac:dyDescent="0.25">
      <c r="A2836" s="2" t="s">
        <v>38</v>
      </c>
      <c r="B2836" s="6">
        <v>45243</v>
      </c>
      <c r="C2836" s="2" t="s">
        <v>19</v>
      </c>
      <c r="D2836" s="8">
        <v>-12</v>
      </c>
      <c r="E2836" s="8">
        <f>E2835+(0-12)</f>
        <v>12521414.399999751</v>
      </c>
    </row>
    <row r="2837" spans="1:5" x14ac:dyDescent="0.25">
      <c r="A2837" s="2" t="s">
        <v>38</v>
      </c>
      <c r="B2837" s="6">
        <v>45243</v>
      </c>
      <c r="C2837" s="2" t="s">
        <v>19</v>
      </c>
      <c r="D2837" s="8">
        <v>-20</v>
      </c>
      <c r="E2837" s="8">
        <f>E2836+(0-20)</f>
        <v>12521394.399999751</v>
      </c>
    </row>
    <row r="2838" spans="1:5" x14ac:dyDescent="0.25">
      <c r="A2838" s="2" t="s">
        <v>38</v>
      </c>
      <c r="B2838" s="6">
        <v>45243</v>
      </c>
      <c r="C2838" s="2" t="s">
        <v>19</v>
      </c>
      <c r="D2838" s="8">
        <v>-48</v>
      </c>
      <c r="E2838" s="8">
        <f>E2837+(0-48)</f>
        <v>12521346.399999751</v>
      </c>
    </row>
    <row r="2839" spans="1:5" x14ac:dyDescent="0.25">
      <c r="A2839" s="2" t="s">
        <v>38</v>
      </c>
      <c r="B2839" s="6">
        <v>45243</v>
      </c>
      <c r="C2839" s="2" t="s">
        <v>19</v>
      </c>
      <c r="D2839" s="8">
        <v>-64</v>
      </c>
      <c r="E2839" s="8">
        <f>E2838+(0-64)</f>
        <v>12521282.399999751</v>
      </c>
    </row>
    <row r="2840" spans="1:5" x14ac:dyDescent="0.25">
      <c r="A2840" s="2" t="s">
        <v>38</v>
      </c>
      <c r="B2840" s="6">
        <v>45243</v>
      </c>
      <c r="C2840" s="2" t="s">
        <v>19</v>
      </c>
      <c r="D2840" s="8">
        <v>-64</v>
      </c>
      <c r="E2840" s="8">
        <f>E2839+(0-64)</f>
        <v>12521218.399999751</v>
      </c>
    </row>
    <row r="2841" spans="1:5" x14ac:dyDescent="0.25">
      <c r="A2841" s="2" t="s">
        <v>38</v>
      </c>
      <c r="B2841" s="6">
        <v>45243</v>
      </c>
      <c r="C2841" s="2" t="s">
        <v>53</v>
      </c>
      <c r="D2841" s="8">
        <v>-53.75</v>
      </c>
      <c r="E2841" s="8">
        <f>E2840+(0-53.75)</f>
        <v>12521164.649999751</v>
      </c>
    </row>
    <row r="2842" spans="1:5" x14ac:dyDescent="0.25">
      <c r="A2842" s="2" t="s">
        <v>38</v>
      </c>
      <c r="B2842" s="6">
        <v>45243</v>
      </c>
      <c r="C2842" s="2" t="s">
        <v>53</v>
      </c>
      <c r="D2842" s="8">
        <v>-53.75</v>
      </c>
      <c r="E2842" s="8">
        <f>E2841+(0-53.75)</f>
        <v>12521110.899999751</v>
      </c>
    </row>
    <row r="2843" spans="1:5" x14ac:dyDescent="0.25">
      <c r="A2843" s="2" t="s">
        <v>38</v>
      </c>
      <c r="B2843" s="6">
        <v>45243</v>
      </c>
      <c r="C2843" s="2" t="s">
        <v>53</v>
      </c>
      <c r="D2843" s="8">
        <v>-50</v>
      </c>
      <c r="E2843" s="8">
        <f>E2842+(0-50)</f>
        <v>12521060.899999751</v>
      </c>
    </row>
    <row r="2844" spans="1:5" x14ac:dyDescent="0.25">
      <c r="A2844" s="2" t="s">
        <v>38</v>
      </c>
      <c r="B2844" s="6">
        <v>45243</v>
      </c>
      <c r="C2844" s="2" t="s">
        <v>53</v>
      </c>
      <c r="D2844" s="8">
        <v>-100</v>
      </c>
      <c r="E2844" s="8">
        <f>E2843+(0-100)</f>
        <v>12520960.899999751</v>
      </c>
    </row>
    <row r="2845" spans="1:5" x14ac:dyDescent="0.25">
      <c r="A2845" s="2" t="s">
        <v>38</v>
      </c>
      <c r="B2845" s="6">
        <v>45243</v>
      </c>
      <c r="C2845" s="2" t="s">
        <v>53</v>
      </c>
      <c r="D2845" s="8">
        <v>-400</v>
      </c>
      <c r="E2845" s="8">
        <f>E2844+(0-400)</f>
        <v>12520560.899999751</v>
      </c>
    </row>
    <row r="2846" spans="1:5" x14ac:dyDescent="0.25">
      <c r="A2846" s="2" t="s">
        <v>38</v>
      </c>
      <c r="B2846" s="6">
        <v>45244</v>
      </c>
      <c r="C2846" s="2" t="s">
        <v>53</v>
      </c>
      <c r="D2846" s="8">
        <v>-26.88</v>
      </c>
      <c r="E2846" s="8">
        <f>E2845+(0-26.88)</f>
        <v>12520534.01999975</v>
      </c>
    </row>
    <row r="2847" spans="1:5" x14ac:dyDescent="0.25">
      <c r="A2847" s="2" t="s">
        <v>38</v>
      </c>
      <c r="B2847" s="6">
        <v>45244</v>
      </c>
      <c r="C2847" s="2" t="s">
        <v>53</v>
      </c>
      <c r="D2847" s="8">
        <v>-50</v>
      </c>
      <c r="E2847" s="8">
        <f>E2846+(0-50)</f>
        <v>12520484.01999975</v>
      </c>
    </row>
    <row r="2848" spans="1:5" x14ac:dyDescent="0.25">
      <c r="A2848" s="2" t="s">
        <v>38</v>
      </c>
      <c r="B2848" s="6">
        <v>45244</v>
      </c>
      <c r="C2848" s="2" t="s">
        <v>53</v>
      </c>
      <c r="D2848" s="8">
        <v>-450</v>
      </c>
      <c r="E2848" s="8">
        <f>E2847+(0-450)</f>
        <v>12520034.01999975</v>
      </c>
    </row>
    <row r="2849" spans="1:5" x14ac:dyDescent="0.25">
      <c r="A2849" s="2" t="s">
        <v>38</v>
      </c>
      <c r="B2849" s="6">
        <v>45245</v>
      </c>
      <c r="C2849" s="2" t="s">
        <v>53</v>
      </c>
      <c r="D2849" s="8">
        <v>-26.88</v>
      </c>
      <c r="E2849" s="8">
        <f>E2848+(0-26.88)</f>
        <v>12520007.139999749</v>
      </c>
    </row>
    <row r="2850" spans="1:5" x14ac:dyDescent="0.25">
      <c r="A2850" s="2" t="s">
        <v>38</v>
      </c>
      <c r="B2850" s="6">
        <v>45245</v>
      </c>
      <c r="C2850" s="2" t="s">
        <v>53</v>
      </c>
      <c r="D2850" s="8">
        <v>-50</v>
      </c>
      <c r="E2850" s="8">
        <f>E2849+(0-50)</f>
        <v>12519957.139999749</v>
      </c>
    </row>
    <row r="2851" spans="1:5" x14ac:dyDescent="0.25">
      <c r="A2851" s="2" t="s">
        <v>38</v>
      </c>
      <c r="B2851" s="6">
        <v>45245</v>
      </c>
      <c r="C2851" s="2" t="s">
        <v>53</v>
      </c>
      <c r="D2851" s="8">
        <v>-550</v>
      </c>
      <c r="E2851" s="8">
        <f>E2850+(0-550)</f>
        <v>12519407.139999749</v>
      </c>
    </row>
    <row r="2852" spans="1:5" x14ac:dyDescent="0.25">
      <c r="A2852" s="2" t="s">
        <v>38</v>
      </c>
      <c r="B2852" s="6">
        <v>45245</v>
      </c>
      <c r="C2852" s="2" t="s">
        <v>19</v>
      </c>
      <c r="D2852" s="8">
        <v>-48</v>
      </c>
      <c r="E2852" s="8">
        <f>E2851+(0-48)</f>
        <v>12519359.139999749</v>
      </c>
    </row>
    <row r="2853" spans="1:5" x14ac:dyDescent="0.25">
      <c r="A2853" s="2" t="s">
        <v>38</v>
      </c>
      <c r="B2853" s="6">
        <v>45246</v>
      </c>
      <c r="C2853" s="2" t="s">
        <v>53</v>
      </c>
      <c r="D2853" s="8">
        <v>-53.75</v>
      </c>
      <c r="E2853" s="8">
        <f>E2852+(0-53.75)</f>
        <v>12519305.389999749</v>
      </c>
    </row>
    <row r="2854" spans="1:5" x14ac:dyDescent="0.25">
      <c r="A2854" s="2" t="s">
        <v>38</v>
      </c>
      <c r="B2854" s="6">
        <v>45246</v>
      </c>
      <c r="C2854" s="2" t="s">
        <v>53</v>
      </c>
      <c r="D2854" s="8">
        <v>-53.75</v>
      </c>
      <c r="E2854" s="8">
        <f>E2853+(0-53.75)</f>
        <v>12519251.639999749</v>
      </c>
    </row>
    <row r="2855" spans="1:5" x14ac:dyDescent="0.25">
      <c r="A2855" s="2" t="s">
        <v>38</v>
      </c>
      <c r="B2855" s="6">
        <v>45246</v>
      </c>
      <c r="C2855" s="2" t="s">
        <v>53</v>
      </c>
      <c r="D2855" s="8">
        <v>-53.75</v>
      </c>
      <c r="E2855" s="8">
        <f>E2854+(0-53.75)</f>
        <v>12519197.889999749</v>
      </c>
    </row>
    <row r="2856" spans="1:5" x14ac:dyDescent="0.25">
      <c r="A2856" s="2" t="s">
        <v>38</v>
      </c>
      <c r="B2856" s="6">
        <v>45246</v>
      </c>
      <c r="C2856" s="2" t="s">
        <v>53</v>
      </c>
      <c r="D2856" s="8">
        <v>-53.75</v>
      </c>
      <c r="E2856" s="8">
        <f>E2855+(0-53.75)</f>
        <v>12519144.139999749</v>
      </c>
    </row>
    <row r="2857" spans="1:5" x14ac:dyDescent="0.25">
      <c r="A2857" s="2" t="s">
        <v>38</v>
      </c>
      <c r="B2857" s="6">
        <v>45246</v>
      </c>
      <c r="C2857" s="2" t="s">
        <v>19</v>
      </c>
      <c r="D2857" s="8">
        <v>-8</v>
      </c>
      <c r="E2857" s="8">
        <f>E2856+(0-8)</f>
        <v>12519136.139999749</v>
      </c>
    </row>
    <row r="2858" spans="1:5" x14ac:dyDescent="0.25">
      <c r="A2858" s="2" t="s">
        <v>38</v>
      </c>
      <c r="B2858" s="6">
        <v>45246</v>
      </c>
      <c r="C2858" s="2" t="s">
        <v>53</v>
      </c>
      <c r="D2858" s="8">
        <v>-450</v>
      </c>
      <c r="E2858" s="8">
        <f>E2857+(0-450)</f>
        <v>12518686.139999749</v>
      </c>
    </row>
    <row r="2859" spans="1:5" x14ac:dyDescent="0.25">
      <c r="A2859" s="2" t="s">
        <v>38</v>
      </c>
      <c r="B2859" s="6">
        <v>45247</v>
      </c>
      <c r="C2859" s="2" t="s">
        <v>19</v>
      </c>
      <c r="D2859" s="8">
        <v>-36</v>
      </c>
      <c r="E2859" s="8">
        <f>E2858+(0-36)</f>
        <v>12518650.139999749</v>
      </c>
    </row>
    <row r="2860" spans="1:5" x14ac:dyDescent="0.25">
      <c r="A2860" s="2" t="s">
        <v>38</v>
      </c>
      <c r="B2860" s="6">
        <v>45247</v>
      </c>
      <c r="C2860" s="2" t="s">
        <v>53</v>
      </c>
      <c r="D2860" s="8">
        <v>-26.88</v>
      </c>
      <c r="E2860" s="8">
        <f>E2859+(0-26.88)</f>
        <v>12518623.259999748</v>
      </c>
    </row>
    <row r="2861" spans="1:5" x14ac:dyDescent="0.25">
      <c r="A2861" s="2" t="s">
        <v>38</v>
      </c>
      <c r="B2861" s="6">
        <v>45247</v>
      </c>
      <c r="C2861" s="2" t="s">
        <v>19</v>
      </c>
      <c r="D2861" s="8">
        <v>-48</v>
      </c>
      <c r="E2861" s="8">
        <f>E2860+(0-48)</f>
        <v>12518575.259999748</v>
      </c>
    </row>
    <row r="2862" spans="1:5" x14ac:dyDescent="0.25">
      <c r="A2862" s="2" t="s">
        <v>38</v>
      </c>
      <c r="B2862" s="6">
        <v>45247</v>
      </c>
      <c r="C2862" s="2" t="s">
        <v>19</v>
      </c>
      <c r="D2862" s="8">
        <v>-36</v>
      </c>
      <c r="E2862" s="8">
        <f>E2861+(0-36)</f>
        <v>12518539.259999748</v>
      </c>
    </row>
    <row r="2863" spans="1:5" x14ac:dyDescent="0.25">
      <c r="A2863" s="2" t="s">
        <v>38</v>
      </c>
      <c r="B2863" s="6">
        <v>45247</v>
      </c>
      <c r="C2863" s="2" t="s">
        <v>19</v>
      </c>
      <c r="D2863" s="8">
        <v>-56</v>
      </c>
      <c r="E2863" s="8">
        <f>E2862+(0-56)</f>
        <v>12518483.259999748</v>
      </c>
    </row>
    <row r="2864" spans="1:5" x14ac:dyDescent="0.25">
      <c r="A2864" s="2" t="s">
        <v>38</v>
      </c>
      <c r="B2864" s="6">
        <v>45247</v>
      </c>
      <c r="C2864" s="2" t="s">
        <v>53</v>
      </c>
      <c r="D2864" s="8">
        <v>-350</v>
      </c>
      <c r="E2864" s="8">
        <f>E2863+(0-350)</f>
        <v>12518133.259999748</v>
      </c>
    </row>
    <row r="2865" spans="1:5" x14ac:dyDescent="0.25">
      <c r="A2865" s="2" t="s">
        <v>38</v>
      </c>
      <c r="B2865" s="6">
        <v>45250</v>
      </c>
      <c r="C2865" s="2" t="s">
        <v>19</v>
      </c>
      <c r="D2865" s="8">
        <v>-80</v>
      </c>
      <c r="E2865" s="8">
        <f>E2864+(0-80)</f>
        <v>12518053.259999748</v>
      </c>
    </row>
    <row r="2866" spans="1:5" x14ac:dyDescent="0.25">
      <c r="A2866" s="2" t="s">
        <v>38</v>
      </c>
      <c r="B2866" s="6">
        <v>45250</v>
      </c>
      <c r="C2866" s="2" t="s">
        <v>19</v>
      </c>
      <c r="D2866" s="8">
        <v>-8</v>
      </c>
      <c r="E2866" s="8">
        <f>E2865+(0-8)</f>
        <v>12518045.259999748</v>
      </c>
    </row>
    <row r="2867" spans="1:5" x14ac:dyDescent="0.25">
      <c r="A2867" s="2" t="s">
        <v>38</v>
      </c>
      <c r="B2867" s="6">
        <v>45250</v>
      </c>
      <c r="C2867" s="2" t="s">
        <v>19</v>
      </c>
      <c r="D2867" s="8">
        <v>-52</v>
      </c>
      <c r="E2867" s="8">
        <f>E2866+(0-52)</f>
        <v>12517993.259999748</v>
      </c>
    </row>
    <row r="2868" spans="1:5" x14ac:dyDescent="0.25">
      <c r="A2868" s="2" t="s">
        <v>38</v>
      </c>
      <c r="B2868" s="6">
        <v>45250</v>
      </c>
      <c r="C2868" s="2" t="s">
        <v>19</v>
      </c>
      <c r="D2868" s="8">
        <v>-28</v>
      </c>
      <c r="E2868" s="8">
        <f>E2867+(0-28)</f>
        <v>12517965.259999748</v>
      </c>
    </row>
    <row r="2869" spans="1:5" x14ac:dyDescent="0.25">
      <c r="A2869" s="2" t="s">
        <v>38</v>
      </c>
      <c r="B2869" s="6">
        <v>45250</v>
      </c>
      <c r="C2869" s="2" t="s">
        <v>19</v>
      </c>
      <c r="D2869" s="8">
        <v>-44</v>
      </c>
      <c r="E2869" s="8">
        <f>E2868+(0-44)</f>
        <v>12517921.259999748</v>
      </c>
    </row>
    <row r="2870" spans="1:5" x14ac:dyDescent="0.25">
      <c r="A2870" s="2" t="s">
        <v>38</v>
      </c>
      <c r="B2870" s="6">
        <v>45250</v>
      </c>
      <c r="C2870" s="2" t="s">
        <v>19</v>
      </c>
      <c r="D2870" s="8">
        <v>-32</v>
      </c>
      <c r="E2870" s="8">
        <f>E2869+(0-32)</f>
        <v>12517889.259999748</v>
      </c>
    </row>
    <row r="2871" spans="1:5" x14ac:dyDescent="0.25">
      <c r="A2871" s="2" t="s">
        <v>38</v>
      </c>
      <c r="B2871" s="6">
        <v>45250</v>
      </c>
      <c r="C2871" s="2" t="s">
        <v>19</v>
      </c>
      <c r="D2871" s="8">
        <v>-28</v>
      </c>
      <c r="E2871" s="8">
        <f>E2870+(0-28)</f>
        <v>12517861.259999748</v>
      </c>
    </row>
    <row r="2872" spans="1:5" x14ac:dyDescent="0.25">
      <c r="A2872" s="2" t="s">
        <v>38</v>
      </c>
      <c r="B2872" s="6">
        <v>45250</v>
      </c>
      <c r="C2872" s="2" t="s">
        <v>19</v>
      </c>
      <c r="D2872" s="8">
        <v>-16</v>
      </c>
      <c r="E2872" s="8">
        <f>E2871+(0-16)</f>
        <v>12517845.259999748</v>
      </c>
    </row>
    <row r="2873" spans="1:5" x14ac:dyDescent="0.25">
      <c r="A2873" s="2" t="s">
        <v>38</v>
      </c>
      <c r="B2873" s="6">
        <v>45251</v>
      </c>
      <c r="C2873" s="2" t="s">
        <v>19</v>
      </c>
      <c r="D2873" s="8">
        <v>-20</v>
      </c>
      <c r="E2873" s="8">
        <f>E2872+(0-20)</f>
        <v>12517825.259999748</v>
      </c>
    </row>
    <row r="2874" spans="1:5" x14ac:dyDescent="0.25">
      <c r="A2874" s="2" t="s">
        <v>38</v>
      </c>
      <c r="B2874" s="6">
        <v>45251</v>
      </c>
      <c r="C2874" s="2" t="s">
        <v>53</v>
      </c>
      <c r="D2874" s="8">
        <v>-50</v>
      </c>
      <c r="E2874" s="8">
        <f>E2873+(0-50)</f>
        <v>12517775.259999748</v>
      </c>
    </row>
    <row r="2875" spans="1:5" x14ac:dyDescent="0.25">
      <c r="A2875" s="2" t="s">
        <v>38</v>
      </c>
      <c r="B2875" s="6">
        <v>45251</v>
      </c>
      <c r="C2875" s="2" t="s">
        <v>19</v>
      </c>
      <c r="D2875" s="8">
        <v>-52</v>
      </c>
      <c r="E2875" s="8">
        <f>E2874+(0-52)</f>
        <v>12517723.259999748</v>
      </c>
    </row>
    <row r="2876" spans="1:5" x14ac:dyDescent="0.25">
      <c r="A2876" s="2" t="s">
        <v>38</v>
      </c>
      <c r="B2876" s="6">
        <v>45251</v>
      </c>
      <c r="C2876" s="2" t="s">
        <v>19</v>
      </c>
      <c r="D2876" s="8">
        <v>-48</v>
      </c>
      <c r="E2876" s="8">
        <f>E2875+(0-48)</f>
        <v>12517675.259999748</v>
      </c>
    </row>
    <row r="2877" spans="1:5" x14ac:dyDescent="0.25">
      <c r="A2877" s="2" t="s">
        <v>38</v>
      </c>
      <c r="B2877" s="6">
        <v>45251</v>
      </c>
      <c r="C2877" s="2" t="s">
        <v>19</v>
      </c>
      <c r="D2877" s="8">
        <v>-28</v>
      </c>
      <c r="E2877" s="8">
        <f>E2876+(0-28)</f>
        <v>12517647.259999748</v>
      </c>
    </row>
    <row r="2878" spans="1:5" x14ac:dyDescent="0.25">
      <c r="A2878" s="2" t="s">
        <v>38</v>
      </c>
      <c r="B2878" s="6">
        <v>45251</v>
      </c>
      <c r="C2878" s="2" t="s">
        <v>19</v>
      </c>
      <c r="D2878" s="8">
        <v>-4</v>
      </c>
      <c r="E2878" s="8">
        <f>E2877+(0-4)</f>
        <v>12517643.259999748</v>
      </c>
    </row>
    <row r="2879" spans="1:5" x14ac:dyDescent="0.25">
      <c r="A2879" s="2" t="s">
        <v>38</v>
      </c>
      <c r="B2879" s="6">
        <v>45251</v>
      </c>
      <c r="C2879" s="2" t="s">
        <v>53</v>
      </c>
      <c r="D2879" s="8">
        <v>-350</v>
      </c>
      <c r="E2879" s="8">
        <f>E2878+(0-350)</f>
        <v>12517293.259999748</v>
      </c>
    </row>
    <row r="2880" spans="1:5" x14ac:dyDescent="0.25">
      <c r="A2880" s="2" t="s">
        <v>38</v>
      </c>
      <c r="B2880" s="6">
        <v>45252</v>
      </c>
      <c r="C2880" s="2" t="s">
        <v>19</v>
      </c>
      <c r="D2880" s="8">
        <v>-24</v>
      </c>
      <c r="E2880" s="8">
        <f>E2879+(0-24)</f>
        <v>12517269.259999748</v>
      </c>
    </row>
    <row r="2881" spans="1:5" x14ac:dyDescent="0.25">
      <c r="A2881" s="2" t="s">
        <v>38</v>
      </c>
      <c r="B2881" s="6">
        <v>45252</v>
      </c>
      <c r="C2881" s="2" t="s">
        <v>19</v>
      </c>
      <c r="D2881" s="8">
        <v>-36</v>
      </c>
      <c r="E2881" s="8">
        <f>E2880+(0-36)</f>
        <v>12517233.259999748</v>
      </c>
    </row>
    <row r="2882" spans="1:5" x14ac:dyDescent="0.25">
      <c r="A2882" s="2" t="s">
        <v>38</v>
      </c>
      <c r="B2882" s="6">
        <v>45252</v>
      </c>
      <c r="C2882" s="2" t="s">
        <v>19</v>
      </c>
      <c r="D2882" s="8">
        <v>-32</v>
      </c>
      <c r="E2882" s="8">
        <f>E2881+(0-32)</f>
        <v>12517201.259999748</v>
      </c>
    </row>
    <row r="2883" spans="1:5" x14ac:dyDescent="0.25">
      <c r="A2883" s="2" t="s">
        <v>38</v>
      </c>
      <c r="B2883" s="6">
        <v>45252</v>
      </c>
      <c r="C2883" s="2" t="s">
        <v>19</v>
      </c>
      <c r="D2883" s="8">
        <v>-76</v>
      </c>
      <c r="E2883" s="8">
        <f>E2882+(0-76)</f>
        <v>12517125.259999748</v>
      </c>
    </row>
    <row r="2884" spans="1:5" x14ac:dyDescent="0.25">
      <c r="A2884" s="2" t="s">
        <v>38</v>
      </c>
      <c r="B2884" s="6">
        <v>45252</v>
      </c>
      <c r="C2884" s="2" t="s">
        <v>19</v>
      </c>
      <c r="D2884" s="8">
        <v>-20</v>
      </c>
      <c r="E2884" s="8">
        <f>E2883+(0-20)</f>
        <v>12517105.259999748</v>
      </c>
    </row>
    <row r="2885" spans="1:5" x14ac:dyDescent="0.25">
      <c r="A2885" s="2" t="s">
        <v>38</v>
      </c>
      <c r="B2885" s="6">
        <v>45252</v>
      </c>
      <c r="C2885" s="2" t="s">
        <v>53</v>
      </c>
      <c r="D2885" s="8">
        <v>-50</v>
      </c>
      <c r="E2885" s="8">
        <f>E2884+(0-50)</f>
        <v>12517055.259999748</v>
      </c>
    </row>
    <row r="2886" spans="1:5" x14ac:dyDescent="0.25">
      <c r="A2886" s="2" t="s">
        <v>38</v>
      </c>
      <c r="B2886" s="6">
        <v>45252</v>
      </c>
      <c r="C2886" s="2" t="s">
        <v>19</v>
      </c>
      <c r="D2886" s="8">
        <v>-4</v>
      </c>
      <c r="E2886" s="8">
        <f>E2885+(0-4)</f>
        <v>12517051.259999748</v>
      </c>
    </row>
    <row r="2887" spans="1:5" x14ac:dyDescent="0.25">
      <c r="A2887" s="2" t="s">
        <v>38</v>
      </c>
      <c r="B2887" s="6">
        <v>45252</v>
      </c>
      <c r="C2887" s="2" t="s">
        <v>19</v>
      </c>
      <c r="D2887" s="8">
        <v>-16</v>
      </c>
      <c r="E2887" s="8">
        <f>E2886+(0-16)</f>
        <v>12517035.259999748</v>
      </c>
    </row>
    <row r="2888" spans="1:5" x14ac:dyDescent="0.25">
      <c r="A2888" s="2" t="s">
        <v>38</v>
      </c>
      <c r="B2888" s="6">
        <v>45252</v>
      </c>
      <c r="C2888" s="2" t="s">
        <v>19</v>
      </c>
      <c r="D2888" s="8">
        <v>-24</v>
      </c>
      <c r="E2888" s="8">
        <f>E2887+(0-24)</f>
        <v>12517011.259999748</v>
      </c>
    </row>
    <row r="2889" spans="1:5" x14ac:dyDescent="0.25">
      <c r="A2889" s="2" t="s">
        <v>38</v>
      </c>
      <c r="B2889" s="6">
        <v>45252</v>
      </c>
      <c r="C2889" s="2" t="s">
        <v>53</v>
      </c>
      <c r="D2889" s="8">
        <v>-200</v>
      </c>
      <c r="E2889" s="8">
        <f>E2888+(0-200)</f>
        <v>12516811.259999748</v>
      </c>
    </row>
    <row r="2890" spans="1:5" x14ac:dyDescent="0.25">
      <c r="A2890" s="2" t="s">
        <v>38</v>
      </c>
      <c r="B2890" s="6">
        <v>45252</v>
      </c>
      <c r="C2890" s="2" t="s">
        <v>53</v>
      </c>
      <c r="D2890" s="8">
        <v>-500</v>
      </c>
      <c r="E2890" s="8">
        <f>E2889+(0-500)</f>
        <v>12516311.259999748</v>
      </c>
    </row>
    <row r="2891" spans="1:5" x14ac:dyDescent="0.25">
      <c r="A2891" s="2" t="s">
        <v>38</v>
      </c>
      <c r="B2891" s="6">
        <v>45252</v>
      </c>
      <c r="C2891" s="2" t="s">
        <v>53</v>
      </c>
      <c r="D2891" s="8">
        <v>-50</v>
      </c>
      <c r="E2891" s="8">
        <f>E2890+(0-50)</f>
        <v>12516261.259999748</v>
      </c>
    </row>
    <row r="2892" spans="1:5" x14ac:dyDescent="0.25">
      <c r="A2892" s="2" t="s">
        <v>38</v>
      </c>
      <c r="B2892" s="6">
        <v>45253</v>
      </c>
      <c r="C2892" s="2" t="s">
        <v>19</v>
      </c>
      <c r="D2892" s="8">
        <v>-28</v>
      </c>
      <c r="E2892" s="8">
        <f>E2891+(0-28)</f>
        <v>12516233.259999748</v>
      </c>
    </row>
    <row r="2893" spans="1:5" x14ac:dyDescent="0.25">
      <c r="A2893" s="2" t="s">
        <v>38</v>
      </c>
      <c r="B2893" s="6">
        <v>45253</v>
      </c>
      <c r="C2893" s="2" t="s">
        <v>53</v>
      </c>
      <c r="D2893" s="8">
        <v>-44</v>
      </c>
      <c r="E2893" s="8">
        <f>E2892+(0-44)</f>
        <v>12516189.259999748</v>
      </c>
    </row>
    <row r="2894" spans="1:5" x14ac:dyDescent="0.25">
      <c r="A2894" s="2" t="s">
        <v>38</v>
      </c>
      <c r="B2894" s="6">
        <v>45253</v>
      </c>
      <c r="C2894" s="2" t="s">
        <v>53</v>
      </c>
      <c r="D2894" s="8">
        <v>-50</v>
      </c>
      <c r="E2894" s="8">
        <f>E2893+(0-50)</f>
        <v>12516139.259999748</v>
      </c>
    </row>
    <row r="2895" spans="1:5" x14ac:dyDescent="0.25">
      <c r="A2895" s="2" t="s">
        <v>38</v>
      </c>
      <c r="B2895" s="6">
        <v>45253</v>
      </c>
      <c r="C2895" s="2" t="s">
        <v>53</v>
      </c>
      <c r="D2895" s="8">
        <v>-53.75</v>
      </c>
      <c r="E2895" s="8">
        <f>E2894+(0-53.75)</f>
        <v>12516085.509999748</v>
      </c>
    </row>
    <row r="2896" spans="1:5" x14ac:dyDescent="0.25">
      <c r="A2896" s="2" t="s">
        <v>38</v>
      </c>
      <c r="B2896" s="6">
        <v>45253</v>
      </c>
      <c r="C2896" s="2" t="s">
        <v>53</v>
      </c>
      <c r="D2896" s="8">
        <v>-300</v>
      </c>
      <c r="E2896" s="8">
        <f>E2895+(0-300)</f>
        <v>12515785.509999748</v>
      </c>
    </row>
    <row r="2897" spans="1:5" x14ac:dyDescent="0.25">
      <c r="A2897" s="2" t="s">
        <v>38</v>
      </c>
      <c r="B2897" s="6">
        <v>45253</v>
      </c>
      <c r="C2897" s="2" t="s">
        <v>53</v>
      </c>
      <c r="D2897" s="8">
        <v>-150</v>
      </c>
      <c r="E2897" s="8">
        <f>E2896+(0-150)</f>
        <v>12515635.509999748</v>
      </c>
    </row>
    <row r="2898" spans="1:5" x14ac:dyDescent="0.25">
      <c r="A2898" s="2" t="s">
        <v>38</v>
      </c>
      <c r="B2898" s="6">
        <v>45254</v>
      </c>
      <c r="C2898" s="2" t="s">
        <v>53</v>
      </c>
      <c r="D2898" s="8">
        <v>-500</v>
      </c>
      <c r="E2898" s="8">
        <f>E2897+(0-500)</f>
        <v>12515135.509999748</v>
      </c>
    </row>
    <row r="2899" spans="1:5" x14ac:dyDescent="0.25">
      <c r="A2899" s="2" t="s">
        <v>38</v>
      </c>
      <c r="B2899" s="6">
        <v>45254</v>
      </c>
      <c r="C2899" s="2" t="s">
        <v>53</v>
      </c>
      <c r="D2899" s="8">
        <v>-50</v>
      </c>
      <c r="E2899" s="8">
        <f>E2898+(0-50)</f>
        <v>12515085.509999748</v>
      </c>
    </row>
    <row r="2900" spans="1:5" x14ac:dyDescent="0.25">
      <c r="A2900" s="2" t="s">
        <v>38</v>
      </c>
      <c r="B2900" s="6">
        <v>45257</v>
      </c>
      <c r="C2900" s="2" t="s">
        <v>53</v>
      </c>
      <c r="D2900" s="8">
        <v>-250</v>
      </c>
      <c r="E2900" s="8">
        <f>E2899+(0-250)</f>
        <v>12514835.509999748</v>
      </c>
    </row>
    <row r="2901" spans="1:5" x14ac:dyDescent="0.25">
      <c r="A2901" s="2" t="s">
        <v>38</v>
      </c>
      <c r="B2901" s="6">
        <v>45258</v>
      </c>
      <c r="C2901" s="2" t="s">
        <v>53</v>
      </c>
      <c r="D2901" s="8">
        <v>-53.75</v>
      </c>
      <c r="E2901" s="8">
        <f>E2900+(0-53.75)</f>
        <v>12514781.759999748</v>
      </c>
    </row>
    <row r="2902" spans="1:5" x14ac:dyDescent="0.25">
      <c r="A2902" s="2" t="s">
        <v>38</v>
      </c>
      <c r="B2902" s="6">
        <v>45258</v>
      </c>
      <c r="C2902" s="2" t="s">
        <v>53</v>
      </c>
      <c r="D2902" s="8">
        <v>-53.75</v>
      </c>
      <c r="E2902" s="8">
        <f>E2901+(0-53.75)</f>
        <v>12514728.009999748</v>
      </c>
    </row>
    <row r="2903" spans="1:5" x14ac:dyDescent="0.25">
      <c r="A2903" s="2" t="s">
        <v>38</v>
      </c>
      <c r="B2903" s="6">
        <v>45258</v>
      </c>
      <c r="C2903" s="2" t="s">
        <v>53</v>
      </c>
      <c r="D2903" s="8">
        <v>-26.88</v>
      </c>
      <c r="E2903" s="8">
        <f>E2902+(0-26.88)</f>
        <v>12514701.129999747</v>
      </c>
    </row>
    <row r="2904" spans="1:5" x14ac:dyDescent="0.25">
      <c r="A2904" s="2" t="s">
        <v>38</v>
      </c>
      <c r="B2904" s="6">
        <v>45258</v>
      </c>
      <c r="C2904" s="2" t="s">
        <v>53</v>
      </c>
      <c r="D2904" s="8">
        <v>-53.75</v>
      </c>
      <c r="E2904" s="8">
        <f>E2903+(0-53.75)</f>
        <v>12514647.379999747</v>
      </c>
    </row>
    <row r="2905" spans="1:5" x14ac:dyDescent="0.25">
      <c r="A2905" s="2" t="s">
        <v>38</v>
      </c>
      <c r="B2905" s="6">
        <v>45258</v>
      </c>
      <c r="C2905" s="2" t="s">
        <v>53</v>
      </c>
      <c r="D2905" s="8">
        <v>-26.88</v>
      </c>
      <c r="E2905" s="8">
        <f>E2904+(0-26.88)</f>
        <v>12514620.499999747</v>
      </c>
    </row>
    <row r="2906" spans="1:5" x14ac:dyDescent="0.25">
      <c r="A2906" s="2" t="s">
        <v>38</v>
      </c>
      <c r="B2906" s="6">
        <v>45258</v>
      </c>
      <c r="C2906" s="2" t="s">
        <v>53</v>
      </c>
      <c r="D2906" s="8">
        <v>-53.75</v>
      </c>
      <c r="E2906" s="8">
        <f>E2905+(0-53.75)</f>
        <v>12514566.749999747</v>
      </c>
    </row>
    <row r="2907" spans="1:5" x14ac:dyDescent="0.25">
      <c r="A2907" s="2" t="s">
        <v>38</v>
      </c>
      <c r="B2907" s="6">
        <v>45258</v>
      </c>
      <c r="C2907" s="2" t="s">
        <v>53</v>
      </c>
      <c r="D2907" s="8">
        <v>-53.75</v>
      </c>
      <c r="E2907" s="8">
        <f>E2906+(0-53.75)</f>
        <v>12514512.999999747</v>
      </c>
    </row>
    <row r="2908" spans="1:5" x14ac:dyDescent="0.25">
      <c r="A2908" s="2" t="s">
        <v>38</v>
      </c>
      <c r="B2908" s="6">
        <v>45258</v>
      </c>
      <c r="C2908" s="2" t="s">
        <v>53</v>
      </c>
      <c r="D2908" s="8">
        <v>-26.88</v>
      </c>
      <c r="E2908" s="8">
        <f>E2907+(0-26.88)</f>
        <v>12514486.119999746</v>
      </c>
    </row>
    <row r="2909" spans="1:5" x14ac:dyDescent="0.25">
      <c r="A2909" s="2" t="s">
        <v>38</v>
      </c>
      <c r="B2909" s="6">
        <v>45258</v>
      </c>
      <c r="C2909" s="2" t="s">
        <v>53</v>
      </c>
      <c r="D2909" s="8">
        <v>-26.88</v>
      </c>
      <c r="E2909" s="8">
        <f>E2908+(0-26.88)</f>
        <v>12514459.239999745</v>
      </c>
    </row>
    <row r="2910" spans="1:5" x14ac:dyDescent="0.25">
      <c r="A2910" s="2" t="s">
        <v>38</v>
      </c>
      <c r="B2910" s="6">
        <v>45258</v>
      </c>
      <c r="C2910" s="2" t="s">
        <v>53</v>
      </c>
      <c r="D2910" s="8">
        <v>-300</v>
      </c>
      <c r="E2910" s="8">
        <f>E2909+(0-300)</f>
        <v>12514159.239999745</v>
      </c>
    </row>
    <row r="2911" spans="1:5" x14ac:dyDescent="0.25">
      <c r="A2911" s="2" t="s">
        <v>38</v>
      </c>
      <c r="B2911" s="6">
        <v>45259</v>
      </c>
      <c r="C2911" s="2" t="s">
        <v>53</v>
      </c>
      <c r="D2911" s="8">
        <v>-50</v>
      </c>
      <c r="E2911" s="8">
        <f>E2910+(0-50)</f>
        <v>12514109.239999745</v>
      </c>
    </row>
    <row r="2912" spans="1:5" x14ac:dyDescent="0.25">
      <c r="A2912" s="2" t="s">
        <v>38</v>
      </c>
      <c r="B2912" s="6">
        <v>45259</v>
      </c>
      <c r="C2912" s="2" t="s">
        <v>53</v>
      </c>
      <c r="D2912" s="8">
        <v>-400</v>
      </c>
      <c r="E2912" s="8">
        <f>E2911+(0-400)</f>
        <v>12513709.239999745</v>
      </c>
    </row>
    <row r="2913" spans="1:5" x14ac:dyDescent="0.25">
      <c r="A2913" s="2" t="s">
        <v>38</v>
      </c>
      <c r="B2913" s="6">
        <v>45259</v>
      </c>
      <c r="C2913" s="2" t="s">
        <v>19</v>
      </c>
      <c r="D2913" s="8">
        <v>-56</v>
      </c>
      <c r="E2913" s="8">
        <f>E2912+(0-56)</f>
        <v>12513653.239999745</v>
      </c>
    </row>
    <row r="2914" spans="1:5" x14ac:dyDescent="0.25">
      <c r="A2914" s="2" t="s">
        <v>38</v>
      </c>
      <c r="B2914" s="6">
        <v>45260</v>
      </c>
      <c r="C2914" s="2" t="s">
        <v>53</v>
      </c>
      <c r="D2914" s="8">
        <v>-26.88</v>
      </c>
      <c r="E2914" s="8">
        <f>E2913+(0-26.88)</f>
        <v>12513626.359999744</v>
      </c>
    </row>
    <row r="2915" spans="1:5" x14ac:dyDescent="0.25">
      <c r="A2915" s="2" t="s">
        <v>38</v>
      </c>
      <c r="B2915" s="6">
        <v>45260</v>
      </c>
      <c r="C2915" s="2" t="s">
        <v>19</v>
      </c>
      <c r="D2915" s="8">
        <v>-24</v>
      </c>
      <c r="E2915" s="8">
        <f>E2914+(0-24)</f>
        <v>12513602.359999744</v>
      </c>
    </row>
    <row r="2916" spans="1:5" x14ac:dyDescent="0.25">
      <c r="A2916" s="2" t="s">
        <v>38</v>
      </c>
      <c r="B2916" s="6">
        <v>45260</v>
      </c>
      <c r="C2916" s="2" t="s">
        <v>53</v>
      </c>
      <c r="D2916" s="8">
        <v>-50</v>
      </c>
      <c r="E2916" s="8">
        <f>E2915+(0-50)</f>
        <v>12513552.359999744</v>
      </c>
    </row>
    <row r="2917" spans="1:5" x14ac:dyDescent="0.25">
      <c r="A2917" s="2" t="s">
        <v>38</v>
      </c>
      <c r="B2917" s="6">
        <v>45260</v>
      </c>
      <c r="C2917" s="2" t="s">
        <v>53</v>
      </c>
      <c r="D2917" s="8">
        <v>-50</v>
      </c>
      <c r="E2917" s="8">
        <f>E2916+(0-50)</f>
        <v>12513502.359999744</v>
      </c>
    </row>
    <row r="2918" spans="1:5" x14ac:dyDescent="0.25">
      <c r="A2918" s="2" t="s">
        <v>38</v>
      </c>
      <c r="B2918" s="6">
        <v>45260</v>
      </c>
      <c r="C2918" s="2" t="s">
        <v>53</v>
      </c>
      <c r="D2918" s="8">
        <v>-53.75</v>
      </c>
      <c r="E2918" s="8">
        <f>E2917+(0-53.75)</f>
        <v>12513448.609999744</v>
      </c>
    </row>
    <row r="2919" spans="1:5" x14ac:dyDescent="0.25">
      <c r="A2919" s="2" t="s">
        <v>38</v>
      </c>
      <c r="B2919" s="6">
        <v>45260</v>
      </c>
      <c r="C2919" s="2" t="s">
        <v>53</v>
      </c>
      <c r="D2919" s="8">
        <v>-500</v>
      </c>
      <c r="E2919" s="8">
        <f>E2918+(0-500)</f>
        <v>12512948.609999744</v>
      </c>
    </row>
    <row r="2920" spans="1:5" x14ac:dyDescent="0.25">
      <c r="A2920" s="2" t="s">
        <v>38</v>
      </c>
      <c r="B2920" s="6">
        <v>45260</v>
      </c>
      <c r="C2920" s="2" t="s">
        <v>53</v>
      </c>
      <c r="D2920" s="8">
        <v>-50</v>
      </c>
      <c r="E2920" s="8">
        <f>E2919+(0-50)</f>
        <v>12512898.609999744</v>
      </c>
    </row>
    <row r="2921" spans="1:5" x14ac:dyDescent="0.25">
      <c r="A2921" s="2" t="s">
        <v>38</v>
      </c>
      <c r="B2921" s="6">
        <v>45260</v>
      </c>
      <c r="C2921" s="2" t="s">
        <v>19</v>
      </c>
      <c r="D2921" s="8">
        <v>-16</v>
      </c>
      <c r="E2921" s="8">
        <f>E2920+(0-16)</f>
        <v>12512882.609999744</v>
      </c>
    </row>
    <row r="2922" spans="1:5" x14ac:dyDescent="0.25">
      <c r="A2922" s="2" t="s">
        <v>38</v>
      </c>
      <c r="B2922" s="6">
        <v>45261</v>
      </c>
      <c r="C2922" s="2" t="s">
        <v>19</v>
      </c>
      <c r="D2922" s="8">
        <v>-60</v>
      </c>
      <c r="E2922" s="8">
        <f>E2921+(0-60)</f>
        <v>12512822.609999744</v>
      </c>
    </row>
    <row r="2923" spans="1:5" x14ac:dyDescent="0.25">
      <c r="A2923" s="2" t="s">
        <v>38</v>
      </c>
      <c r="B2923" s="6">
        <v>45261</v>
      </c>
      <c r="C2923" s="2" t="s">
        <v>19</v>
      </c>
      <c r="D2923" s="8">
        <v>-20</v>
      </c>
      <c r="E2923" s="8">
        <f>E2922+(0-20)</f>
        <v>12512802.609999744</v>
      </c>
    </row>
    <row r="2924" spans="1:5" x14ac:dyDescent="0.25">
      <c r="A2924" s="2" t="s">
        <v>38</v>
      </c>
      <c r="B2924" s="6">
        <v>45261</v>
      </c>
      <c r="C2924" s="2" t="s">
        <v>19</v>
      </c>
      <c r="D2924" s="8">
        <v>-52</v>
      </c>
      <c r="E2924" s="8">
        <f>E2923+(0-52)</f>
        <v>12512750.609999744</v>
      </c>
    </row>
    <row r="2925" spans="1:5" x14ac:dyDescent="0.25">
      <c r="A2925" s="2" t="s">
        <v>38</v>
      </c>
      <c r="B2925" s="6">
        <v>45261</v>
      </c>
      <c r="C2925" s="2" t="s">
        <v>53</v>
      </c>
      <c r="D2925" s="8">
        <v>-450</v>
      </c>
      <c r="E2925" s="8">
        <f>E2924+(0-450)</f>
        <v>12512300.609999744</v>
      </c>
    </row>
    <row r="2926" spans="1:5" x14ac:dyDescent="0.25">
      <c r="A2926" s="2" t="s">
        <v>38</v>
      </c>
      <c r="B2926" s="6">
        <v>45264</v>
      </c>
      <c r="C2926" s="2" t="s">
        <v>53</v>
      </c>
      <c r="D2926" s="8">
        <v>-53.75</v>
      </c>
      <c r="E2926" s="8">
        <f>E2925+(0-53.75)</f>
        <v>12512246.859999744</v>
      </c>
    </row>
    <row r="2927" spans="1:5" x14ac:dyDescent="0.25">
      <c r="A2927" s="2" t="s">
        <v>38</v>
      </c>
      <c r="B2927" s="6">
        <v>45264</v>
      </c>
      <c r="C2927" s="2" t="s">
        <v>53</v>
      </c>
      <c r="D2927" s="8">
        <v>-26.88</v>
      </c>
      <c r="E2927" s="8">
        <f>E2926+(0-26.88)</f>
        <v>12512219.979999743</v>
      </c>
    </row>
    <row r="2928" spans="1:5" x14ac:dyDescent="0.25">
      <c r="A2928" s="2" t="s">
        <v>38</v>
      </c>
      <c r="B2928" s="6">
        <v>45264</v>
      </c>
      <c r="C2928" s="2" t="s">
        <v>19</v>
      </c>
      <c r="D2928" s="8">
        <v>-36</v>
      </c>
      <c r="E2928" s="8">
        <f>E2927+(0-36)</f>
        <v>12512183.979999743</v>
      </c>
    </row>
    <row r="2929" spans="1:5" x14ac:dyDescent="0.25">
      <c r="A2929" s="2" t="s">
        <v>38</v>
      </c>
      <c r="B2929" s="6">
        <v>45264</v>
      </c>
      <c r="C2929" s="2" t="s">
        <v>53</v>
      </c>
      <c r="D2929" s="8">
        <v>-400</v>
      </c>
      <c r="E2929" s="8">
        <f>E2928+(0-400)</f>
        <v>12511783.979999743</v>
      </c>
    </row>
    <row r="2930" spans="1:5" x14ac:dyDescent="0.25">
      <c r="A2930" s="2" t="s">
        <v>38</v>
      </c>
      <c r="B2930" s="6">
        <v>45264</v>
      </c>
      <c r="C2930" s="2" t="s">
        <v>53</v>
      </c>
      <c r="D2930" s="8">
        <v>-200</v>
      </c>
      <c r="E2930" s="8">
        <f>E2929+(0-200)</f>
        <v>12511583.979999743</v>
      </c>
    </row>
    <row r="2931" spans="1:5" x14ac:dyDescent="0.25">
      <c r="A2931" s="2" t="s">
        <v>38</v>
      </c>
      <c r="B2931" s="6">
        <v>45265</v>
      </c>
      <c r="C2931" s="2" t="s">
        <v>53</v>
      </c>
      <c r="D2931" s="8">
        <v>-53.75</v>
      </c>
      <c r="E2931" s="8">
        <f>E2930+(0-53.75)</f>
        <v>12511530.229999743</v>
      </c>
    </row>
    <row r="2932" spans="1:5" x14ac:dyDescent="0.25">
      <c r="A2932" s="2" t="s">
        <v>38</v>
      </c>
      <c r="B2932" s="6">
        <v>45265</v>
      </c>
      <c r="C2932" s="2" t="s">
        <v>53</v>
      </c>
      <c r="D2932" s="8">
        <v>-26.88</v>
      </c>
      <c r="E2932" s="8">
        <f>E2931+(0-26.88)</f>
        <v>12511503.349999743</v>
      </c>
    </row>
    <row r="2933" spans="1:5" x14ac:dyDescent="0.25">
      <c r="A2933" s="2" t="s">
        <v>38</v>
      </c>
      <c r="B2933" s="6">
        <v>45265</v>
      </c>
      <c r="C2933" s="2" t="s">
        <v>53</v>
      </c>
      <c r="D2933" s="8">
        <v>-53.75</v>
      </c>
      <c r="E2933" s="8">
        <f>E2932+(0-53.75)</f>
        <v>12511449.599999743</v>
      </c>
    </row>
    <row r="2934" spans="1:5" x14ac:dyDescent="0.25">
      <c r="A2934" s="2" t="s">
        <v>38</v>
      </c>
      <c r="B2934" s="6">
        <v>45265</v>
      </c>
      <c r="C2934" s="2" t="s">
        <v>53</v>
      </c>
      <c r="D2934" s="8">
        <v>-50</v>
      </c>
      <c r="E2934" s="8">
        <f>E2933+(0-50)</f>
        <v>12511399.599999743</v>
      </c>
    </row>
    <row r="2935" spans="1:5" x14ac:dyDescent="0.25">
      <c r="A2935" s="2" t="s">
        <v>38</v>
      </c>
      <c r="B2935" s="6">
        <v>45265</v>
      </c>
      <c r="C2935" s="2" t="s">
        <v>53</v>
      </c>
      <c r="D2935" s="8">
        <v>-450</v>
      </c>
      <c r="E2935" s="8">
        <f>E2934+(0-450)</f>
        <v>12510949.599999743</v>
      </c>
    </row>
    <row r="2936" spans="1:5" x14ac:dyDescent="0.25">
      <c r="A2936" s="2" t="s">
        <v>38</v>
      </c>
      <c r="B2936" s="6">
        <v>45266</v>
      </c>
      <c r="C2936" s="2" t="s">
        <v>53</v>
      </c>
      <c r="D2936" s="8">
        <v>-26.88</v>
      </c>
      <c r="E2936" s="8">
        <f>E2935+(0-26.88)</f>
        <v>12510922.719999742</v>
      </c>
    </row>
    <row r="2937" spans="1:5" x14ac:dyDescent="0.25">
      <c r="A2937" s="2" t="s">
        <v>38</v>
      </c>
      <c r="B2937" s="6">
        <v>45266</v>
      </c>
      <c r="C2937" s="2" t="s">
        <v>53</v>
      </c>
      <c r="D2937" s="8">
        <v>-26.88</v>
      </c>
      <c r="E2937" s="8">
        <f>E2936+(0-26.88)</f>
        <v>12510895.839999741</v>
      </c>
    </row>
    <row r="2938" spans="1:5" x14ac:dyDescent="0.25">
      <c r="A2938" s="2" t="s">
        <v>38</v>
      </c>
      <c r="B2938" s="6">
        <v>45266</v>
      </c>
      <c r="C2938" s="2" t="s">
        <v>53</v>
      </c>
      <c r="D2938" s="8">
        <v>-26.88</v>
      </c>
      <c r="E2938" s="8">
        <f>E2937+(0-26.88)</f>
        <v>12510868.95999974</v>
      </c>
    </row>
    <row r="2939" spans="1:5" x14ac:dyDescent="0.25">
      <c r="A2939" s="2" t="s">
        <v>38</v>
      </c>
      <c r="B2939" s="6">
        <v>45266</v>
      </c>
      <c r="C2939" s="2" t="s">
        <v>53</v>
      </c>
      <c r="D2939" s="8">
        <v>-53.75</v>
      </c>
      <c r="E2939" s="8">
        <f>E2938+(0-53.75)</f>
        <v>12510815.20999974</v>
      </c>
    </row>
    <row r="2940" spans="1:5" x14ac:dyDescent="0.25">
      <c r="A2940" s="2" t="s">
        <v>38</v>
      </c>
      <c r="B2940" s="6">
        <v>45266</v>
      </c>
      <c r="C2940" s="2" t="s">
        <v>53</v>
      </c>
      <c r="D2940" s="8">
        <v>-26.88</v>
      </c>
      <c r="E2940" s="8">
        <f>E2939+(0-26.88)</f>
        <v>12510788.329999739</v>
      </c>
    </row>
    <row r="2941" spans="1:5" x14ac:dyDescent="0.25">
      <c r="A2941" s="2" t="s">
        <v>38</v>
      </c>
      <c r="B2941" s="6">
        <v>45266</v>
      </c>
      <c r="C2941" s="2" t="s">
        <v>53</v>
      </c>
      <c r="D2941" s="8">
        <v>-550</v>
      </c>
      <c r="E2941" s="8">
        <f>E2940+(0-550)</f>
        <v>12510238.329999739</v>
      </c>
    </row>
    <row r="2942" spans="1:5" x14ac:dyDescent="0.25">
      <c r="A2942" s="2" t="s">
        <v>38</v>
      </c>
      <c r="B2942" s="6">
        <v>45267</v>
      </c>
      <c r="C2942" s="2" t="s">
        <v>53</v>
      </c>
      <c r="D2942" s="8">
        <v>-53.75</v>
      </c>
      <c r="E2942" s="8">
        <f>E2941+(0-53.75)</f>
        <v>12510184.579999739</v>
      </c>
    </row>
    <row r="2943" spans="1:5" x14ac:dyDescent="0.25">
      <c r="A2943" s="2" t="s">
        <v>38</v>
      </c>
      <c r="B2943" s="6">
        <v>45267</v>
      </c>
      <c r="C2943" s="2" t="s">
        <v>53</v>
      </c>
      <c r="D2943" s="8">
        <v>-26.88</v>
      </c>
      <c r="E2943" s="8">
        <f>E2942+(0-26.88)</f>
        <v>12510157.699999738</v>
      </c>
    </row>
    <row r="2944" spans="1:5" x14ac:dyDescent="0.25">
      <c r="A2944" s="2" t="s">
        <v>38</v>
      </c>
      <c r="B2944" s="6">
        <v>45267</v>
      </c>
      <c r="C2944" s="2" t="s">
        <v>53</v>
      </c>
      <c r="D2944" s="8">
        <v>-53.75</v>
      </c>
      <c r="E2944" s="8">
        <f>E2943+(0-53.75)</f>
        <v>12510103.949999738</v>
      </c>
    </row>
    <row r="2945" spans="1:5" x14ac:dyDescent="0.25">
      <c r="A2945" s="2" t="s">
        <v>38</v>
      </c>
      <c r="B2945" s="6">
        <v>45267</v>
      </c>
      <c r="C2945" s="2" t="s">
        <v>53</v>
      </c>
      <c r="D2945" s="8">
        <v>-50</v>
      </c>
      <c r="E2945" s="8">
        <f>E2944+(0-50)</f>
        <v>12510053.949999738</v>
      </c>
    </row>
    <row r="2946" spans="1:5" x14ac:dyDescent="0.25">
      <c r="A2946" s="2" t="s">
        <v>38</v>
      </c>
      <c r="B2946" s="6">
        <v>45267</v>
      </c>
      <c r="C2946" s="2" t="s">
        <v>53</v>
      </c>
      <c r="D2946" s="8">
        <v>-50</v>
      </c>
      <c r="E2946" s="8">
        <f>E2945+(0-50)</f>
        <v>12510003.949999738</v>
      </c>
    </row>
    <row r="2947" spans="1:5" x14ac:dyDescent="0.25">
      <c r="A2947" s="2" t="s">
        <v>38</v>
      </c>
      <c r="B2947" s="6">
        <v>45267</v>
      </c>
      <c r="C2947" s="2" t="s">
        <v>53</v>
      </c>
      <c r="D2947" s="8">
        <v>-450</v>
      </c>
      <c r="E2947" s="8">
        <f>E2946+(0-450)</f>
        <v>12509553.949999738</v>
      </c>
    </row>
    <row r="2948" spans="1:5" x14ac:dyDescent="0.25">
      <c r="A2948" s="2" t="s">
        <v>38</v>
      </c>
      <c r="B2948" s="6">
        <v>45268</v>
      </c>
      <c r="C2948" s="2" t="s">
        <v>53</v>
      </c>
      <c r="D2948" s="8">
        <v>-300</v>
      </c>
      <c r="E2948" s="8">
        <f>E2947+(0-300)</f>
        <v>12509253.949999738</v>
      </c>
    </row>
    <row r="2949" spans="1:5" x14ac:dyDescent="0.25">
      <c r="A2949" s="2" t="s">
        <v>38</v>
      </c>
      <c r="B2949" s="6">
        <v>45271</v>
      </c>
      <c r="C2949" s="2" t="s">
        <v>19</v>
      </c>
      <c r="D2949" s="8">
        <v>-48</v>
      </c>
      <c r="E2949" s="8">
        <f>E2948+(0-48)</f>
        <v>12509205.949999738</v>
      </c>
    </row>
    <row r="2950" spans="1:5" x14ac:dyDescent="0.25">
      <c r="A2950" s="2" t="s">
        <v>38</v>
      </c>
      <c r="B2950" s="6">
        <v>45271</v>
      </c>
      <c r="C2950" s="2" t="s">
        <v>19</v>
      </c>
      <c r="D2950" s="8">
        <v>-44</v>
      </c>
      <c r="E2950" s="8">
        <f>E2949+(0-44)</f>
        <v>12509161.949999738</v>
      </c>
    </row>
    <row r="2951" spans="1:5" x14ac:dyDescent="0.25">
      <c r="A2951" s="2" t="s">
        <v>38</v>
      </c>
      <c r="B2951" s="6">
        <v>45271</v>
      </c>
      <c r="C2951" s="2" t="s">
        <v>19</v>
      </c>
      <c r="D2951" s="8">
        <v>-72</v>
      </c>
      <c r="E2951" s="8">
        <f>E2950+(0-72)</f>
        <v>12509089.949999738</v>
      </c>
    </row>
    <row r="2952" spans="1:5" x14ac:dyDescent="0.25">
      <c r="A2952" s="2" t="s">
        <v>38</v>
      </c>
      <c r="B2952" s="6">
        <v>45271</v>
      </c>
      <c r="C2952" s="2" t="s">
        <v>19</v>
      </c>
      <c r="D2952" s="8">
        <v>-56</v>
      </c>
      <c r="E2952" s="8">
        <f>E2951+(0-56)</f>
        <v>12509033.949999738</v>
      </c>
    </row>
    <row r="2953" spans="1:5" x14ac:dyDescent="0.25">
      <c r="A2953" s="2" t="s">
        <v>38</v>
      </c>
      <c r="B2953" s="6">
        <v>45271</v>
      </c>
      <c r="C2953" s="2" t="s">
        <v>19</v>
      </c>
      <c r="D2953" s="8">
        <v>-64</v>
      </c>
      <c r="E2953" s="8">
        <f>E2952+(0-64)</f>
        <v>12508969.949999738</v>
      </c>
    </row>
    <row r="2954" spans="1:5" x14ac:dyDescent="0.25">
      <c r="A2954" s="2" t="s">
        <v>38</v>
      </c>
      <c r="B2954" s="6">
        <v>45271</v>
      </c>
      <c r="C2954" s="2" t="s">
        <v>19</v>
      </c>
      <c r="D2954" s="8">
        <v>-36</v>
      </c>
      <c r="E2954" s="8">
        <f>E2953+(0-36)</f>
        <v>12508933.949999738</v>
      </c>
    </row>
    <row r="2955" spans="1:5" x14ac:dyDescent="0.25">
      <c r="A2955" s="2" t="s">
        <v>38</v>
      </c>
      <c r="B2955" s="6">
        <v>45271</v>
      </c>
      <c r="C2955" s="2" t="s">
        <v>19</v>
      </c>
      <c r="D2955" s="8">
        <v>-4</v>
      </c>
      <c r="E2955" s="8">
        <f>E2954+(0-4)</f>
        <v>12508929.949999738</v>
      </c>
    </row>
    <row r="2956" spans="1:5" x14ac:dyDescent="0.25">
      <c r="A2956" s="2" t="s">
        <v>38</v>
      </c>
      <c r="B2956" s="6">
        <v>45271</v>
      </c>
      <c r="C2956" s="2" t="s">
        <v>19</v>
      </c>
      <c r="D2956" s="8">
        <v>-4</v>
      </c>
      <c r="E2956" s="8">
        <f>E2955+(0-4)</f>
        <v>12508925.949999738</v>
      </c>
    </row>
    <row r="2957" spans="1:5" x14ac:dyDescent="0.25">
      <c r="A2957" s="2" t="s">
        <v>38</v>
      </c>
      <c r="B2957" s="6">
        <v>45271</v>
      </c>
      <c r="C2957" s="2" t="s">
        <v>53</v>
      </c>
      <c r="D2957" s="8">
        <v>-53.75</v>
      </c>
      <c r="E2957" s="8">
        <f>E2956+(0-53.75)</f>
        <v>12508872.199999738</v>
      </c>
    </row>
    <row r="2958" spans="1:5" x14ac:dyDescent="0.25">
      <c r="A2958" s="2" t="s">
        <v>38</v>
      </c>
      <c r="B2958" s="6">
        <v>45271</v>
      </c>
      <c r="C2958" s="2" t="s">
        <v>53</v>
      </c>
      <c r="D2958" s="8">
        <v>-400</v>
      </c>
      <c r="E2958" s="8">
        <f>E2957+(0-400)</f>
        <v>12508472.199999738</v>
      </c>
    </row>
    <row r="2959" spans="1:5" x14ac:dyDescent="0.25">
      <c r="A2959" s="2" t="s">
        <v>38</v>
      </c>
      <c r="B2959" s="6">
        <v>45271</v>
      </c>
      <c r="C2959" s="2" t="s">
        <v>53</v>
      </c>
      <c r="D2959" s="8">
        <v>-50</v>
      </c>
      <c r="E2959" s="8">
        <f>E2958+(0-50)</f>
        <v>12508422.199999738</v>
      </c>
    </row>
    <row r="2960" spans="1:5" x14ac:dyDescent="0.25">
      <c r="A2960" s="2" t="s">
        <v>38</v>
      </c>
      <c r="B2960" s="6">
        <v>45272</v>
      </c>
      <c r="C2960" s="2" t="s">
        <v>53</v>
      </c>
      <c r="D2960" s="8">
        <v>-500</v>
      </c>
      <c r="E2960" s="8">
        <f>E2959+(0-500)</f>
        <v>12507922.199999738</v>
      </c>
    </row>
    <row r="2961" spans="1:5" x14ac:dyDescent="0.25">
      <c r="A2961" s="2" t="s">
        <v>38</v>
      </c>
      <c r="B2961" s="6">
        <v>45273</v>
      </c>
      <c r="C2961" s="2" t="s">
        <v>53</v>
      </c>
      <c r="D2961" s="8">
        <v>-350</v>
      </c>
      <c r="E2961" s="8">
        <f>E2960+(0-350)</f>
        <v>12507572.199999738</v>
      </c>
    </row>
    <row r="2962" spans="1:5" x14ac:dyDescent="0.25">
      <c r="A2962" s="2" t="s">
        <v>38</v>
      </c>
      <c r="B2962" s="6">
        <v>45274</v>
      </c>
      <c r="C2962" s="2" t="s">
        <v>53</v>
      </c>
      <c r="D2962" s="8">
        <v>-53.75</v>
      </c>
      <c r="E2962" s="8">
        <f>E2961+(0-53.75)</f>
        <v>12507518.449999738</v>
      </c>
    </row>
    <row r="2963" spans="1:5" x14ac:dyDescent="0.25">
      <c r="A2963" s="2" t="s">
        <v>38</v>
      </c>
      <c r="B2963" s="6">
        <v>45274</v>
      </c>
      <c r="C2963" s="2" t="s">
        <v>53</v>
      </c>
      <c r="D2963" s="8">
        <v>-250</v>
      </c>
      <c r="E2963" s="8">
        <f>E2962+(0-250)</f>
        <v>12507268.449999738</v>
      </c>
    </row>
    <row r="2964" spans="1:5" x14ac:dyDescent="0.25">
      <c r="A2964" s="2" t="s">
        <v>38</v>
      </c>
      <c r="B2964" s="6">
        <v>45275</v>
      </c>
      <c r="C2964" s="2" t="s">
        <v>53</v>
      </c>
      <c r="D2964" s="8">
        <v>-50</v>
      </c>
      <c r="E2964" s="8">
        <f>E2963+(0-50)</f>
        <v>12507218.449999738</v>
      </c>
    </row>
    <row r="2965" spans="1:5" x14ac:dyDescent="0.25">
      <c r="A2965" s="2" t="s">
        <v>38</v>
      </c>
      <c r="B2965" s="6">
        <v>45275</v>
      </c>
      <c r="C2965" s="2" t="s">
        <v>53</v>
      </c>
      <c r="D2965" s="8">
        <v>-53.75</v>
      </c>
      <c r="E2965" s="8">
        <f>E2964+(0-53.75)</f>
        <v>12507164.699999738</v>
      </c>
    </row>
    <row r="2966" spans="1:5" x14ac:dyDescent="0.25">
      <c r="A2966" s="2" t="s">
        <v>38</v>
      </c>
      <c r="B2966" s="6">
        <v>45275</v>
      </c>
      <c r="C2966" s="2" t="s">
        <v>53</v>
      </c>
      <c r="D2966" s="8">
        <v>-53.75</v>
      </c>
      <c r="E2966" s="8">
        <f>E2965+(0-53.75)</f>
        <v>12507110.949999738</v>
      </c>
    </row>
    <row r="2967" spans="1:5" x14ac:dyDescent="0.25">
      <c r="A2967" s="2" t="s">
        <v>38</v>
      </c>
      <c r="B2967" s="6">
        <v>45275</v>
      </c>
      <c r="C2967" s="2" t="s">
        <v>53</v>
      </c>
      <c r="D2967" s="8">
        <v>-53.75</v>
      </c>
      <c r="E2967" s="8">
        <f>E2966+(0-53.75)</f>
        <v>12507057.199999738</v>
      </c>
    </row>
    <row r="2968" spans="1:5" x14ac:dyDescent="0.25">
      <c r="A2968" s="2" t="s">
        <v>38</v>
      </c>
      <c r="B2968" s="6">
        <v>45275</v>
      </c>
      <c r="C2968" s="2" t="s">
        <v>53</v>
      </c>
      <c r="D2968" s="8">
        <v>-53.75</v>
      </c>
      <c r="E2968" s="8">
        <f>E2967+(0-53.75)</f>
        <v>12507003.449999738</v>
      </c>
    </row>
    <row r="2969" spans="1:5" x14ac:dyDescent="0.25">
      <c r="A2969" s="2" t="s">
        <v>38</v>
      </c>
      <c r="B2969" s="6">
        <v>45275</v>
      </c>
      <c r="C2969" s="2" t="s">
        <v>53</v>
      </c>
      <c r="D2969" s="8">
        <v>-26.88</v>
      </c>
      <c r="E2969" s="8">
        <f>E2968+(0-26.88)</f>
        <v>12506976.569999738</v>
      </c>
    </row>
    <row r="2970" spans="1:5" x14ac:dyDescent="0.25">
      <c r="A2970" s="2" t="s">
        <v>38</v>
      </c>
      <c r="B2970" s="6">
        <v>45275</v>
      </c>
      <c r="C2970" s="2" t="s">
        <v>53</v>
      </c>
      <c r="D2970" s="8">
        <v>-53.75</v>
      </c>
      <c r="E2970" s="8">
        <f>E2969+(0-53.75)</f>
        <v>12506922.819999738</v>
      </c>
    </row>
    <row r="2971" spans="1:5" x14ac:dyDescent="0.25">
      <c r="A2971" s="2" t="s">
        <v>38</v>
      </c>
      <c r="B2971" s="6">
        <v>45275</v>
      </c>
      <c r="C2971" s="2" t="s">
        <v>53</v>
      </c>
      <c r="D2971" s="8">
        <v>-53.75</v>
      </c>
      <c r="E2971" s="8">
        <f>E2970+(0-53.75)</f>
        <v>12506869.069999738</v>
      </c>
    </row>
    <row r="2972" spans="1:5" x14ac:dyDescent="0.25">
      <c r="A2972" s="2" t="s">
        <v>38</v>
      </c>
      <c r="B2972" s="6">
        <v>45275</v>
      </c>
      <c r="C2972" s="2" t="s">
        <v>53</v>
      </c>
      <c r="D2972" s="8">
        <v>-700</v>
      </c>
      <c r="E2972" s="8">
        <f>E2971+(0-700)</f>
        <v>12506169.069999738</v>
      </c>
    </row>
    <row r="2973" spans="1:5" x14ac:dyDescent="0.25">
      <c r="A2973" s="2" t="s">
        <v>38</v>
      </c>
      <c r="B2973" s="6">
        <v>45278</v>
      </c>
      <c r="C2973" s="2" t="s">
        <v>53</v>
      </c>
      <c r="D2973" s="8">
        <v>-53.75</v>
      </c>
      <c r="E2973" s="8">
        <f>E2972+(0-53.75)</f>
        <v>12506115.319999738</v>
      </c>
    </row>
    <row r="2974" spans="1:5" x14ac:dyDescent="0.25">
      <c r="A2974" s="2" t="s">
        <v>38</v>
      </c>
      <c r="B2974" s="6">
        <v>45278</v>
      </c>
      <c r="C2974" s="2" t="s">
        <v>53</v>
      </c>
      <c r="D2974" s="8">
        <v>-53.75</v>
      </c>
      <c r="E2974" s="8">
        <f>E2973+(0-53.75)</f>
        <v>12506061.569999738</v>
      </c>
    </row>
    <row r="2975" spans="1:5" x14ac:dyDescent="0.25">
      <c r="A2975" s="2" t="s">
        <v>38</v>
      </c>
      <c r="B2975" s="6">
        <v>45278</v>
      </c>
      <c r="C2975" s="2" t="s">
        <v>53</v>
      </c>
      <c r="D2975" s="8">
        <v>-26.88</v>
      </c>
      <c r="E2975" s="8">
        <f>E2974+(0-26.88)</f>
        <v>12506034.689999737</v>
      </c>
    </row>
    <row r="2976" spans="1:5" x14ac:dyDescent="0.25">
      <c r="A2976" s="2" t="s">
        <v>38</v>
      </c>
      <c r="B2976" s="6">
        <v>45278</v>
      </c>
      <c r="C2976" s="2" t="s">
        <v>53</v>
      </c>
      <c r="D2976" s="8">
        <v>-53.75</v>
      </c>
      <c r="E2976" s="8">
        <f>E2975+(0-53.75)</f>
        <v>12505980.939999737</v>
      </c>
    </row>
    <row r="2977" spans="1:5" x14ac:dyDescent="0.25">
      <c r="A2977" s="2" t="s">
        <v>38</v>
      </c>
      <c r="B2977" s="6">
        <v>45278</v>
      </c>
      <c r="C2977" s="2" t="s">
        <v>53</v>
      </c>
      <c r="D2977" s="8">
        <v>-400</v>
      </c>
      <c r="E2977" s="8">
        <f>E2976+(0-400)</f>
        <v>12505580.939999737</v>
      </c>
    </row>
    <row r="2978" spans="1:5" x14ac:dyDescent="0.25">
      <c r="A2978" s="2" t="s">
        <v>38</v>
      </c>
      <c r="B2978" s="6">
        <v>45279</v>
      </c>
      <c r="C2978" s="2" t="s">
        <v>53</v>
      </c>
      <c r="D2978" s="8">
        <v>-50</v>
      </c>
      <c r="E2978" s="8">
        <f>E2977+(0-50)</f>
        <v>12505530.939999737</v>
      </c>
    </row>
    <row r="2979" spans="1:5" x14ac:dyDescent="0.25">
      <c r="A2979" s="2" t="s">
        <v>38</v>
      </c>
      <c r="B2979" s="6">
        <v>45279</v>
      </c>
      <c r="C2979" s="2" t="s">
        <v>53</v>
      </c>
      <c r="D2979" s="8">
        <v>-50</v>
      </c>
      <c r="E2979" s="8">
        <f>E2978+(0-50)</f>
        <v>12505480.939999737</v>
      </c>
    </row>
    <row r="2980" spans="1:5" x14ac:dyDescent="0.25">
      <c r="A2980" s="2" t="s">
        <v>38</v>
      </c>
      <c r="B2980" s="6">
        <v>45279</v>
      </c>
      <c r="C2980" s="2" t="s">
        <v>53</v>
      </c>
      <c r="D2980" s="8">
        <v>-50</v>
      </c>
      <c r="E2980" s="8">
        <f>E2979+(0-50)</f>
        <v>12505430.939999737</v>
      </c>
    </row>
    <row r="2981" spans="1:5" x14ac:dyDescent="0.25">
      <c r="A2981" s="2" t="s">
        <v>38</v>
      </c>
      <c r="B2981" s="6">
        <v>45279</v>
      </c>
      <c r="C2981" s="2" t="s">
        <v>53</v>
      </c>
      <c r="D2981" s="8">
        <v>-650</v>
      </c>
      <c r="E2981" s="8">
        <f>E2980+(0-650)</f>
        <v>12504780.939999737</v>
      </c>
    </row>
    <row r="2982" spans="1:5" x14ac:dyDescent="0.25">
      <c r="A2982" s="2" t="s">
        <v>38</v>
      </c>
      <c r="B2982" s="6">
        <v>45280</v>
      </c>
      <c r="C2982" s="2" t="s">
        <v>53</v>
      </c>
      <c r="D2982" s="8">
        <v>-50</v>
      </c>
      <c r="E2982" s="8">
        <f>E2981+(0-50)</f>
        <v>12504730.939999737</v>
      </c>
    </row>
    <row r="2983" spans="1:5" x14ac:dyDescent="0.25">
      <c r="A2983" s="2" t="s">
        <v>38</v>
      </c>
      <c r="B2983" s="6">
        <v>45280</v>
      </c>
      <c r="C2983" s="2" t="s">
        <v>53</v>
      </c>
      <c r="D2983" s="8">
        <v>-550</v>
      </c>
      <c r="E2983" s="8">
        <f>E2982+(0-550)</f>
        <v>12504180.939999737</v>
      </c>
    </row>
    <row r="2984" spans="1:5" x14ac:dyDescent="0.25">
      <c r="A2984" s="2" t="s">
        <v>38</v>
      </c>
      <c r="B2984" s="6">
        <v>45281</v>
      </c>
      <c r="C2984" s="2" t="s">
        <v>53</v>
      </c>
      <c r="D2984" s="8">
        <v>-26.88</v>
      </c>
      <c r="E2984" s="8">
        <f>E2983+(0-26.88)</f>
        <v>12504154.059999736</v>
      </c>
    </row>
    <row r="2985" spans="1:5" x14ac:dyDescent="0.25">
      <c r="A2985" s="2" t="s">
        <v>38</v>
      </c>
      <c r="B2985" s="6">
        <v>45281</v>
      </c>
      <c r="C2985" s="2" t="s">
        <v>53</v>
      </c>
      <c r="D2985" s="8">
        <v>-53.75</v>
      </c>
      <c r="E2985" s="8">
        <f>E2984+(0-53.75)</f>
        <v>12504100.309999736</v>
      </c>
    </row>
    <row r="2986" spans="1:5" x14ac:dyDescent="0.25">
      <c r="A2986" s="2" t="s">
        <v>38</v>
      </c>
      <c r="B2986" s="6">
        <v>45281</v>
      </c>
      <c r="C2986" s="2" t="s">
        <v>53</v>
      </c>
      <c r="D2986" s="8">
        <v>-100</v>
      </c>
      <c r="E2986" s="8">
        <f>E2985+(0-100)</f>
        <v>12504000.309999736</v>
      </c>
    </row>
    <row r="2987" spans="1:5" x14ac:dyDescent="0.25">
      <c r="A2987" s="2" t="s">
        <v>38</v>
      </c>
      <c r="B2987" s="6">
        <v>45281</v>
      </c>
      <c r="C2987" s="2" t="s">
        <v>53</v>
      </c>
      <c r="D2987" s="8">
        <v>-600</v>
      </c>
      <c r="E2987" s="8">
        <f>E2986+(0-600)</f>
        <v>12503400.309999736</v>
      </c>
    </row>
    <row r="2988" spans="1:5" x14ac:dyDescent="0.25">
      <c r="A2988" s="2" t="s">
        <v>38</v>
      </c>
      <c r="B2988" s="6">
        <v>45282</v>
      </c>
      <c r="C2988" s="2" t="s">
        <v>53</v>
      </c>
      <c r="D2988" s="8">
        <v>-50</v>
      </c>
      <c r="E2988" s="8">
        <f>E2987+(0-50)</f>
        <v>12503350.309999736</v>
      </c>
    </row>
    <row r="2989" spans="1:5" x14ac:dyDescent="0.25">
      <c r="A2989" s="2" t="s">
        <v>38</v>
      </c>
      <c r="B2989" s="6">
        <v>45282</v>
      </c>
      <c r="C2989" s="2" t="s">
        <v>19</v>
      </c>
      <c r="D2989" s="8">
        <v>-40</v>
      </c>
      <c r="E2989" s="8">
        <f>E2988+(0-40)</f>
        <v>12503310.309999736</v>
      </c>
    </row>
    <row r="2990" spans="1:5" x14ac:dyDescent="0.25">
      <c r="A2990" s="2" t="s">
        <v>38</v>
      </c>
      <c r="B2990" s="6">
        <v>45282</v>
      </c>
      <c r="C2990" s="2" t="s">
        <v>53</v>
      </c>
      <c r="D2990" s="8">
        <v>-53.75</v>
      </c>
      <c r="E2990" s="8">
        <f>E2989+(0-53.75)</f>
        <v>12503256.559999736</v>
      </c>
    </row>
    <row r="2991" spans="1:5" x14ac:dyDescent="0.25">
      <c r="A2991" s="2" t="s">
        <v>38</v>
      </c>
      <c r="B2991" s="6">
        <v>45282</v>
      </c>
      <c r="C2991" s="2" t="s">
        <v>53</v>
      </c>
      <c r="D2991" s="8">
        <v>-26.88</v>
      </c>
      <c r="E2991" s="8">
        <f>E2990+(0-26.88)</f>
        <v>12503229.679999735</v>
      </c>
    </row>
    <row r="2992" spans="1:5" x14ac:dyDescent="0.25">
      <c r="A2992" s="2" t="s">
        <v>38</v>
      </c>
      <c r="B2992" s="6">
        <v>45282</v>
      </c>
      <c r="C2992" s="2" t="s">
        <v>19</v>
      </c>
      <c r="D2992" s="8">
        <v>-20</v>
      </c>
      <c r="E2992" s="8">
        <f>E2991+(0-20)</f>
        <v>12503209.679999735</v>
      </c>
    </row>
    <row r="2993" spans="1:5" x14ac:dyDescent="0.25">
      <c r="A2993" s="2" t="s">
        <v>38</v>
      </c>
      <c r="B2993" s="6">
        <v>45282</v>
      </c>
      <c r="C2993" s="2" t="s">
        <v>19</v>
      </c>
      <c r="D2993" s="8">
        <v>-16</v>
      </c>
      <c r="E2993" s="8">
        <f>E2992+(0-16)</f>
        <v>12503193.679999735</v>
      </c>
    </row>
    <row r="2994" spans="1:5" x14ac:dyDescent="0.25">
      <c r="A2994" s="2" t="s">
        <v>38</v>
      </c>
      <c r="B2994" s="6">
        <v>45282</v>
      </c>
      <c r="C2994" s="2" t="s">
        <v>53</v>
      </c>
      <c r="D2994" s="8">
        <v>-300</v>
      </c>
      <c r="E2994" s="8">
        <f>E2993+(0-300)</f>
        <v>12502893.679999735</v>
      </c>
    </row>
    <row r="2995" spans="1:5" x14ac:dyDescent="0.25">
      <c r="A2995" s="2" t="s">
        <v>38</v>
      </c>
      <c r="B2995" s="6">
        <v>45287</v>
      </c>
      <c r="C2995" s="2" t="s">
        <v>19</v>
      </c>
      <c r="D2995" s="8">
        <v>-12</v>
      </c>
      <c r="E2995" s="8">
        <f>E2994+(0-12)</f>
        <v>12502881.679999735</v>
      </c>
    </row>
    <row r="2996" spans="1:5" x14ac:dyDescent="0.25">
      <c r="A2996" s="2" t="s">
        <v>38</v>
      </c>
      <c r="B2996" s="6">
        <v>45287</v>
      </c>
      <c r="C2996" s="2" t="s">
        <v>19</v>
      </c>
      <c r="D2996" s="8">
        <v>-84</v>
      </c>
      <c r="E2996" s="8">
        <f>E2995+(0-84)</f>
        <v>12502797.679999735</v>
      </c>
    </row>
    <row r="2997" spans="1:5" x14ac:dyDescent="0.25">
      <c r="A2997" s="2" t="s">
        <v>38</v>
      </c>
      <c r="B2997" s="6">
        <v>45287</v>
      </c>
      <c r="C2997" s="2" t="s">
        <v>53</v>
      </c>
      <c r="D2997" s="8">
        <v>-8</v>
      </c>
      <c r="E2997" s="8">
        <f>E2996+(0-8)</f>
        <v>12502789.679999735</v>
      </c>
    </row>
    <row r="2998" spans="1:5" x14ac:dyDescent="0.25">
      <c r="A2998" s="2" t="s">
        <v>38</v>
      </c>
      <c r="B2998" s="6">
        <v>45287</v>
      </c>
      <c r="C2998" s="2" t="s">
        <v>53</v>
      </c>
      <c r="D2998" s="8">
        <v>-26.88</v>
      </c>
      <c r="E2998" s="8">
        <f>E2997+(0-26.88)</f>
        <v>12502762.799999734</v>
      </c>
    </row>
    <row r="2999" spans="1:5" x14ac:dyDescent="0.25">
      <c r="A2999" s="2" t="s">
        <v>38</v>
      </c>
      <c r="B2999" s="6">
        <v>45287</v>
      </c>
      <c r="C2999" s="2" t="s">
        <v>53</v>
      </c>
      <c r="D2999" s="8">
        <v>-53.75</v>
      </c>
      <c r="E2999" s="8">
        <f>E2998+(0-53.75)</f>
        <v>12502709.049999734</v>
      </c>
    </row>
    <row r="3000" spans="1:5" x14ac:dyDescent="0.25">
      <c r="A3000" s="2" t="s">
        <v>38</v>
      </c>
      <c r="B3000" s="6">
        <v>45287</v>
      </c>
      <c r="C3000" s="2" t="s">
        <v>19</v>
      </c>
      <c r="D3000" s="8">
        <v>-4</v>
      </c>
      <c r="E3000" s="8">
        <f>E2999+(0-4)</f>
        <v>12502705.049999734</v>
      </c>
    </row>
    <row r="3001" spans="1:5" x14ac:dyDescent="0.25">
      <c r="A3001" s="2" t="s">
        <v>38</v>
      </c>
      <c r="B3001" s="6">
        <v>45287</v>
      </c>
      <c r="C3001" s="2" t="s">
        <v>19</v>
      </c>
      <c r="D3001" s="8">
        <v>-32</v>
      </c>
      <c r="E3001" s="8">
        <f>E3000+(0-32)</f>
        <v>12502673.049999734</v>
      </c>
    </row>
    <row r="3002" spans="1:5" x14ac:dyDescent="0.25">
      <c r="A3002" s="2" t="s">
        <v>38</v>
      </c>
      <c r="B3002" s="6">
        <v>45287</v>
      </c>
      <c r="C3002" s="2" t="s">
        <v>19</v>
      </c>
      <c r="D3002" s="8">
        <v>-44</v>
      </c>
      <c r="E3002" s="8">
        <f>E3001+(0-44)</f>
        <v>12502629.049999734</v>
      </c>
    </row>
    <row r="3003" spans="1:5" x14ac:dyDescent="0.25">
      <c r="A3003" s="2" t="s">
        <v>38</v>
      </c>
      <c r="B3003" s="6">
        <v>45287</v>
      </c>
      <c r="C3003" s="2" t="s">
        <v>19</v>
      </c>
      <c r="D3003" s="8">
        <v>-28</v>
      </c>
      <c r="E3003" s="8">
        <f>E3002+(0-28)</f>
        <v>12502601.049999734</v>
      </c>
    </row>
    <row r="3004" spans="1:5" x14ac:dyDescent="0.25">
      <c r="A3004" s="2" t="s">
        <v>38</v>
      </c>
      <c r="B3004" s="6">
        <v>45287</v>
      </c>
      <c r="C3004" s="2" t="s">
        <v>19</v>
      </c>
      <c r="D3004" s="8">
        <v>-36</v>
      </c>
      <c r="E3004" s="8">
        <f>E3003+(0-36)</f>
        <v>12502565.049999734</v>
      </c>
    </row>
    <row r="3005" spans="1:5" x14ac:dyDescent="0.25">
      <c r="A3005" s="2" t="s">
        <v>38</v>
      </c>
      <c r="B3005" s="6">
        <v>45287</v>
      </c>
      <c r="C3005" s="2" t="s">
        <v>53</v>
      </c>
      <c r="D3005" s="8">
        <v>-400</v>
      </c>
      <c r="E3005" s="8">
        <f>E3004+(0-400)</f>
        <v>12502165.049999734</v>
      </c>
    </row>
    <row r="3006" spans="1:5" x14ac:dyDescent="0.25">
      <c r="A3006" s="2" t="s">
        <v>38</v>
      </c>
      <c r="B3006" s="6">
        <v>45287</v>
      </c>
      <c r="C3006" s="2" t="s">
        <v>53</v>
      </c>
      <c r="D3006" s="8">
        <v>-50</v>
      </c>
      <c r="E3006" s="8">
        <f>E3005+(0-50)</f>
        <v>12502115.049999734</v>
      </c>
    </row>
    <row r="3007" spans="1:5" x14ac:dyDescent="0.25">
      <c r="A3007" s="2" t="s">
        <v>38</v>
      </c>
      <c r="B3007" s="6">
        <v>45288</v>
      </c>
      <c r="C3007" s="2" t="s">
        <v>53</v>
      </c>
      <c r="D3007" s="8">
        <v>-26.88</v>
      </c>
      <c r="E3007" s="8">
        <f>E3006+(0-26.88)</f>
        <v>12502088.169999734</v>
      </c>
    </row>
    <row r="3008" spans="1:5" x14ac:dyDescent="0.25">
      <c r="A3008" s="2" t="s">
        <v>38</v>
      </c>
      <c r="B3008" s="6">
        <v>45288</v>
      </c>
      <c r="C3008" s="2" t="s">
        <v>53</v>
      </c>
      <c r="D3008" s="8">
        <v>-26.88</v>
      </c>
      <c r="E3008" s="8">
        <f>E3007+(0-26.88)</f>
        <v>12502061.289999733</v>
      </c>
    </row>
    <row r="3009" spans="1:5" x14ac:dyDescent="0.25">
      <c r="A3009" s="2" t="s">
        <v>38</v>
      </c>
      <c r="B3009" s="6">
        <v>45288</v>
      </c>
      <c r="C3009" s="2" t="s">
        <v>53</v>
      </c>
      <c r="D3009" s="8">
        <v>-53.75</v>
      </c>
      <c r="E3009" s="8">
        <f>E3008+(0-53.75)</f>
        <v>12502007.539999733</v>
      </c>
    </row>
    <row r="3010" spans="1:5" x14ac:dyDescent="0.25">
      <c r="A3010" s="2" t="s">
        <v>38</v>
      </c>
      <c r="B3010" s="6">
        <v>45288</v>
      </c>
      <c r="C3010" s="2" t="s">
        <v>53</v>
      </c>
      <c r="D3010" s="8">
        <v>-53.75</v>
      </c>
      <c r="E3010" s="8">
        <f>E3009+(0-53.75)</f>
        <v>12501953.789999733</v>
      </c>
    </row>
    <row r="3011" spans="1:5" x14ac:dyDescent="0.25">
      <c r="A3011" s="2" t="s">
        <v>38</v>
      </c>
      <c r="B3011" s="6">
        <v>45288</v>
      </c>
      <c r="C3011" s="2" t="s">
        <v>53</v>
      </c>
      <c r="D3011" s="8">
        <v>-26.88</v>
      </c>
      <c r="E3011" s="8">
        <f>E3010+(0-26.88)</f>
        <v>12501926.909999732</v>
      </c>
    </row>
    <row r="3012" spans="1:5" x14ac:dyDescent="0.25">
      <c r="A3012" s="2" t="s">
        <v>38</v>
      </c>
      <c r="B3012" s="6">
        <v>45288</v>
      </c>
      <c r="C3012" s="2" t="s">
        <v>53</v>
      </c>
      <c r="D3012" s="8">
        <v>-26.88</v>
      </c>
      <c r="E3012" s="8">
        <f>E3011+(0-26.88)</f>
        <v>12501900.029999731</v>
      </c>
    </row>
    <row r="3013" spans="1:5" x14ac:dyDescent="0.25">
      <c r="A3013" s="2" t="s">
        <v>38</v>
      </c>
      <c r="B3013" s="6">
        <v>45288</v>
      </c>
      <c r="C3013" s="2" t="s">
        <v>53</v>
      </c>
      <c r="D3013" s="8">
        <v>-53.75</v>
      </c>
      <c r="E3013" s="8">
        <f>E3012+(0-53.75)</f>
        <v>12501846.279999731</v>
      </c>
    </row>
    <row r="3014" spans="1:5" x14ac:dyDescent="0.25">
      <c r="A3014" s="2" t="s">
        <v>38</v>
      </c>
      <c r="B3014" s="6">
        <v>45288</v>
      </c>
      <c r="C3014" s="2" t="s">
        <v>53</v>
      </c>
      <c r="D3014" s="8">
        <v>-50</v>
      </c>
      <c r="E3014" s="8">
        <f>E3013+(0-50)</f>
        <v>12501796.279999731</v>
      </c>
    </row>
    <row r="3015" spans="1:5" x14ac:dyDescent="0.25">
      <c r="A3015" s="2" t="s">
        <v>38</v>
      </c>
      <c r="B3015" s="6">
        <v>45288</v>
      </c>
      <c r="C3015" s="2" t="s">
        <v>53</v>
      </c>
      <c r="D3015" s="8">
        <v>-650</v>
      </c>
      <c r="E3015" s="8">
        <f>E3014+(0-650)</f>
        <v>12501146.279999731</v>
      </c>
    </row>
    <row r="3016" spans="1:5" x14ac:dyDescent="0.25">
      <c r="A3016" s="2" t="s">
        <v>38</v>
      </c>
      <c r="B3016" s="6">
        <v>45289</v>
      </c>
      <c r="C3016" s="2" t="s">
        <v>53</v>
      </c>
      <c r="D3016" s="8">
        <v>-26.88</v>
      </c>
      <c r="E3016" s="8">
        <f>E3015+(0-26.88)</f>
        <v>12501119.39999973</v>
      </c>
    </row>
    <row r="3017" spans="1:5" x14ac:dyDescent="0.25">
      <c r="A3017" s="2" t="s">
        <v>38</v>
      </c>
      <c r="B3017" s="6">
        <v>45289</v>
      </c>
      <c r="C3017" s="2" t="s">
        <v>53</v>
      </c>
      <c r="D3017" s="8">
        <v>-53.75</v>
      </c>
      <c r="E3017" s="8">
        <f>E3016+(0-53.75)</f>
        <v>12501065.64999973</v>
      </c>
    </row>
    <row r="3018" spans="1:5" x14ac:dyDescent="0.25">
      <c r="A3018" s="2" t="s">
        <v>38</v>
      </c>
      <c r="B3018" s="6">
        <v>45289</v>
      </c>
      <c r="C3018" s="2" t="s">
        <v>53</v>
      </c>
      <c r="D3018" s="8">
        <v>-26.88</v>
      </c>
      <c r="E3018" s="8">
        <f>E3017+(0-26.88)</f>
        <v>12501038.769999729</v>
      </c>
    </row>
    <row r="3019" spans="1:5" x14ac:dyDescent="0.25">
      <c r="A3019" s="2" t="s">
        <v>38</v>
      </c>
      <c r="B3019" s="6">
        <v>45289</v>
      </c>
      <c r="C3019" s="2" t="s">
        <v>53</v>
      </c>
      <c r="D3019" s="8">
        <v>-53.75</v>
      </c>
      <c r="E3019" s="8">
        <f>E3018+(0-53.75)</f>
        <v>12500985.019999729</v>
      </c>
    </row>
    <row r="3020" spans="1:5" x14ac:dyDescent="0.25">
      <c r="A3020" s="2" t="s">
        <v>38</v>
      </c>
      <c r="B3020" s="6">
        <v>45289</v>
      </c>
      <c r="C3020" s="2" t="s">
        <v>53</v>
      </c>
      <c r="D3020" s="8">
        <v>-400</v>
      </c>
      <c r="E3020" s="8">
        <f>E3019+(0-400)</f>
        <v>12500585.019999729</v>
      </c>
    </row>
    <row r="3021" spans="1:5" x14ac:dyDescent="0.25">
      <c r="A3021" s="2" t="s">
        <v>38</v>
      </c>
      <c r="B3021" s="6">
        <v>45289</v>
      </c>
      <c r="C3021" s="2" t="s">
        <v>53</v>
      </c>
      <c r="D3021" s="8">
        <v>-50</v>
      </c>
      <c r="E3021" s="8">
        <f>E3020+(0-50)</f>
        <v>12500535.019999729</v>
      </c>
    </row>
    <row r="3022" spans="1:5" x14ac:dyDescent="0.25">
      <c r="A3022" s="2" t="s">
        <v>38</v>
      </c>
      <c r="B3022" s="6">
        <v>45291</v>
      </c>
      <c r="C3022" s="2" t="s">
        <v>53</v>
      </c>
      <c r="D3022" s="8">
        <v>-53.75</v>
      </c>
      <c r="E3022" s="8">
        <f>E3021+(0-53.75)</f>
        <v>12500481.269999729</v>
      </c>
    </row>
    <row r="3023" spans="1:5" x14ac:dyDescent="0.25">
      <c r="A3023" s="2" t="s">
        <v>38</v>
      </c>
      <c r="B3023" s="6">
        <v>45292</v>
      </c>
      <c r="C3023" s="2" t="s">
        <v>53</v>
      </c>
      <c r="D3023" s="8">
        <v>-10.75</v>
      </c>
      <c r="E3023" s="8">
        <f>E3022+(0-10.75)</f>
        <v>12500470.519999729</v>
      </c>
    </row>
    <row r="3024" spans="1:5" x14ac:dyDescent="0.25">
      <c r="A3024" s="2" t="s">
        <v>38</v>
      </c>
      <c r="B3024" s="6">
        <v>45292</v>
      </c>
      <c r="C3024" s="2" t="s">
        <v>53</v>
      </c>
      <c r="D3024" s="8">
        <v>-50</v>
      </c>
      <c r="E3024" s="8">
        <f>E3023+(0-50)</f>
        <v>12500420.519999729</v>
      </c>
    </row>
    <row r="3025" spans="1:5" x14ac:dyDescent="0.25">
      <c r="A3025" s="2" t="s">
        <v>38</v>
      </c>
      <c r="B3025" s="6">
        <v>45293</v>
      </c>
      <c r="C3025" s="2" t="s">
        <v>53</v>
      </c>
      <c r="D3025" s="8">
        <v>-50</v>
      </c>
      <c r="E3025" s="8">
        <f>E3024+(0-50)</f>
        <v>12500370.519999729</v>
      </c>
    </row>
    <row r="3026" spans="1:5" x14ac:dyDescent="0.25">
      <c r="A3026" s="2" t="s">
        <v>38</v>
      </c>
      <c r="B3026" s="6">
        <v>45293</v>
      </c>
      <c r="C3026" s="2" t="s">
        <v>53</v>
      </c>
      <c r="D3026" s="8">
        <v>-50</v>
      </c>
      <c r="E3026" s="8">
        <f>E3025+(0-50)</f>
        <v>12500320.519999729</v>
      </c>
    </row>
    <row r="3027" spans="1:5" x14ac:dyDescent="0.25">
      <c r="A3027" s="2" t="s">
        <v>38</v>
      </c>
      <c r="B3027" s="6">
        <v>45293</v>
      </c>
      <c r="C3027" s="2" t="s">
        <v>19</v>
      </c>
      <c r="D3027" s="8">
        <v>-44</v>
      </c>
      <c r="E3027" s="8">
        <f>E3026+(0-44)</f>
        <v>12500276.519999729</v>
      </c>
    </row>
    <row r="3028" spans="1:5" x14ac:dyDescent="0.25">
      <c r="A3028" s="2" t="s">
        <v>38</v>
      </c>
      <c r="B3028" s="6">
        <v>45296</v>
      </c>
      <c r="C3028" s="2" t="s">
        <v>19</v>
      </c>
      <c r="D3028" s="8">
        <v>-20</v>
      </c>
      <c r="E3028" s="8">
        <f>E3027+(0-20)</f>
        <v>12500256.519999729</v>
      </c>
    </row>
    <row r="3029" spans="1:5" x14ac:dyDescent="0.25">
      <c r="A3029" s="2" t="s">
        <v>38</v>
      </c>
      <c r="B3029" s="6">
        <v>45296</v>
      </c>
      <c r="C3029" s="2" t="s">
        <v>19</v>
      </c>
      <c r="D3029" s="8">
        <v>-4</v>
      </c>
      <c r="E3029" s="8">
        <f>E3028+(0-4)</f>
        <v>12500252.519999729</v>
      </c>
    </row>
    <row r="3030" spans="1:5" x14ac:dyDescent="0.25">
      <c r="A3030" s="2" t="s">
        <v>38</v>
      </c>
      <c r="B3030" s="6">
        <v>45296</v>
      </c>
      <c r="C3030" s="2" t="s">
        <v>53</v>
      </c>
      <c r="D3030" s="8">
        <v>-250</v>
      </c>
      <c r="E3030" s="8">
        <f>E3029+(0-250)</f>
        <v>12500002.519999729</v>
      </c>
    </row>
    <row r="3031" spans="1:5" x14ac:dyDescent="0.25">
      <c r="A3031" s="2" t="s">
        <v>38</v>
      </c>
      <c r="B3031" s="6">
        <v>45299</v>
      </c>
      <c r="C3031" s="2" t="s">
        <v>19</v>
      </c>
      <c r="D3031" s="8">
        <v>-16</v>
      </c>
      <c r="E3031" s="8">
        <f>E3030+(0-16)</f>
        <v>12499986.519999729</v>
      </c>
    </row>
    <row r="3032" spans="1:5" x14ac:dyDescent="0.25">
      <c r="A3032" s="2" t="s">
        <v>38</v>
      </c>
      <c r="B3032" s="6">
        <v>45299</v>
      </c>
      <c r="C3032" s="2" t="s">
        <v>19</v>
      </c>
      <c r="D3032" s="8">
        <v>-80</v>
      </c>
      <c r="E3032" s="8">
        <f>E3031+(0-80)</f>
        <v>12499906.519999729</v>
      </c>
    </row>
    <row r="3033" spans="1:5" x14ac:dyDescent="0.25">
      <c r="A3033" s="2" t="s">
        <v>38</v>
      </c>
      <c r="B3033" s="6">
        <v>45299</v>
      </c>
      <c r="C3033" s="2" t="s">
        <v>19</v>
      </c>
      <c r="D3033" s="8">
        <v>-20</v>
      </c>
      <c r="E3033" s="8">
        <f>E3032+(0-20)</f>
        <v>12499886.519999729</v>
      </c>
    </row>
    <row r="3034" spans="1:5" x14ac:dyDescent="0.25">
      <c r="A3034" s="2" t="s">
        <v>38</v>
      </c>
      <c r="B3034" s="6">
        <v>45299</v>
      </c>
      <c r="C3034" s="2" t="s">
        <v>19</v>
      </c>
      <c r="D3034" s="8">
        <v>-8</v>
      </c>
      <c r="E3034" s="8">
        <f>E3033+(0-8)</f>
        <v>12499878.519999729</v>
      </c>
    </row>
    <row r="3035" spans="1:5" x14ac:dyDescent="0.25">
      <c r="A3035" s="2" t="s">
        <v>38</v>
      </c>
      <c r="B3035" s="6">
        <v>45299</v>
      </c>
      <c r="C3035" s="2" t="s">
        <v>19</v>
      </c>
      <c r="D3035" s="8">
        <v>-4</v>
      </c>
      <c r="E3035" s="8">
        <f>E3034+(0-4)</f>
        <v>12499874.519999729</v>
      </c>
    </row>
    <row r="3036" spans="1:5" x14ac:dyDescent="0.25">
      <c r="A3036" s="2" t="s">
        <v>38</v>
      </c>
      <c r="B3036" s="6">
        <v>45299</v>
      </c>
      <c r="C3036" s="2" t="s">
        <v>19</v>
      </c>
      <c r="D3036" s="8">
        <v>-4</v>
      </c>
      <c r="E3036" s="8">
        <f>E3035+(0-4)</f>
        <v>12499870.519999729</v>
      </c>
    </row>
    <row r="3037" spans="1:5" x14ac:dyDescent="0.25">
      <c r="A3037" s="2" t="s">
        <v>38</v>
      </c>
      <c r="B3037" s="6">
        <v>45299</v>
      </c>
      <c r="C3037" s="2" t="s">
        <v>19</v>
      </c>
      <c r="D3037" s="8">
        <v>-24</v>
      </c>
      <c r="E3037" s="8">
        <f>E3036+(0-24)</f>
        <v>12499846.519999729</v>
      </c>
    </row>
    <row r="3038" spans="1:5" x14ac:dyDescent="0.25">
      <c r="A3038" s="2" t="s">
        <v>38</v>
      </c>
      <c r="B3038" s="6">
        <v>45299</v>
      </c>
      <c r="C3038" s="2" t="s">
        <v>53</v>
      </c>
      <c r="D3038" s="8">
        <v>-53.75</v>
      </c>
      <c r="E3038" s="8">
        <f>E3037+(0-53.75)</f>
        <v>12499792.769999729</v>
      </c>
    </row>
    <row r="3039" spans="1:5" x14ac:dyDescent="0.25">
      <c r="A3039" s="2" t="s">
        <v>38</v>
      </c>
      <c r="B3039" s="6">
        <v>45299</v>
      </c>
      <c r="C3039" s="2" t="s">
        <v>19</v>
      </c>
      <c r="D3039" s="8">
        <v>-350</v>
      </c>
      <c r="E3039" s="8">
        <f>E3038+(0-350)</f>
        <v>12499442.769999729</v>
      </c>
    </row>
    <row r="3040" spans="1:5" x14ac:dyDescent="0.25">
      <c r="A3040" s="2" t="s">
        <v>38</v>
      </c>
      <c r="B3040" s="6">
        <v>45300</v>
      </c>
      <c r="C3040" s="2" t="s">
        <v>53</v>
      </c>
      <c r="D3040" s="8">
        <v>-26.88</v>
      </c>
      <c r="E3040" s="8">
        <f>E3039+(0-26.88)</f>
        <v>12499415.889999729</v>
      </c>
    </row>
    <row r="3041" spans="1:5" x14ac:dyDescent="0.25">
      <c r="A3041" s="2" t="s">
        <v>38</v>
      </c>
      <c r="B3041" s="6">
        <v>45300</v>
      </c>
      <c r="C3041" s="2" t="s">
        <v>53</v>
      </c>
      <c r="D3041" s="8">
        <v>-450</v>
      </c>
      <c r="E3041" s="8">
        <f>E3040+(0-450)</f>
        <v>12498965.889999729</v>
      </c>
    </row>
    <row r="3042" spans="1:5" x14ac:dyDescent="0.25">
      <c r="A3042" s="2" t="s">
        <v>38</v>
      </c>
      <c r="B3042" s="6">
        <v>45301</v>
      </c>
      <c r="C3042" s="2" t="s">
        <v>53</v>
      </c>
      <c r="D3042" s="8">
        <v>-600</v>
      </c>
      <c r="E3042" s="8">
        <f>E3041+(0-600)</f>
        <v>12498365.889999729</v>
      </c>
    </row>
    <row r="3043" spans="1:5" x14ac:dyDescent="0.25">
      <c r="A3043" s="2" t="s">
        <v>38</v>
      </c>
      <c r="B3043" s="6">
        <v>45302</v>
      </c>
      <c r="C3043" s="2" t="s">
        <v>53</v>
      </c>
      <c r="D3043" s="8">
        <v>-350</v>
      </c>
      <c r="E3043" s="8">
        <f>E3042+(0-350)</f>
        <v>12498015.889999729</v>
      </c>
    </row>
    <row r="3044" spans="1:5" x14ac:dyDescent="0.25">
      <c r="A3044" s="2" t="s">
        <v>38</v>
      </c>
      <c r="B3044" s="6">
        <v>45303</v>
      </c>
      <c r="C3044" s="2" t="s">
        <v>19</v>
      </c>
      <c r="D3044" s="8">
        <v>-4</v>
      </c>
      <c r="E3044" s="8">
        <f>E3043+(0-4)</f>
        <v>12498011.889999729</v>
      </c>
    </row>
    <row r="3045" spans="1:5" x14ac:dyDescent="0.25">
      <c r="A3045" s="2" t="s">
        <v>38</v>
      </c>
      <c r="B3045" s="6">
        <v>45303</v>
      </c>
      <c r="C3045" s="2" t="s">
        <v>19</v>
      </c>
      <c r="D3045" s="8">
        <v>-40</v>
      </c>
      <c r="E3045" s="8">
        <f>E3044+(0-40)</f>
        <v>12497971.889999729</v>
      </c>
    </row>
    <row r="3046" spans="1:5" x14ac:dyDescent="0.25">
      <c r="A3046" s="2" t="s">
        <v>38</v>
      </c>
      <c r="B3046" s="6">
        <v>45303</v>
      </c>
      <c r="C3046" s="2" t="s">
        <v>19</v>
      </c>
      <c r="D3046" s="8">
        <v>-36</v>
      </c>
      <c r="E3046" s="8">
        <f>E3045+(0-36)</f>
        <v>12497935.889999729</v>
      </c>
    </row>
    <row r="3047" spans="1:5" x14ac:dyDescent="0.25">
      <c r="A3047" s="2" t="s">
        <v>38</v>
      </c>
      <c r="B3047" s="6">
        <v>45303</v>
      </c>
      <c r="C3047" s="2" t="s">
        <v>53</v>
      </c>
      <c r="D3047" s="8">
        <v>-1000</v>
      </c>
      <c r="E3047" s="8">
        <f>E3046+(0-1000)</f>
        <v>12496935.889999729</v>
      </c>
    </row>
    <row r="3048" spans="1:5" x14ac:dyDescent="0.25">
      <c r="A3048" s="2" t="s">
        <v>38</v>
      </c>
      <c r="B3048" s="6">
        <v>45303</v>
      </c>
      <c r="C3048" s="2" t="s">
        <v>19</v>
      </c>
      <c r="D3048" s="8">
        <v>-50</v>
      </c>
      <c r="E3048" s="8">
        <f>E3047+(0-50)</f>
        <v>12496885.889999729</v>
      </c>
    </row>
    <row r="3049" spans="1:5" x14ac:dyDescent="0.25">
      <c r="A3049" s="2" t="s">
        <v>38</v>
      </c>
      <c r="B3049" s="6">
        <v>45306</v>
      </c>
      <c r="C3049" s="2" t="s">
        <v>19</v>
      </c>
      <c r="D3049" s="8">
        <v>-44</v>
      </c>
      <c r="E3049" s="8">
        <f>E3048+(0-44)</f>
        <v>12496841.889999729</v>
      </c>
    </row>
    <row r="3050" spans="1:5" x14ac:dyDescent="0.25">
      <c r="A3050" s="2" t="s">
        <v>38</v>
      </c>
      <c r="B3050" s="6">
        <v>45306</v>
      </c>
      <c r="C3050" s="2" t="s">
        <v>19</v>
      </c>
      <c r="D3050" s="8">
        <v>-16</v>
      </c>
      <c r="E3050" s="8">
        <f>E3049+(0-16)</f>
        <v>12496825.889999729</v>
      </c>
    </row>
    <row r="3051" spans="1:5" x14ac:dyDescent="0.25">
      <c r="A3051" s="2" t="s">
        <v>38</v>
      </c>
      <c r="B3051" s="6">
        <v>45306</v>
      </c>
      <c r="C3051" s="2" t="s">
        <v>19</v>
      </c>
      <c r="D3051" s="8">
        <v>-76</v>
      </c>
      <c r="E3051" s="8">
        <f>E3050+(0-76)</f>
        <v>12496749.889999729</v>
      </c>
    </row>
    <row r="3052" spans="1:5" x14ac:dyDescent="0.25">
      <c r="A3052" s="2" t="s">
        <v>38</v>
      </c>
      <c r="B3052" s="6">
        <v>45306</v>
      </c>
      <c r="C3052" s="2" t="s">
        <v>19</v>
      </c>
      <c r="D3052" s="8">
        <v>-4</v>
      </c>
      <c r="E3052" s="8">
        <f>E3051+(0-4)</f>
        <v>12496745.889999729</v>
      </c>
    </row>
    <row r="3053" spans="1:5" x14ac:dyDescent="0.25">
      <c r="A3053" s="2" t="s">
        <v>38</v>
      </c>
      <c r="B3053" s="6">
        <v>45306</v>
      </c>
      <c r="C3053" s="2" t="s">
        <v>53</v>
      </c>
      <c r="D3053" s="8">
        <v>-500</v>
      </c>
      <c r="E3053" s="8">
        <f>E3052+(0-500)</f>
        <v>12496245.889999729</v>
      </c>
    </row>
    <row r="3054" spans="1:5" x14ac:dyDescent="0.25">
      <c r="A3054" s="2" t="s">
        <v>38</v>
      </c>
      <c r="B3054" s="6">
        <v>45307</v>
      </c>
      <c r="C3054" s="2" t="s">
        <v>19</v>
      </c>
      <c r="D3054" s="8">
        <v>-48</v>
      </c>
      <c r="E3054" s="8">
        <f>E3053+(0-48)</f>
        <v>12496197.889999729</v>
      </c>
    </row>
    <row r="3055" spans="1:5" x14ac:dyDescent="0.25">
      <c r="A3055" s="2" t="s">
        <v>38</v>
      </c>
      <c r="B3055" s="6">
        <v>45307</v>
      </c>
      <c r="C3055" s="2" t="s">
        <v>53</v>
      </c>
      <c r="D3055" s="8">
        <v>-26.88</v>
      </c>
      <c r="E3055" s="8">
        <f>E3054+(0-26.88)</f>
        <v>12496171.009999728</v>
      </c>
    </row>
    <row r="3056" spans="1:5" x14ac:dyDescent="0.25">
      <c r="A3056" s="2" t="s">
        <v>38</v>
      </c>
      <c r="B3056" s="6">
        <v>45307</v>
      </c>
      <c r="C3056" s="2" t="s">
        <v>53</v>
      </c>
      <c r="D3056" s="8">
        <v>-53.75</v>
      </c>
      <c r="E3056" s="8">
        <f>E3055+(0-53.75)</f>
        <v>12496117.259999728</v>
      </c>
    </row>
    <row r="3057" spans="1:5" x14ac:dyDescent="0.25">
      <c r="A3057" s="2" t="s">
        <v>38</v>
      </c>
      <c r="B3057" s="6">
        <v>45307</v>
      </c>
      <c r="C3057" s="2" t="s">
        <v>53</v>
      </c>
      <c r="D3057" s="8">
        <v>-350</v>
      </c>
      <c r="E3057" s="8">
        <f>E3056+(0-350)</f>
        <v>12495767.259999728</v>
      </c>
    </row>
    <row r="3058" spans="1:5" x14ac:dyDescent="0.25">
      <c r="A3058" s="2" t="s">
        <v>38</v>
      </c>
      <c r="B3058" s="6">
        <v>45307</v>
      </c>
      <c r="C3058" s="2" t="s">
        <v>19</v>
      </c>
      <c r="D3058" s="8">
        <v>-40</v>
      </c>
      <c r="E3058" s="8">
        <f>E3057+(0-40)</f>
        <v>12495727.259999728</v>
      </c>
    </row>
    <row r="3059" spans="1:5" x14ac:dyDescent="0.25">
      <c r="A3059" s="2" t="s">
        <v>38</v>
      </c>
      <c r="B3059" s="6">
        <v>45308</v>
      </c>
      <c r="C3059" s="2" t="s">
        <v>198</v>
      </c>
      <c r="D3059" s="8">
        <v>-225</v>
      </c>
      <c r="E3059" s="8">
        <f>E3058+(0-225)</f>
        <v>12495502.259999728</v>
      </c>
    </row>
    <row r="3060" spans="1:5" x14ac:dyDescent="0.25">
      <c r="A3060" s="2" t="s">
        <v>38</v>
      </c>
      <c r="B3060" s="6">
        <v>45308</v>
      </c>
      <c r="C3060" s="2" t="s">
        <v>199</v>
      </c>
      <c r="D3060" s="8">
        <v>-3000</v>
      </c>
      <c r="E3060" s="8">
        <f>E3059+(0-3000)</f>
        <v>12492502.259999728</v>
      </c>
    </row>
    <row r="3061" spans="1:5" x14ac:dyDescent="0.25">
      <c r="A3061" s="2" t="s">
        <v>38</v>
      </c>
      <c r="B3061" s="6">
        <v>45308</v>
      </c>
      <c r="C3061" s="2" t="s">
        <v>53</v>
      </c>
      <c r="D3061" s="8">
        <v>-53.75</v>
      </c>
      <c r="E3061" s="8">
        <f>E3060+(0-53.75)</f>
        <v>12492448.509999728</v>
      </c>
    </row>
    <row r="3062" spans="1:5" x14ac:dyDescent="0.25">
      <c r="A3062" s="2" t="s">
        <v>38</v>
      </c>
      <c r="B3062" s="6">
        <v>45308</v>
      </c>
      <c r="C3062" s="2" t="s">
        <v>53</v>
      </c>
      <c r="D3062" s="8">
        <v>-750</v>
      </c>
      <c r="E3062" s="8">
        <f>E3061+(0-750)</f>
        <v>12491698.509999728</v>
      </c>
    </row>
    <row r="3063" spans="1:5" x14ac:dyDescent="0.25">
      <c r="A3063" s="2" t="s">
        <v>38</v>
      </c>
      <c r="B3063" s="6">
        <v>45309</v>
      </c>
      <c r="C3063" s="2" t="s">
        <v>53</v>
      </c>
      <c r="D3063" s="8">
        <v>-53.75</v>
      </c>
      <c r="E3063" s="8">
        <f>E3062+(0-53.75)</f>
        <v>12491644.759999728</v>
      </c>
    </row>
    <row r="3064" spans="1:5" x14ac:dyDescent="0.25">
      <c r="A3064" s="2" t="s">
        <v>38</v>
      </c>
      <c r="B3064" s="6">
        <v>45309</v>
      </c>
      <c r="C3064" s="2" t="s">
        <v>53</v>
      </c>
      <c r="D3064" s="8">
        <v>-53.75</v>
      </c>
      <c r="E3064" s="8">
        <f>E3063+(0-53.75)</f>
        <v>12491591.009999728</v>
      </c>
    </row>
    <row r="3065" spans="1:5" x14ac:dyDescent="0.25">
      <c r="A3065" s="2" t="s">
        <v>38</v>
      </c>
      <c r="B3065" s="6">
        <v>45309</v>
      </c>
      <c r="C3065" s="2" t="s">
        <v>53</v>
      </c>
      <c r="D3065" s="8">
        <v>-400</v>
      </c>
      <c r="E3065" s="8">
        <f>E3064+(0-400)</f>
        <v>12491191.009999728</v>
      </c>
    </row>
    <row r="3066" spans="1:5" x14ac:dyDescent="0.25">
      <c r="A3066" s="2" t="s">
        <v>38</v>
      </c>
      <c r="B3066" s="6">
        <v>45309</v>
      </c>
      <c r="C3066" s="2" t="s">
        <v>53</v>
      </c>
      <c r="D3066" s="8">
        <v>-100</v>
      </c>
      <c r="E3066" s="8">
        <f>E3065+(0-100)</f>
        <v>12491091.009999728</v>
      </c>
    </row>
    <row r="3067" spans="1:5" x14ac:dyDescent="0.25">
      <c r="A3067" s="2" t="s">
        <v>38</v>
      </c>
      <c r="B3067" s="6">
        <v>45310</v>
      </c>
      <c r="C3067" s="2" t="s">
        <v>53</v>
      </c>
      <c r="D3067" s="8">
        <v>-53.75</v>
      </c>
      <c r="E3067" s="8">
        <f>E3066+(0-53.75)</f>
        <v>12491037.259999728</v>
      </c>
    </row>
    <row r="3068" spans="1:5" x14ac:dyDescent="0.25">
      <c r="A3068" s="2" t="s">
        <v>38</v>
      </c>
      <c r="B3068" s="6">
        <v>45310</v>
      </c>
      <c r="C3068" s="2" t="s">
        <v>19</v>
      </c>
      <c r="D3068" s="8">
        <v>-44</v>
      </c>
      <c r="E3068" s="8">
        <f>E3067+(0-44)</f>
        <v>12490993.259999728</v>
      </c>
    </row>
    <row r="3069" spans="1:5" x14ac:dyDescent="0.25">
      <c r="A3069" s="2" t="s">
        <v>38</v>
      </c>
      <c r="B3069" s="6">
        <v>45310</v>
      </c>
      <c r="C3069" s="2" t="s">
        <v>53</v>
      </c>
      <c r="D3069" s="8">
        <v>-50</v>
      </c>
      <c r="E3069" s="8">
        <f>E3068+(0-50)</f>
        <v>12490943.259999728</v>
      </c>
    </row>
    <row r="3070" spans="1:5" x14ac:dyDescent="0.25">
      <c r="A3070" s="2" t="s">
        <v>38</v>
      </c>
      <c r="B3070" s="6">
        <v>45310</v>
      </c>
      <c r="C3070" s="2" t="s">
        <v>19</v>
      </c>
      <c r="D3070" s="8">
        <v>-44</v>
      </c>
      <c r="E3070" s="8">
        <f>E3069+(0-44)</f>
        <v>12490899.259999728</v>
      </c>
    </row>
    <row r="3071" spans="1:5" x14ac:dyDescent="0.25">
      <c r="A3071" s="2" t="s">
        <v>38</v>
      </c>
      <c r="B3071" s="6">
        <v>45310</v>
      </c>
      <c r="C3071" s="2" t="s">
        <v>53</v>
      </c>
      <c r="D3071" s="8">
        <v>-50</v>
      </c>
      <c r="E3071" s="8">
        <f>E3070+(0-50)</f>
        <v>12490849.259999728</v>
      </c>
    </row>
    <row r="3072" spans="1:5" x14ac:dyDescent="0.25">
      <c r="A3072" s="2" t="s">
        <v>38</v>
      </c>
      <c r="B3072" s="6">
        <v>45310</v>
      </c>
      <c r="C3072" s="2" t="s">
        <v>53</v>
      </c>
      <c r="D3072" s="8">
        <v>-700</v>
      </c>
      <c r="E3072" s="8">
        <f>E3071+(0-700)</f>
        <v>12490149.259999728</v>
      </c>
    </row>
    <row r="3073" spans="1:5" x14ac:dyDescent="0.25">
      <c r="A3073" s="2" t="s">
        <v>38</v>
      </c>
      <c r="B3073" s="6">
        <v>45313</v>
      </c>
      <c r="C3073" s="2" t="s">
        <v>19</v>
      </c>
      <c r="D3073" s="8">
        <v>-32</v>
      </c>
      <c r="E3073" s="8">
        <f>E3072+(0-32)</f>
        <v>12490117.259999728</v>
      </c>
    </row>
    <row r="3074" spans="1:5" x14ac:dyDescent="0.25">
      <c r="A3074" s="2" t="s">
        <v>38</v>
      </c>
      <c r="B3074" s="6">
        <v>45313</v>
      </c>
      <c r="C3074" s="2" t="s">
        <v>19</v>
      </c>
      <c r="D3074" s="8">
        <v>-4</v>
      </c>
      <c r="E3074" s="8">
        <f>E3073+(0-4)</f>
        <v>12490113.259999728</v>
      </c>
    </row>
    <row r="3075" spans="1:5" x14ac:dyDescent="0.25">
      <c r="A3075" s="2" t="s">
        <v>38</v>
      </c>
      <c r="B3075" s="6">
        <v>45313</v>
      </c>
      <c r="C3075" s="2" t="s">
        <v>19</v>
      </c>
      <c r="D3075" s="8">
        <v>-4</v>
      </c>
      <c r="E3075" s="8">
        <f>E3074+(0-4)</f>
        <v>12490109.259999728</v>
      </c>
    </row>
    <row r="3076" spans="1:5" x14ac:dyDescent="0.25">
      <c r="A3076" s="2" t="s">
        <v>38</v>
      </c>
      <c r="B3076" s="6">
        <v>45313</v>
      </c>
      <c r="C3076" s="2" t="s">
        <v>53</v>
      </c>
      <c r="D3076" s="8">
        <v>-850</v>
      </c>
      <c r="E3076" s="8">
        <f>E3075+(0-850)</f>
        <v>12489259.259999728</v>
      </c>
    </row>
    <row r="3077" spans="1:5" x14ac:dyDescent="0.25">
      <c r="A3077" s="2" t="s">
        <v>38</v>
      </c>
      <c r="B3077" s="6">
        <v>45313</v>
      </c>
      <c r="C3077" s="2" t="s">
        <v>53</v>
      </c>
      <c r="D3077" s="8">
        <v>-53.75</v>
      </c>
      <c r="E3077" s="8">
        <f>E3076+(0-53.75)</f>
        <v>12489205.509999728</v>
      </c>
    </row>
    <row r="3078" spans="1:5" x14ac:dyDescent="0.25">
      <c r="A3078" s="2" t="s">
        <v>38</v>
      </c>
      <c r="B3078" s="6">
        <v>45314</v>
      </c>
      <c r="C3078" s="2" t="s">
        <v>19</v>
      </c>
      <c r="D3078" s="8">
        <v>-44</v>
      </c>
      <c r="E3078" s="8">
        <f>E3077+(0-44)</f>
        <v>12489161.509999728</v>
      </c>
    </row>
    <row r="3079" spans="1:5" x14ac:dyDescent="0.25">
      <c r="A3079" s="2" t="s">
        <v>38</v>
      </c>
      <c r="B3079" s="6">
        <v>45314</v>
      </c>
      <c r="C3079" s="2" t="s">
        <v>53</v>
      </c>
      <c r="D3079" s="8">
        <v>-50</v>
      </c>
      <c r="E3079" s="8">
        <f>E3078+(0-50)</f>
        <v>12489111.509999728</v>
      </c>
    </row>
    <row r="3080" spans="1:5" x14ac:dyDescent="0.25">
      <c r="A3080" s="2" t="s">
        <v>38</v>
      </c>
      <c r="B3080" s="6">
        <v>45314</v>
      </c>
      <c r="C3080" s="2" t="s">
        <v>53</v>
      </c>
      <c r="D3080" s="8">
        <v>-250</v>
      </c>
      <c r="E3080" s="8">
        <f>E3079+(0-250)</f>
        <v>12488861.509999728</v>
      </c>
    </row>
    <row r="3081" spans="1:5" x14ac:dyDescent="0.25">
      <c r="A3081" s="2" t="s">
        <v>38</v>
      </c>
      <c r="B3081" s="6">
        <v>45315</v>
      </c>
      <c r="C3081" s="2" t="s">
        <v>53</v>
      </c>
      <c r="D3081" s="8">
        <v>-500</v>
      </c>
      <c r="E3081" s="8">
        <f>E3080+(0-500)</f>
        <v>12488361.509999728</v>
      </c>
    </row>
    <row r="3082" spans="1:5" x14ac:dyDescent="0.25">
      <c r="A3082" s="2" t="s">
        <v>38</v>
      </c>
      <c r="B3082" s="6">
        <v>45316</v>
      </c>
      <c r="C3082" s="2" t="s">
        <v>19</v>
      </c>
      <c r="D3082" s="8">
        <v>-32</v>
      </c>
      <c r="E3082" s="8">
        <f>E3081+(0-32)</f>
        <v>12488329.509999728</v>
      </c>
    </row>
    <row r="3083" spans="1:5" x14ac:dyDescent="0.25">
      <c r="A3083" s="2" t="s">
        <v>38</v>
      </c>
      <c r="B3083" s="6">
        <v>45316</v>
      </c>
      <c r="C3083" s="2" t="s">
        <v>53</v>
      </c>
      <c r="D3083" s="8">
        <v>-53.75</v>
      </c>
      <c r="E3083" s="8">
        <f>E3082+(0-53.75)</f>
        <v>12488275.759999728</v>
      </c>
    </row>
    <row r="3084" spans="1:5" x14ac:dyDescent="0.25">
      <c r="A3084" s="2" t="s">
        <v>38</v>
      </c>
      <c r="B3084" s="6">
        <v>45316</v>
      </c>
      <c r="C3084" s="2" t="s">
        <v>19</v>
      </c>
      <c r="D3084" s="8">
        <v>-36</v>
      </c>
      <c r="E3084" s="8">
        <f>E3083+(0-36)</f>
        <v>12488239.759999728</v>
      </c>
    </row>
    <row r="3085" spans="1:5" x14ac:dyDescent="0.25">
      <c r="A3085" s="2" t="s">
        <v>38</v>
      </c>
      <c r="B3085" s="6">
        <v>45316</v>
      </c>
      <c r="C3085" s="2" t="s">
        <v>53</v>
      </c>
      <c r="D3085" s="8">
        <v>-50</v>
      </c>
      <c r="E3085" s="8">
        <f>E3084+(0-50)</f>
        <v>12488189.759999728</v>
      </c>
    </row>
    <row r="3086" spans="1:5" x14ac:dyDescent="0.25">
      <c r="A3086" s="2" t="s">
        <v>38</v>
      </c>
      <c r="B3086" s="6">
        <v>45316</v>
      </c>
      <c r="C3086" s="2" t="s">
        <v>53</v>
      </c>
      <c r="D3086" s="8">
        <v>-50</v>
      </c>
      <c r="E3086" s="8">
        <f>E3085+(0-50)</f>
        <v>12488139.759999728</v>
      </c>
    </row>
    <row r="3087" spans="1:5" x14ac:dyDescent="0.25">
      <c r="A3087" s="2" t="s">
        <v>38</v>
      </c>
      <c r="B3087" s="6">
        <v>45316</v>
      </c>
      <c r="C3087" s="2" t="s">
        <v>53</v>
      </c>
      <c r="D3087" s="8">
        <v>-50</v>
      </c>
      <c r="E3087" s="8">
        <f>E3086+(0-50)</f>
        <v>12488089.759999728</v>
      </c>
    </row>
    <row r="3088" spans="1:5" x14ac:dyDescent="0.25">
      <c r="A3088" s="2" t="s">
        <v>38</v>
      </c>
      <c r="B3088" s="6">
        <v>45316</v>
      </c>
      <c r="C3088" s="2" t="s">
        <v>53</v>
      </c>
      <c r="D3088" s="8">
        <v>-750</v>
      </c>
      <c r="E3088" s="8">
        <f>E3087+(0-750)</f>
        <v>12487339.759999728</v>
      </c>
    </row>
    <row r="3089" spans="1:5" x14ac:dyDescent="0.25">
      <c r="A3089" s="2" t="s">
        <v>38</v>
      </c>
      <c r="B3089" s="6">
        <v>45317</v>
      </c>
      <c r="C3089" s="2" t="s">
        <v>19</v>
      </c>
      <c r="D3089" s="8">
        <v>-76</v>
      </c>
      <c r="E3089" s="8">
        <f>E3088+(0-76)</f>
        <v>12487263.759999728</v>
      </c>
    </row>
    <row r="3090" spans="1:5" x14ac:dyDescent="0.25">
      <c r="A3090" s="2" t="s">
        <v>38</v>
      </c>
      <c r="B3090" s="6">
        <v>45317</v>
      </c>
      <c r="C3090" s="2" t="s">
        <v>53</v>
      </c>
      <c r="D3090" s="8">
        <v>-50</v>
      </c>
      <c r="E3090" s="8">
        <f>E3089+(0-50)</f>
        <v>12487213.759999728</v>
      </c>
    </row>
    <row r="3091" spans="1:5" x14ac:dyDescent="0.25">
      <c r="A3091" s="2" t="s">
        <v>38</v>
      </c>
      <c r="B3091" s="6">
        <v>45317</v>
      </c>
      <c r="C3091" s="2" t="s">
        <v>53</v>
      </c>
      <c r="D3091" s="8">
        <v>-600</v>
      </c>
      <c r="E3091" s="8">
        <f>E3090+(0-600)</f>
        <v>12486613.759999728</v>
      </c>
    </row>
    <row r="3092" spans="1:5" x14ac:dyDescent="0.25">
      <c r="A3092" s="2" t="s">
        <v>38</v>
      </c>
      <c r="B3092" s="6">
        <v>45320</v>
      </c>
      <c r="C3092" s="2" t="s">
        <v>19</v>
      </c>
      <c r="D3092" s="8">
        <v>-48</v>
      </c>
      <c r="E3092" s="8">
        <f>E3091+(0-48)</f>
        <v>12486565.759999728</v>
      </c>
    </row>
    <row r="3093" spans="1:5" x14ac:dyDescent="0.25">
      <c r="A3093" s="2" t="s">
        <v>38</v>
      </c>
      <c r="B3093" s="6">
        <v>45320</v>
      </c>
      <c r="C3093" s="2" t="s">
        <v>19</v>
      </c>
      <c r="D3093" s="8">
        <v>-4</v>
      </c>
      <c r="E3093" s="8">
        <f>E3092+(0-4)</f>
        <v>12486561.759999728</v>
      </c>
    </row>
    <row r="3094" spans="1:5" x14ac:dyDescent="0.25">
      <c r="A3094" s="2" t="s">
        <v>38</v>
      </c>
      <c r="B3094" s="6">
        <v>45320</v>
      </c>
      <c r="C3094" s="2" t="s">
        <v>19</v>
      </c>
      <c r="D3094" s="8">
        <v>-8</v>
      </c>
      <c r="E3094" s="8">
        <f>E3093+(0-8)</f>
        <v>12486553.759999728</v>
      </c>
    </row>
    <row r="3095" spans="1:5" x14ac:dyDescent="0.25">
      <c r="A3095" s="2" t="s">
        <v>38</v>
      </c>
      <c r="B3095" s="6">
        <v>45320</v>
      </c>
      <c r="C3095" s="2" t="s">
        <v>53</v>
      </c>
      <c r="D3095" s="8">
        <v>-600</v>
      </c>
      <c r="E3095" s="8">
        <f>E3094+(0-600)</f>
        <v>12485953.759999728</v>
      </c>
    </row>
    <row r="3096" spans="1:5" x14ac:dyDescent="0.25">
      <c r="A3096" s="2" t="s">
        <v>38</v>
      </c>
      <c r="B3096" s="6">
        <v>45321</v>
      </c>
      <c r="C3096" s="2" t="s">
        <v>19</v>
      </c>
      <c r="D3096" s="8">
        <v>-32</v>
      </c>
      <c r="E3096" s="8">
        <f>E3095+(0-32)</f>
        <v>12485921.759999728</v>
      </c>
    </row>
    <row r="3097" spans="1:5" x14ac:dyDescent="0.25">
      <c r="A3097" s="2" t="s">
        <v>38</v>
      </c>
      <c r="B3097" s="6">
        <v>45321</v>
      </c>
      <c r="C3097" s="2" t="s">
        <v>53</v>
      </c>
      <c r="D3097" s="8">
        <v>-10.75</v>
      </c>
      <c r="E3097" s="8">
        <f>E3096+(0-10.75)</f>
        <v>12485911.009999728</v>
      </c>
    </row>
    <row r="3098" spans="1:5" x14ac:dyDescent="0.25">
      <c r="A3098" s="2" t="s">
        <v>38</v>
      </c>
      <c r="B3098" s="6">
        <v>45321</v>
      </c>
      <c r="C3098" s="2" t="s">
        <v>53</v>
      </c>
      <c r="D3098" s="8">
        <v>-50</v>
      </c>
      <c r="E3098" s="8">
        <f>E3097+(0-50)</f>
        <v>12485861.009999728</v>
      </c>
    </row>
    <row r="3099" spans="1:5" x14ac:dyDescent="0.25">
      <c r="A3099" s="2" t="s">
        <v>38</v>
      </c>
      <c r="B3099" s="6">
        <v>45321</v>
      </c>
      <c r="C3099" s="2" t="s">
        <v>53</v>
      </c>
      <c r="D3099" s="8">
        <v>-50</v>
      </c>
      <c r="E3099" s="8">
        <f>E3098+(0-50)</f>
        <v>12485811.009999728</v>
      </c>
    </row>
    <row r="3100" spans="1:5" x14ac:dyDescent="0.25">
      <c r="A3100" s="2" t="s">
        <v>38</v>
      </c>
      <c r="B3100" s="6">
        <v>45321</v>
      </c>
      <c r="C3100" s="2" t="s">
        <v>53</v>
      </c>
      <c r="D3100" s="8">
        <v>-200</v>
      </c>
      <c r="E3100" s="8">
        <f>E3099+(0-200)</f>
        <v>12485611.009999728</v>
      </c>
    </row>
    <row r="3101" spans="1:5" x14ac:dyDescent="0.25">
      <c r="A3101" s="2" t="s">
        <v>38</v>
      </c>
      <c r="B3101" s="6">
        <v>45322</v>
      </c>
      <c r="C3101" s="2" t="s">
        <v>19</v>
      </c>
      <c r="D3101" s="8">
        <v>-20</v>
      </c>
      <c r="E3101" s="8">
        <f>E3100+(0-20)</f>
        <v>12485591.009999728</v>
      </c>
    </row>
    <row r="3102" spans="1:5" x14ac:dyDescent="0.25">
      <c r="A3102" s="2" t="s">
        <v>38</v>
      </c>
      <c r="B3102" s="6">
        <v>45322</v>
      </c>
      <c r="C3102" s="2" t="s">
        <v>53</v>
      </c>
      <c r="D3102" s="8">
        <v>-53.75</v>
      </c>
      <c r="E3102" s="8">
        <f>E3101+(0-53.75)</f>
        <v>12485537.259999728</v>
      </c>
    </row>
    <row r="3103" spans="1:5" x14ac:dyDescent="0.25">
      <c r="A3103" s="2" t="s">
        <v>38</v>
      </c>
      <c r="B3103" s="6">
        <v>45322</v>
      </c>
      <c r="C3103" s="2" t="s">
        <v>53</v>
      </c>
      <c r="D3103" s="8">
        <v>-26.88</v>
      </c>
      <c r="E3103" s="8">
        <f>E3102+(0-26.88)</f>
        <v>12485510.379999727</v>
      </c>
    </row>
    <row r="3104" spans="1:5" x14ac:dyDescent="0.25">
      <c r="A3104" s="2" t="s">
        <v>38</v>
      </c>
      <c r="B3104" s="6">
        <v>45322</v>
      </c>
      <c r="C3104" s="2" t="s">
        <v>53</v>
      </c>
      <c r="D3104" s="8">
        <v>-53.75</v>
      </c>
      <c r="E3104" s="8">
        <f>E3103+(0-53.75)</f>
        <v>12485456.629999727</v>
      </c>
    </row>
    <row r="3105" spans="1:5" x14ac:dyDescent="0.25">
      <c r="A3105" s="2" t="s">
        <v>38</v>
      </c>
      <c r="B3105" s="6">
        <v>45322</v>
      </c>
      <c r="C3105" s="2" t="s">
        <v>53</v>
      </c>
      <c r="D3105" s="8">
        <v>-53.75</v>
      </c>
      <c r="E3105" s="8">
        <f>E3104+(0-53.75)</f>
        <v>12485402.879999727</v>
      </c>
    </row>
    <row r="3106" spans="1:5" x14ac:dyDescent="0.25">
      <c r="A3106" s="2" t="s">
        <v>38</v>
      </c>
      <c r="B3106" s="6">
        <v>45322</v>
      </c>
      <c r="C3106" s="2" t="s">
        <v>53</v>
      </c>
      <c r="D3106" s="8">
        <v>-26.88</v>
      </c>
      <c r="E3106" s="8">
        <f>E3105+(0-26.88)</f>
        <v>12485375.999999726</v>
      </c>
    </row>
    <row r="3107" spans="1:5" x14ac:dyDescent="0.25">
      <c r="A3107" s="2" t="s">
        <v>38</v>
      </c>
      <c r="B3107" s="6">
        <v>45322</v>
      </c>
      <c r="C3107" s="2" t="s">
        <v>53</v>
      </c>
      <c r="D3107" s="8">
        <v>-53.75</v>
      </c>
      <c r="E3107" s="8">
        <f>E3106+(0-53.75)</f>
        <v>12485322.249999726</v>
      </c>
    </row>
    <row r="3108" spans="1:5" x14ac:dyDescent="0.25">
      <c r="A3108" s="2" t="s">
        <v>38</v>
      </c>
      <c r="B3108" s="6">
        <v>45322</v>
      </c>
      <c r="C3108" s="2" t="s">
        <v>53</v>
      </c>
      <c r="D3108" s="8">
        <v>-53.75</v>
      </c>
      <c r="E3108" s="8">
        <f>E3107+(0-53.75)</f>
        <v>12485268.499999726</v>
      </c>
    </row>
    <row r="3109" spans="1:5" x14ac:dyDescent="0.25">
      <c r="A3109" s="2" t="s">
        <v>38</v>
      </c>
      <c r="B3109" s="6">
        <v>45322</v>
      </c>
      <c r="C3109" s="2" t="s">
        <v>53</v>
      </c>
      <c r="D3109" s="8">
        <v>-53.75</v>
      </c>
      <c r="E3109" s="8">
        <f>E3108+(0-53.75)</f>
        <v>12485214.749999726</v>
      </c>
    </row>
    <row r="3110" spans="1:5" x14ac:dyDescent="0.25">
      <c r="A3110" s="2" t="s">
        <v>38</v>
      </c>
      <c r="B3110" s="6">
        <v>45322</v>
      </c>
      <c r="C3110" s="2" t="s">
        <v>53</v>
      </c>
      <c r="D3110" s="8">
        <v>-26.88</v>
      </c>
      <c r="E3110" s="8">
        <f>E3109+(0-26.88)</f>
        <v>12485187.869999725</v>
      </c>
    </row>
    <row r="3111" spans="1:5" x14ac:dyDescent="0.25">
      <c r="A3111" s="2" t="s">
        <v>38</v>
      </c>
      <c r="B3111" s="6">
        <v>45322</v>
      </c>
      <c r="C3111" s="2" t="s">
        <v>53</v>
      </c>
      <c r="D3111" s="8">
        <v>-53.75</v>
      </c>
      <c r="E3111" s="8">
        <f>E3110+(0-53.75)</f>
        <v>12485134.119999725</v>
      </c>
    </row>
    <row r="3112" spans="1:5" x14ac:dyDescent="0.25">
      <c r="A3112" s="2" t="s">
        <v>38</v>
      </c>
      <c r="B3112" s="6">
        <v>45322</v>
      </c>
      <c r="C3112" s="2" t="s">
        <v>53</v>
      </c>
      <c r="D3112" s="8">
        <v>-50</v>
      </c>
      <c r="E3112" s="8">
        <f>E3111+(0-50)</f>
        <v>12485084.119999725</v>
      </c>
    </row>
    <row r="3113" spans="1:5" x14ac:dyDescent="0.25">
      <c r="A3113" s="2" t="s">
        <v>38</v>
      </c>
      <c r="B3113" s="6">
        <v>45322</v>
      </c>
      <c r="C3113" s="2" t="s">
        <v>53</v>
      </c>
      <c r="D3113" s="8">
        <v>-150</v>
      </c>
      <c r="E3113" s="8">
        <f>E3112+(0-150)</f>
        <v>12484934.119999725</v>
      </c>
    </row>
    <row r="3114" spans="1:5" x14ac:dyDescent="0.25">
      <c r="A3114" s="2" t="s">
        <v>38</v>
      </c>
      <c r="B3114" s="6">
        <v>45323</v>
      </c>
      <c r="C3114" s="2" t="s">
        <v>53</v>
      </c>
      <c r="D3114" s="8">
        <v>-50</v>
      </c>
      <c r="E3114" s="8">
        <f>E3113+(0-50)</f>
        <v>12484884.119999725</v>
      </c>
    </row>
    <row r="3115" spans="1:5" x14ac:dyDescent="0.25">
      <c r="A3115" s="2" t="s">
        <v>38</v>
      </c>
      <c r="B3115" s="6">
        <v>45323</v>
      </c>
      <c r="C3115" s="2" t="s">
        <v>19</v>
      </c>
      <c r="D3115" s="8">
        <v>-112</v>
      </c>
      <c r="E3115" s="8">
        <f>E3114+(0-112)</f>
        <v>12484772.119999725</v>
      </c>
    </row>
    <row r="3116" spans="1:5" x14ac:dyDescent="0.25">
      <c r="A3116" s="2" t="s">
        <v>38</v>
      </c>
      <c r="B3116" s="6">
        <v>45323</v>
      </c>
      <c r="C3116" s="2" t="s">
        <v>53</v>
      </c>
      <c r="D3116" s="8">
        <v>-53.75</v>
      </c>
      <c r="E3116" s="8">
        <f>E3115+(0-53.75)</f>
        <v>12484718.369999725</v>
      </c>
    </row>
    <row r="3117" spans="1:5" x14ac:dyDescent="0.25">
      <c r="A3117" s="2" t="s">
        <v>38</v>
      </c>
      <c r="B3117" s="6">
        <v>45323</v>
      </c>
      <c r="C3117" s="2" t="s">
        <v>53</v>
      </c>
      <c r="D3117" s="8">
        <v>-50</v>
      </c>
      <c r="E3117" s="8">
        <f>E3116+(0-50)</f>
        <v>12484668.369999725</v>
      </c>
    </row>
    <row r="3118" spans="1:5" x14ac:dyDescent="0.25">
      <c r="A3118" s="2" t="s">
        <v>38</v>
      </c>
      <c r="B3118" s="6">
        <v>45323</v>
      </c>
      <c r="C3118" s="2" t="s">
        <v>53</v>
      </c>
      <c r="D3118" s="8">
        <v>-750</v>
      </c>
      <c r="E3118" s="8">
        <f>E3117+(0-750)</f>
        <v>12483918.369999725</v>
      </c>
    </row>
    <row r="3119" spans="1:5" x14ac:dyDescent="0.25">
      <c r="A3119" s="2" t="s">
        <v>38</v>
      </c>
      <c r="B3119" s="6">
        <v>45324</v>
      </c>
      <c r="C3119" s="2" t="s">
        <v>19</v>
      </c>
      <c r="D3119" s="8">
        <v>-60</v>
      </c>
      <c r="E3119" s="8">
        <f>E3118+(0-60)</f>
        <v>12483858.369999725</v>
      </c>
    </row>
    <row r="3120" spans="1:5" x14ac:dyDescent="0.25">
      <c r="A3120" s="2" t="s">
        <v>38</v>
      </c>
      <c r="B3120" s="6">
        <v>45324</v>
      </c>
      <c r="C3120" s="2" t="s">
        <v>53</v>
      </c>
      <c r="D3120" s="8">
        <v>-53.75</v>
      </c>
      <c r="E3120" s="8">
        <f>E3119+(0-53.75)</f>
        <v>12483804.619999725</v>
      </c>
    </row>
    <row r="3121" spans="1:5" x14ac:dyDescent="0.25">
      <c r="A3121" s="2" t="s">
        <v>38</v>
      </c>
      <c r="B3121" s="6">
        <v>45324</v>
      </c>
      <c r="C3121" s="2" t="s">
        <v>53</v>
      </c>
      <c r="D3121" s="8">
        <v>-50</v>
      </c>
      <c r="E3121" s="8">
        <f>E3120+(0-50)</f>
        <v>12483754.619999725</v>
      </c>
    </row>
    <row r="3122" spans="1:5" x14ac:dyDescent="0.25">
      <c r="A3122" s="2" t="s">
        <v>38</v>
      </c>
      <c r="B3122" s="6">
        <v>45324</v>
      </c>
      <c r="C3122" s="2" t="s">
        <v>53</v>
      </c>
      <c r="D3122" s="8">
        <v>-350</v>
      </c>
      <c r="E3122" s="8">
        <f>E3121+(0-350)</f>
        <v>12483404.619999725</v>
      </c>
    </row>
    <row r="3123" spans="1:5" x14ac:dyDescent="0.25">
      <c r="A3123" s="2" t="s">
        <v>38</v>
      </c>
      <c r="B3123" s="6">
        <v>45324</v>
      </c>
      <c r="C3123" s="2" t="s">
        <v>53</v>
      </c>
      <c r="D3123" s="8">
        <v>-400</v>
      </c>
      <c r="E3123" s="8">
        <f>E3122+(0-400)</f>
        <v>12483004.619999725</v>
      </c>
    </row>
    <row r="3124" spans="1:5" x14ac:dyDescent="0.25">
      <c r="A3124" s="2" t="s">
        <v>38</v>
      </c>
      <c r="B3124" s="6">
        <v>45327</v>
      </c>
      <c r="C3124" s="2" t="s">
        <v>19</v>
      </c>
      <c r="D3124" s="8">
        <v>-56</v>
      </c>
      <c r="E3124" s="8">
        <f>E3123+(0-56)</f>
        <v>12482948.619999725</v>
      </c>
    </row>
    <row r="3125" spans="1:5" x14ac:dyDescent="0.25">
      <c r="A3125" s="2" t="s">
        <v>38</v>
      </c>
      <c r="B3125" s="6">
        <v>45327</v>
      </c>
      <c r="C3125" s="2" t="s">
        <v>19</v>
      </c>
      <c r="D3125" s="8">
        <v>-12</v>
      </c>
      <c r="E3125" s="8">
        <f>E3124+(0-12)</f>
        <v>12482936.619999725</v>
      </c>
    </row>
    <row r="3126" spans="1:5" x14ac:dyDescent="0.25">
      <c r="A3126" s="2" t="s">
        <v>38</v>
      </c>
      <c r="B3126" s="6">
        <v>45327</v>
      </c>
      <c r="C3126" s="2" t="s">
        <v>53</v>
      </c>
      <c r="D3126" s="8">
        <v>-700</v>
      </c>
      <c r="E3126" s="8">
        <f>E3125+(0-700)</f>
        <v>12482236.619999725</v>
      </c>
    </row>
    <row r="3127" spans="1:5" x14ac:dyDescent="0.25">
      <c r="A3127" s="2" t="s">
        <v>38</v>
      </c>
      <c r="B3127" s="6">
        <v>45328</v>
      </c>
      <c r="C3127" s="2" t="s">
        <v>53</v>
      </c>
      <c r="D3127" s="8">
        <v>-550</v>
      </c>
      <c r="E3127" s="8">
        <f>E3126+(0-550)</f>
        <v>12481686.619999725</v>
      </c>
    </row>
    <row r="3128" spans="1:5" x14ac:dyDescent="0.25">
      <c r="A3128" s="2" t="s">
        <v>38</v>
      </c>
      <c r="B3128" s="6">
        <v>45329</v>
      </c>
      <c r="C3128" s="2" t="s">
        <v>19</v>
      </c>
      <c r="D3128" s="8">
        <v>-40</v>
      </c>
      <c r="E3128" s="8">
        <f>E3127+(0-40)</f>
        <v>12481646.619999725</v>
      </c>
    </row>
    <row r="3129" spans="1:5" x14ac:dyDescent="0.25">
      <c r="A3129" s="2" t="s">
        <v>38</v>
      </c>
      <c r="B3129" s="6">
        <v>45329</v>
      </c>
      <c r="C3129" s="2" t="s">
        <v>19</v>
      </c>
      <c r="D3129" s="8">
        <v>-48</v>
      </c>
      <c r="E3129" s="8">
        <f>E3128+(0-48)</f>
        <v>12481598.619999725</v>
      </c>
    </row>
    <row r="3130" spans="1:5" x14ac:dyDescent="0.25">
      <c r="A3130" s="2" t="s">
        <v>38</v>
      </c>
      <c r="B3130" s="6">
        <v>45329</v>
      </c>
      <c r="C3130" s="2" t="s">
        <v>53</v>
      </c>
      <c r="D3130" s="8">
        <v>-53.75</v>
      </c>
      <c r="E3130" s="8">
        <f>E3129+(0-53.75)</f>
        <v>12481544.869999725</v>
      </c>
    </row>
    <row r="3131" spans="1:5" x14ac:dyDescent="0.25">
      <c r="A3131" s="2" t="s">
        <v>38</v>
      </c>
      <c r="B3131" s="6">
        <v>45329</v>
      </c>
      <c r="C3131" s="2" t="s">
        <v>53</v>
      </c>
      <c r="D3131" s="8">
        <v>-400</v>
      </c>
      <c r="E3131" s="8">
        <f>E3130+(0-400)</f>
        <v>12481144.869999725</v>
      </c>
    </row>
    <row r="3132" spans="1:5" x14ac:dyDescent="0.25">
      <c r="A3132" s="2" t="s">
        <v>38</v>
      </c>
      <c r="B3132" s="6">
        <v>45329</v>
      </c>
      <c r="C3132" s="2" t="s">
        <v>53</v>
      </c>
      <c r="D3132" s="8">
        <v>-50</v>
      </c>
      <c r="E3132" s="8">
        <f>E3131+(0-50)</f>
        <v>12481094.869999725</v>
      </c>
    </row>
    <row r="3133" spans="1:5" x14ac:dyDescent="0.25">
      <c r="A3133" s="2" t="s">
        <v>38</v>
      </c>
      <c r="B3133" s="6">
        <v>45330</v>
      </c>
      <c r="C3133" s="2" t="s">
        <v>19</v>
      </c>
      <c r="D3133" s="8">
        <v>-32</v>
      </c>
      <c r="E3133" s="8">
        <f>E3132+(0-32)</f>
        <v>12481062.869999725</v>
      </c>
    </row>
    <row r="3134" spans="1:5" x14ac:dyDescent="0.25">
      <c r="A3134" s="2" t="s">
        <v>38</v>
      </c>
      <c r="B3134" s="6">
        <v>45330</v>
      </c>
      <c r="C3134" s="2" t="s">
        <v>53</v>
      </c>
      <c r="D3134" s="8">
        <v>-53.75</v>
      </c>
      <c r="E3134" s="8">
        <f>E3133+(0-53.75)</f>
        <v>12481009.119999725</v>
      </c>
    </row>
    <row r="3135" spans="1:5" x14ac:dyDescent="0.25">
      <c r="A3135" s="2" t="s">
        <v>38</v>
      </c>
      <c r="B3135" s="6">
        <v>45330</v>
      </c>
      <c r="C3135" s="2" t="s">
        <v>53</v>
      </c>
      <c r="D3135" s="8">
        <v>-26.88</v>
      </c>
      <c r="E3135" s="8">
        <f>E3134+(0-26.88)</f>
        <v>12480982.239999725</v>
      </c>
    </row>
    <row r="3136" spans="1:5" x14ac:dyDescent="0.25">
      <c r="A3136" s="2" t="s">
        <v>38</v>
      </c>
      <c r="B3136" s="6">
        <v>45330</v>
      </c>
      <c r="C3136" s="2" t="s">
        <v>53</v>
      </c>
      <c r="D3136" s="8">
        <v>-53.75</v>
      </c>
      <c r="E3136" s="8">
        <f>E3135+(0-53.75)</f>
        <v>12480928.489999725</v>
      </c>
    </row>
    <row r="3137" spans="1:5" x14ac:dyDescent="0.25">
      <c r="A3137" s="2" t="s">
        <v>38</v>
      </c>
      <c r="B3137" s="6">
        <v>45330</v>
      </c>
      <c r="C3137" s="2" t="s">
        <v>53</v>
      </c>
      <c r="D3137" s="8">
        <v>-53.75</v>
      </c>
      <c r="E3137" s="8">
        <f>E3136+(0-53.75)</f>
        <v>12480874.739999725</v>
      </c>
    </row>
    <row r="3138" spans="1:5" x14ac:dyDescent="0.25">
      <c r="A3138" s="2" t="s">
        <v>38</v>
      </c>
      <c r="B3138" s="6">
        <v>45330</v>
      </c>
      <c r="C3138" s="2" t="s">
        <v>53</v>
      </c>
      <c r="D3138" s="8">
        <v>-700</v>
      </c>
      <c r="E3138" s="8">
        <f>E3137+(0-700)</f>
        <v>12480174.739999725</v>
      </c>
    </row>
    <row r="3139" spans="1:5" x14ac:dyDescent="0.25">
      <c r="A3139" s="2" t="s">
        <v>38</v>
      </c>
      <c r="B3139" s="6">
        <v>45331</v>
      </c>
      <c r="C3139" s="2" t="s">
        <v>19</v>
      </c>
      <c r="D3139" s="8">
        <v>-76</v>
      </c>
      <c r="E3139" s="8">
        <f>E3138+(0-76)</f>
        <v>12480098.739999725</v>
      </c>
    </row>
    <row r="3140" spans="1:5" x14ac:dyDescent="0.25">
      <c r="A3140" s="2" t="s">
        <v>38</v>
      </c>
      <c r="B3140" s="6">
        <v>45331</v>
      </c>
      <c r="C3140" s="2" t="s">
        <v>53</v>
      </c>
      <c r="D3140" s="8">
        <v>-53.75</v>
      </c>
      <c r="E3140" s="8">
        <f>E3139+(0-53.75)</f>
        <v>12480044.989999725</v>
      </c>
    </row>
    <row r="3141" spans="1:5" x14ac:dyDescent="0.25">
      <c r="A3141" s="2" t="s">
        <v>38</v>
      </c>
      <c r="B3141" s="6">
        <v>45331</v>
      </c>
      <c r="C3141" s="2" t="s">
        <v>53</v>
      </c>
      <c r="D3141" s="8">
        <v>-53.75</v>
      </c>
      <c r="E3141" s="8">
        <f>E3140+(0-53.75)</f>
        <v>12479991.239999725</v>
      </c>
    </row>
    <row r="3142" spans="1:5" x14ac:dyDescent="0.25">
      <c r="A3142" s="2" t="s">
        <v>38</v>
      </c>
      <c r="B3142" s="6">
        <v>45331</v>
      </c>
      <c r="C3142" s="2" t="s">
        <v>53</v>
      </c>
      <c r="D3142" s="8">
        <v>-53.75</v>
      </c>
      <c r="E3142" s="8">
        <f>E3141+(0-53.75)</f>
        <v>12479937.489999725</v>
      </c>
    </row>
    <row r="3143" spans="1:5" x14ac:dyDescent="0.25">
      <c r="A3143" s="2" t="s">
        <v>38</v>
      </c>
      <c r="B3143" s="6">
        <v>45331</v>
      </c>
      <c r="C3143" s="2" t="s">
        <v>53</v>
      </c>
      <c r="D3143" s="8">
        <v>-53.75</v>
      </c>
      <c r="E3143" s="8">
        <f>E3142+(0-53.75)</f>
        <v>12479883.739999725</v>
      </c>
    </row>
    <row r="3144" spans="1:5" x14ac:dyDescent="0.25">
      <c r="A3144" s="2" t="s">
        <v>38</v>
      </c>
      <c r="B3144" s="6">
        <v>45331</v>
      </c>
      <c r="C3144" s="2" t="s">
        <v>53</v>
      </c>
      <c r="D3144" s="8">
        <v>-26.88</v>
      </c>
      <c r="E3144" s="8">
        <f>E3143+(0-26.88)</f>
        <v>12479856.859999724</v>
      </c>
    </row>
    <row r="3145" spans="1:5" x14ac:dyDescent="0.25">
      <c r="A3145" s="2" t="s">
        <v>38</v>
      </c>
      <c r="B3145" s="6">
        <v>45331</v>
      </c>
      <c r="C3145" s="2" t="s">
        <v>53</v>
      </c>
      <c r="D3145" s="8">
        <v>-600</v>
      </c>
      <c r="E3145" s="8">
        <f>E3144+(0-600)</f>
        <v>12479256.859999724</v>
      </c>
    </row>
    <row r="3146" spans="1:5" x14ac:dyDescent="0.25">
      <c r="A3146" s="2" t="s">
        <v>38</v>
      </c>
      <c r="B3146" s="6">
        <v>45334</v>
      </c>
      <c r="C3146" s="2" t="s">
        <v>19</v>
      </c>
      <c r="D3146" s="8">
        <v>-60</v>
      </c>
      <c r="E3146" s="8">
        <f>E3145+(0-60)</f>
        <v>12479196.859999724</v>
      </c>
    </row>
    <row r="3147" spans="1:5" x14ac:dyDescent="0.25">
      <c r="A3147" s="2" t="s">
        <v>38</v>
      </c>
      <c r="B3147" s="6">
        <v>45334</v>
      </c>
      <c r="C3147" s="2" t="s">
        <v>19</v>
      </c>
      <c r="D3147" s="8">
        <v>-8</v>
      </c>
      <c r="E3147" s="8">
        <f>E3146+(0-8)</f>
        <v>12479188.859999724</v>
      </c>
    </row>
    <row r="3148" spans="1:5" x14ac:dyDescent="0.25">
      <c r="A3148" s="2" t="s">
        <v>38</v>
      </c>
      <c r="B3148" s="6">
        <v>45334</v>
      </c>
      <c r="C3148" s="2" t="s">
        <v>19</v>
      </c>
      <c r="D3148" s="8">
        <v>-8</v>
      </c>
      <c r="E3148" s="8">
        <f>E3147+(0-8)</f>
        <v>12479180.859999724</v>
      </c>
    </row>
    <row r="3149" spans="1:5" x14ac:dyDescent="0.25">
      <c r="A3149" s="2" t="s">
        <v>38</v>
      </c>
      <c r="B3149" s="6">
        <v>45334</v>
      </c>
      <c r="C3149" s="2" t="s">
        <v>53</v>
      </c>
      <c r="D3149" s="8">
        <v>-53.75</v>
      </c>
      <c r="E3149" s="8">
        <f>E3148+(0-53.75)</f>
        <v>12479127.109999724</v>
      </c>
    </row>
    <row r="3150" spans="1:5" x14ac:dyDescent="0.25">
      <c r="A3150" s="2" t="s">
        <v>38</v>
      </c>
      <c r="B3150" s="6">
        <v>45334</v>
      </c>
      <c r="C3150" s="2" t="s">
        <v>53</v>
      </c>
      <c r="D3150" s="8">
        <v>-50</v>
      </c>
      <c r="E3150" s="8">
        <f>E3149+(0-50)</f>
        <v>12479077.109999724</v>
      </c>
    </row>
    <row r="3151" spans="1:5" x14ac:dyDescent="0.25">
      <c r="A3151" s="2" t="s">
        <v>38</v>
      </c>
      <c r="B3151" s="6">
        <v>45334</v>
      </c>
      <c r="C3151" s="2" t="s">
        <v>53</v>
      </c>
      <c r="D3151" s="8">
        <v>-600</v>
      </c>
      <c r="E3151" s="8">
        <f>E3150+(0-600)</f>
        <v>12478477.109999724</v>
      </c>
    </row>
    <row r="3152" spans="1:5" x14ac:dyDescent="0.25">
      <c r="A3152" s="2" t="s">
        <v>38</v>
      </c>
      <c r="B3152" s="6">
        <v>45335</v>
      </c>
      <c r="C3152" s="2" t="s">
        <v>19</v>
      </c>
      <c r="D3152" s="8">
        <v>-32</v>
      </c>
      <c r="E3152" s="8">
        <f>E3151+(0-32)</f>
        <v>12478445.109999724</v>
      </c>
    </row>
    <row r="3153" spans="1:5" x14ac:dyDescent="0.25">
      <c r="A3153" s="2" t="s">
        <v>38</v>
      </c>
      <c r="B3153" s="6">
        <v>45335</v>
      </c>
      <c r="C3153" s="2" t="s">
        <v>53</v>
      </c>
      <c r="D3153" s="8">
        <v>-53.75</v>
      </c>
      <c r="E3153" s="8">
        <f>E3152+(0-53.75)</f>
        <v>12478391.359999724</v>
      </c>
    </row>
    <row r="3154" spans="1:5" x14ac:dyDescent="0.25">
      <c r="A3154" s="2" t="s">
        <v>38</v>
      </c>
      <c r="B3154" s="6">
        <v>45335</v>
      </c>
      <c r="C3154" s="2" t="s">
        <v>53</v>
      </c>
      <c r="D3154" s="8">
        <v>-650</v>
      </c>
      <c r="E3154" s="8">
        <f>E3153+(0-650)</f>
        <v>12477741.359999724</v>
      </c>
    </row>
    <row r="3155" spans="1:5" x14ac:dyDescent="0.25">
      <c r="A3155" s="2" t="s">
        <v>38</v>
      </c>
      <c r="B3155" s="6">
        <v>45336</v>
      </c>
      <c r="C3155" s="2" t="s">
        <v>19</v>
      </c>
      <c r="D3155" s="8">
        <v>-68</v>
      </c>
      <c r="E3155" s="8">
        <f>E3154+(0-68)</f>
        <v>12477673.359999724</v>
      </c>
    </row>
    <row r="3156" spans="1:5" x14ac:dyDescent="0.25">
      <c r="A3156" s="2" t="s">
        <v>38</v>
      </c>
      <c r="B3156" s="6">
        <v>45336</v>
      </c>
      <c r="C3156" s="2" t="s">
        <v>53</v>
      </c>
      <c r="D3156" s="8">
        <v>-53.75</v>
      </c>
      <c r="E3156" s="8">
        <f>E3155+(0-53.75)</f>
        <v>12477619.609999724</v>
      </c>
    </row>
    <row r="3157" spans="1:5" x14ac:dyDescent="0.25">
      <c r="A3157" s="2" t="s">
        <v>38</v>
      </c>
      <c r="B3157" s="6">
        <v>45336</v>
      </c>
      <c r="C3157" s="2" t="s">
        <v>53</v>
      </c>
      <c r="D3157" s="8">
        <v>-550</v>
      </c>
      <c r="E3157" s="8">
        <f>E3156+(0-550)</f>
        <v>12477069.609999724</v>
      </c>
    </row>
    <row r="3158" spans="1:5" x14ac:dyDescent="0.25">
      <c r="A3158" s="2" t="s">
        <v>38</v>
      </c>
      <c r="B3158" s="6">
        <v>45337</v>
      </c>
      <c r="C3158" s="2" t="s">
        <v>53</v>
      </c>
      <c r="D3158" s="8">
        <v>-53.75</v>
      </c>
      <c r="E3158" s="8">
        <f>E3157+(0-53.75)</f>
        <v>12477015.859999724</v>
      </c>
    </row>
    <row r="3159" spans="1:5" x14ac:dyDescent="0.25">
      <c r="A3159" s="2" t="s">
        <v>38</v>
      </c>
      <c r="B3159" s="6">
        <v>45337</v>
      </c>
      <c r="C3159" s="2" t="s">
        <v>53</v>
      </c>
      <c r="D3159" s="8">
        <v>-500</v>
      </c>
      <c r="E3159" s="8">
        <f>E3158+(0-500)</f>
        <v>12476515.859999724</v>
      </c>
    </row>
    <row r="3160" spans="1:5" x14ac:dyDescent="0.25">
      <c r="A3160" s="2" t="s">
        <v>38</v>
      </c>
      <c r="B3160" s="6">
        <v>45338</v>
      </c>
      <c r="C3160" s="2" t="s">
        <v>19</v>
      </c>
      <c r="D3160" s="8">
        <v>-40</v>
      </c>
      <c r="E3160" s="8">
        <f>E3159+(0-40)</f>
        <v>12476475.859999724</v>
      </c>
    </row>
    <row r="3161" spans="1:5" x14ac:dyDescent="0.25">
      <c r="A3161" s="2" t="s">
        <v>38</v>
      </c>
      <c r="B3161" s="6">
        <v>45338</v>
      </c>
      <c r="C3161" s="2" t="s">
        <v>19</v>
      </c>
      <c r="D3161" s="8">
        <v>-44</v>
      </c>
      <c r="E3161" s="8">
        <f>E3160+(0-44)</f>
        <v>12476431.859999724</v>
      </c>
    </row>
    <row r="3162" spans="1:5" x14ac:dyDescent="0.25">
      <c r="A3162" s="2" t="s">
        <v>38</v>
      </c>
      <c r="B3162" s="6">
        <v>45338</v>
      </c>
      <c r="C3162" s="2" t="s">
        <v>53</v>
      </c>
      <c r="D3162" s="8">
        <v>-53.75</v>
      </c>
      <c r="E3162" s="8">
        <f>E3161+(0-53.75)</f>
        <v>12476378.109999724</v>
      </c>
    </row>
    <row r="3163" spans="1:5" x14ac:dyDescent="0.25">
      <c r="A3163" s="2" t="s">
        <v>38</v>
      </c>
      <c r="B3163" s="6">
        <v>45338</v>
      </c>
      <c r="C3163" s="2" t="s">
        <v>53</v>
      </c>
      <c r="D3163" s="8">
        <v>-26.88</v>
      </c>
      <c r="E3163" s="8">
        <f>E3162+(0-26.88)</f>
        <v>12476351.229999723</v>
      </c>
    </row>
    <row r="3164" spans="1:5" x14ac:dyDescent="0.25">
      <c r="A3164" s="2" t="s">
        <v>38</v>
      </c>
      <c r="B3164" s="6">
        <v>45338</v>
      </c>
      <c r="C3164" s="2" t="s">
        <v>53</v>
      </c>
      <c r="D3164" s="8">
        <v>-600</v>
      </c>
      <c r="E3164" s="8">
        <f>E3163+(0-600)</f>
        <v>12475751.229999723</v>
      </c>
    </row>
    <row r="3165" spans="1:5" x14ac:dyDescent="0.25">
      <c r="A3165" s="2" t="s">
        <v>38</v>
      </c>
      <c r="B3165" s="6">
        <v>45338</v>
      </c>
      <c r="C3165" s="2" t="s">
        <v>53</v>
      </c>
      <c r="D3165" s="8">
        <v>-200</v>
      </c>
      <c r="E3165" s="8">
        <f>E3164+(0-200)</f>
        <v>12475551.229999723</v>
      </c>
    </row>
    <row r="3166" spans="1:5" x14ac:dyDescent="0.25">
      <c r="A3166" s="2" t="s">
        <v>38</v>
      </c>
      <c r="B3166" s="6">
        <v>45341</v>
      </c>
      <c r="C3166" s="2" t="s">
        <v>19</v>
      </c>
      <c r="D3166" s="8">
        <v>-48</v>
      </c>
      <c r="E3166" s="8">
        <f>E3165+(0-48)</f>
        <v>12475503.229999723</v>
      </c>
    </row>
    <row r="3167" spans="1:5" x14ac:dyDescent="0.25">
      <c r="A3167" s="2" t="s">
        <v>38</v>
      </c>
      <c r="B3167" s="6">
        <v>45341</v>
      </c>
      <c r="C3167" s="2" t="s">
        <v>53</v>
      </c>
      <c r="D3167" s="8">
        <v>-26.88</v>
      </c>
      <c r="E3167" s="8">
        <f>E3166+(0-26.88)</f>
        <v>12475476.349999722</v>
      </c>
    </row>
    <row r="3168" spans="1:5" x14ac:dyDescent="0.25">
      <c r="A3168" s="2" t="s">
        <v>38</v>
      </c>
      <c r="B3168" s="6">
        <v>45341</v>
      </c>
      <c r="C3168" s="2" t="s">
        <v>19</v>
      </c>
      <c r="D3168" s="8">
        <v>-12</v>
      </c>
      <c r="E3168" s="8">
        <f>E3167+(0-12)</f>
        <v>12475464.349999722</v>
      </c>
    </row>
    <row r="3169" spans="1:5" x14ac:dyDescent="0.25">
      <c r="A3169" s="2" t="s">
        <v>38</v>
      </c>
      <c r="B3169" s="6">
        <v>45341</v>
      </c>
      <c r="C3169" s="2" t="s">
        <v>53</v>
      </c>
      <c r="D3169" s="8">
        <v>-53.75</v>
      </c>
      <c r="E3169" s="8">
        <f>E3168+(0-53.75)</f>
        <v>12475410.599999722</v>
      </c>
    </row>
    <row r="3170" spans="1:5" x14ac:dyDescent="0.25">
      <c r="A3170" s="2" t="s">
        <v>38</v>
      </c>
      <c r="B3170" s="6">
        <v>45341</v>
      </c>
      <c r="C3170" s="2" t="s">
        <v>53</v>
      </c>
      <c r="D3170" s="8">
        <v>-600</v>
      </c>
      <c r="E3170" s="8">
        <f>E3169+(0-600)</f>
        <v>12474810.599999722</v>
      </c>
    </row>
    <row r="3171" spans="1:5" x14ac:dyDescent="0.25">
      <c r="A3171" s="2" t="s">
        <v>38</v>
      </c>
      <c r="B3171" s="6">
        <v>45342</v>
      </c>
      <c r="C3171" s="2" t="s">
        <v>19</v>
      </c>
      <c r="D3171" s="8">
        <v>-4</v>
      </c>
      <c r="E3171" s="8">
        <f>E3170+(0-4)</f>
        <v>12474806.599999722</v>
      </c>
    </row>
    <row r="3172" spans="1:5" x14ac:dyDescent="0.25">
      <c r="A3172" s="2" t="s">
        <v>38</v>
      </c>
      <c r="B3172" s="6">
        <v>45342</v>
      </c>
      <c r="C3172" s="2" t="s">
        <v>19</v>
      </c>
      <c r="D3172" s="8">
        <v>-32</v>
      </c>
      <c r="E3172" s="8">
        <f>E3171+(0-32)</f>
        <v>12474774.599999722</v>
      </c>
    </row>
    <row r="3173" spans="1:5" x14ac:dyDescent="0.25">
      <c r="A3173" s="2" t="s">
        <v>38</v>
      </c>
      <c r="B3173" s="6">
        <v>45342</v>
      </c>
      <c r="C3173" s="2" t="s">
        <v>53</v>
      </c>
      <c r="D3173" s="8">
        <v>-50</v>
      </c>
      <c r="E3173" s="8">
        <f>E3172+(0-50)</f>
        <v>12474724.599999722</v>
      </c>
    </row>
    <row r="3174" spans="1:5" x14ac:dyDescent="0.25">
      <c r="A3174" s="2" t="s">
        <v>38</v>
      </c>
      <c r="B3174" s="6">
        <v>45342</v>
      </c>
      <c r="C3174" s="2" t="s">
        <v>53</v>
      </c>
      <c r="D3174" s="8">
        <v>-53.75</v>
      </c>
      <c r="E3174" s="8">
        <f>E3173+(0-53.75)</f>
        <v>12474670.849999722</v>
      </c>
    </row>
    <row r="3175" spans="1:5" x14ac:dyDescent="0.25">
      <c r="A3175" s="2" t="s">
        <v>38</v>
      </c>
      <c r="B3175" s="6">
        <v>45343</v>
      </c>
      <c r="C3175" s="2" t="s">
        <v>19</v>
      </c>
      <c r="D3175" s="8">
        <v>-40</v>
      </c>
      <c r="E3175" s="8">
        <f>E3174+(0-40)</f>
        <v>12474630.849999722</v>
      </c>
    </row>
    <row r="3176" spans="1:5" x14ac:dyDescent="0.25">
      <c r="A3176" s="2" t="s">
        <v>38</v>
      </c>
      <c r="B3176" s="6">
        <v>45343</v>
      </c>
      <c r="C3176" s="2" t="s">
        <v>53</v>
      </c>
      <c r="D3176" s="8">
        <v>-53.75</v>
      </c>
      <c r="E3176" s="8">
        <f>E3175+(0-53.75)</f>
        <v>12474577.099999722</v>
      </c>
    </row>
    <row r="3177" spans="1:5" x14ac:dyDescent="0.25">
      <c r="A3177" s="2" t="s">
        <v>38</v>
      </c>
      <c r="B3177" s="6">
        <v>45343</v>
      </c>
      <c r="C3177" s="2" t="s">
        <v>53</v>
      </c>
      <c r="D3177" s="8">
        <v>-700</v>
      </c>
      <c r="E3177" s="8">
        <f>E3176+(0-700)</f>
        <v>12473877.099999722</v>
      </c>
    </row>
    <row r="3178" spans="1:5" x14ac:dyDescent="0.25">
      <c r="A3178" s="2" t="s">
        <v>38</v>
      </c>
      <c r="B3178" s="6">
        <v>45344</v>
      </c>
      <c r="C3178" s="2" t="s">
        <v>53</v>
      </c>
      <c r="D3178" s="8">
        <v>-32</v>
      </c>
      <c r="E3178" s="8">
        <f>E3177+(0-32)</f>
        <v>12473845.099999722</v>
      </c>
    </row>
    <row r="3179" spans="1:5" x14ac:dyDescent="0.25">
      <c r="A3179" s="2" t="s">
        <v>38</v>
      </c>
      <c r="B3179" s="6">
        <v>45344</v>
      </c>
      <c r="C3179" s="2" t="s">
        <v>53</v>
      </c>
      <c r="D3179" s="8">
        <v>-250</v>
      </c>
      <c r="E3179" s="8">
        <f>E3178+(0-250)</f>
        <v>12473595.099999722</v>
      </c>
    </row>
    <row r="3180" spans="1:5" x14ac:dyDescent="0.25">
      <c r="A3180" s="2" t="s">
        <v>38</v>
      </c>
      <c r="B3180" s="6">
        <v>45344</v>
      </c>
      <c r="C3180" s="2" t="s">
        <v>53</v>
      </c>
      <c r="D3180" s="8">
        <v>-50</v>
      </c>
      <c r="E3180" s="8">
        <f>E3179+(0-50)</f>
        <v>12473545.099999722</v>
      </c>
    </row>
    <row r="3181" spans="1:5" x14ac:dyDescent="0.25">
      <c r="A3181" s="2" t="s">
        <v>38</v>
      </c>
      <c r="B3181" s="6">
        <v>45344</v>
      </c>
      <c r="C3181" s="2" t="s">
        <v>53</v>
      </c>
      <c r="D3181" s="8">
        <v>-500</v>
      </c>
      <c r="E3181" s="8">
        <f>E3180+(0-500)</f>
        <v>12473045.099999722</v>
      </c>
    </row>
    <row r="3182" spans="1:5" x14ac:dyDescent="0.25">
      <c r="A3182" s="2" t="s">
        <v>38</v>
      </c>
      <c r="B3182" s="6">
        <v>45345</v>
      </c>
      <c r="C3182" s="2" t="s">
        <v>53</v>
      </c>
      <c r="D3182" s="8">
        <v>-53.75</v>
      </c>
      <c r="E3182" s="8">
        <f>E3181+(0-53.75)</f>
        <v>12472991.349999722</v>
      </c>
    </row>
    <row r="3183" spans="1:5" x14ac:dyDescent="0.25">
      <c r="A3183" s="2" t="s">
        <v>38</v>
      </c>
      <c r="B3183" s="6">
        <v>45345</v>
      </c>
      <c r="C3183" s="2" t="s">
        <v>53</v>
      </c>
      <c r="D3183" s="8">
        <v>-53.75</v>
      </c>
      <c r="E3183" s="8">
        <f>E3182+(0-53.75)</f>
        <v>12472937.599999722</v>
      </c>
    </row>
    <row r="3184" spans="1:5" x14ac:dyDescent="0.25">
      <c r="A3184" s="2" t="s">
        <v>38</v>
      </c>
      <c r="B3184" s="6">
        <v>45345</v>
      </c>
      <c r="C3184" s="2" t="s">
        <v>53</v>
      </c>
      <c r="D3184" s="8">
        <v>-10.75</v>
      </c>
      <c r="E3184" s="8">
        <f>E3183+(0-10.75)</f>
        <v>12472926.849999722</v>
      </c>
    </row>
    <row r="3185" spans="1:5" x14ac:dyDescent="0.25">
      <c r="A3185" s="2" t="s">
        <v>38</v>
      </c>
      <c r="B3185" s="6">
        <v>45345</v>
      </c>
      <c r="C3185" s="2" t="s">
        <v>53</v>
      </c>
      <c r="D3185" s="8">
        <v>-50</v>
      </c>
      <c r="E3185" s="8">
        <f>E3184+(0-50)</f>
        <v>12472876.849999722</v>
      </c>
    </row>
    <row r="3186" spans="1:5" x14ac:dyDescent="0.25">
      <c r="A3186" s="2" t="s">
        <v>38</v>
      </c>
      <c r="B3186" s="6">
        <v>45345</v>
      </c>
      <c r="C3186" s="2" t="s">
        <v>53</v>
      </c>
      <c r="D3186" s="8">
        <v>-50</v>
      </c>
      <c r="E3186" s="8">
        <f>E3185+(0-50)</f>
        <v>12472826.849999722</v>
      </c>
    </row>
    <row r="3187" spans="1:5" x14ac:dyDescent="0.25">
      <c r="A3187" s="2" t="s">
        <v>38</v>
      </c>
      <c r="B3187" s="6">
        <v>45345</v>
      </c>
      <c r="C3187" s="2" t="s">
        <v>53</v>
      </c>
      <c r="D3187" s="8">
        <v>-53.75</v>
      </c>
      <c r="E3187" s="8">
        <f>E3186+(0-53.75)</f>
        <v>12472773.099999722</v>
      </c>
    </row>
    <row r="3188" spans="1:5" x14ac:dyDescent="0.25">
      <c r="A3188" s="2" t="s">
        <v>38</v>
      </c>
      <c r="B3188" s="6">
        <v>45345</v>
      </c>
      <c r="C3188" s="2" t="s">
        <v>53</v>
      </c>
      <c r="D3188" s="8">
        <v>-300</v>
      </c>
      <c r="E3188" s="8">
        <f>E3187+(0-300)</f>
        <v>12472473.099999722</v>
      </c>
    </row>
    <row r="3189" spans="1:5" x14ac:dyDescent="0.25">
      <c r="A3189" s="2" t="s">
        <v>38</v>
      </c>
      <c r="B3189" s="6">
        <v>45348</v>
      </c>
      <c r="C3189" s="2" t="s">
        <v>19</v>
      </c>
      <c r="D3189" s="8">
        <v>-16</v>
      </c>
      <c r="E3189" s="8">
        <f>E3188+(0-16)</f>
        <v>12472457.099999722</v>
      </c>
    </row>
    <row r="3190" spans="1:5" x14ac:dyDescent="0.25">
      <c r="A3190" s="2" t="s">
        <v>38</v>
      </c>
      <c r="B3190" s="6">
        <v>45348</v>
      </c>
      <c r="C3190" s="2" t="s">
        <v>200</v>
      </c>
      <c r="D3190" s="8">
        <v>-56</v>
      </c>
      <c r="E3190" s="8">
        <f>E3189+(0-56)</f>
        <v>12472401.099999722</v>
      </c>
    </row>
    <row r="3191" spans="1:5" x14ac:dyDescent="0.25">
      <c r="A3191" s="2" t="s">
        <v>38</v>
      </c>
      <c r="B3191" s="6">
        <v>45348</v>
      </c>
      <c r="C3191" s="2" t="s">
        <v>19</v>
      </c>
      <c r="D3191" s="8">
        <v>-4</v>
      </c>
      <c r="E3191" s="8">
        <f>E3190+(0-4)</f>
        <v>12472397.099999722</v>
      </c>
    </row>
    <row r="3192" spans="1:5" x14ac:dyDescent="0.25">
      <c r="A3192" s="2" t="s">
        <v>38</v>
      </c>
      <c r="B3192" s="6">
        <v>45348</v>
      </c>
      <c r="C3192" s="2" t="s">
        <v>53</v>
      </c>
      <c r="D3192" s="8">
        <v>-26.88</v>
      </c>
      <c r="E3192" s="8">
        <f>E3191+(0-26.88)</f>
        <v>12472370.219999721</v>
      </c>
    </row>
    <row r="3193" spans="1:5" x14ac:dyDescent="0.25">
      <c r="A3193" s="2" t="s">
        <v>38</v>
      </c>
      <c r="B3193" s="6">
        <v>45348</v>
      </c>
      <c r="C3193" s="2" t="s">
        <v>53</v>
      </c>
      <c r="D3193" s="8">
        <v>-53.75</v>
      </c>
      <c r="E3193" s="8">
        <f>E3192+(0-53.75)</f>
        <v>12472316.469999721</v>
      </c>
    </row>
    <row r="3194" spans="1:5" x14ac:dyDescent="0.25">
      <c r="A3194" s="2" t="s">
        <v>38</v>
      </c>
      <c r="B3194" s="6">
        <v>45348</v>
      </c>
      <c r="C3194" s="2" t="s">
        <v>53</v>
      </c>
      <c r="D3194" s="8">
        <v>-53.75</v>
      </c>
      <c r="E3194" s="8">
        <f>E3193+(0-53.75)</f>
        <v>12472262.719999721</v>
      </c>
    </row>
    <row r="3195" spans="1:5" x14ac:dyDescent="0.25">
      <c r="A3195" s="2" t="s">
        <v>38</v>
      </c>
      <c r="B3195" s="6">
        <v>45348</v>
      </c>
      <c r="C3195" s="2" t="s">
        <v>53</v>
      </c>
      <c r="D3195" s="8">
        <v>-53.75</v>
      </c>
      <c r="E3195" s="8">
        <f>E3194+(0-53.75)</f>
        <v>12472208.969999721</v>
      </c>
    </row>
    <row r="3196" spans="1:5" x14ac:dyDescent="0.25">
      <c r="A3196" s="2" t="s">
        <v>38</v>
      </c>
      <c r="B3196" s="6">
        <v>45348</v>
      </c>
      <c r="C3196" s="2" t="s">
        <v>53</v>
      </c>
      <c r="D3196" s="8">
        <v>-26.88</v>
      </c>
      <c r="E3196" s="8">
        <f>E3195+(0-26.88)</f>
        <v>12472182.08999972</v>
      </c>
    </row>
    <row r="3197" spans="1:5" x14ac:dyDescent="0.25">
      <c r="A3197" s="2" t="s">
        <v>38</v>
      </c>
      <c r="B3197" s="6">
        <v>45348</v>
      </c>
      <c r="C3197" s="2" t="s">
        <v>201</v>
      </c>
      <c r="D3197" s="8">
        <v>-53.75</v>
      </c>
      <c r="E3197" s="8">
        <f>E3196+(0-53.75)</f>
        <v>12472128.33999972</v>
      </c>
    </row>
    <row r="3198" spans="1:5" x14ac:dyDescent="0.25">
      <c r="A3198" s="2" t="s">
        <v>38</v>
      </c>
      <c r="B3198" s="6">
        <v>45348</v>
      </c>
      <c r="C3198" s="2" t="s">
        <v>53</v>
      </c>
      <c r="D3198" s="8">
        <v>-26.88</v>
      </c>
      <c r="E3198" s="8">
        <f>E3197+(0-26.88)</f>
        <v>12472101.45999972</v>
      </c>
    </row>
    <row r="3199" spans="1:5" x14ac:dyDescent="0.25">
      <c r="A3199" s="2" t="s">
        <v>38</v>
      </c>
      <c r="B3199" s="6">
        <v>45348</v>
      </c>
      <c r="C3199" s="2" t="s">
        <v>53</v>
      </c>
      <c r="D3199" s="8">
        <v>-50</v>
      </c>
      <c r="E3199" s="8">
        <f>E3198+(0-50)</f>
        <v>12472051.45999972</v>
      </c>
    </row>
    <row r="3200" spans="1:5" x14ac:dyDescent="0.25">
      <c r="A3200" s="2" t="s">
        <v>38</v>
      </c>
      <c r="B3200" s="6">
        <v>45348</v>
      </c>
      <c r="C3200" s="2" t="s">
        <v>53</v>
      </c>
      <c r="D3200" s="8">
        <v>-650</v>
      </c>
      <c r="E3200" s="8">
        <f>E3199+(0-650)</f>
        <v>12471401.45999972</v>
      </c>
    </row>
    <row r="3201" spans="1:5" x14ac:dyDescent="0.25">
      <c r="A3201" s="2" t="s">
        <v>38</v>
      </c>
      <c r="B3201" s="6">
        <v>45349</v>
      </c>
      <c r="C3201" s="2" t="s">
        <v>53</v>
      </c>
      <c r="D3201" s="8">
        <v>-50</v>
      </c>
      <c r="E3201" s="8">
        <f>E3200+(0-50)</f>
        <v>12471351.45999972</v>
      </c>
    </row>
    <row r="3202" spans="1:5" x14ac:dyDescent="0.25">
      <c r="A3202" s="2" t="s">
        <v>38</v>
      </c>
      <c r="B3202" s="6">
        <v>45350</v>
      </c>
      <c r="C3202" s="2" t="s">
        <v>19</v>
      </c>
      <c r="D3202" s="8">
        <v>-92</v>
      </c>
      <c r="E3202" s="8">
        <f>E3201+(0-92)</f>
        <v>12471259.45999972</v>
      </c>
    </row>
    <row r="3203" spans="1:5" x14ac:dyDescent="0.25">
      <c r="A3203" s="2" t="s">
        <v>38</v>
      </c>
      <c r="B3203" s="6">
        <v>45350</v>
      </c>
      <c r="C3203" s="2" t="s">
        <v>19</v>
      </c>
      <c r="D3203" s="8">
        <v>-48</v>
      </c>
      <c r="E3203" s="8">
        <f>E3202+(0-48)</f>
        <v>12471211.45999972</v>
      </c>
    </row>
    <row r="3204" spans="1:5" x14ac:dyDescent="0.25">
      <c r="A3204" s="2" t="s">
        <v>38</v>
      </c>
      <c r="B3204" s="6">
        <v>45350</v>
      </c>
      <c r="C3204" s="2" t="s">
        <v>53</v>
      </c>
      <c r="D3204" s="8">
        <v>-350</v>
      </c>
      <c r="E3204" s="8">
        <f>E3203+(0-350)</f>
        <v>12470861.45999972</v>
      </c>
    </row>
    <row r="3205" spans="1:5" x14ac:dyDescent="0.25">
      <c r="A3205" s="2" t="s">
        <v>38</v>
      </c>
      <c r="B3205" s="6">
        <v>45350</v>
      </c>
      <c r="C3205" s="2" t="s">
        <v>53</v>
      </c>
      <c r="D3205" s="8">
        <v>-800</v>
      </c>
      <c r="E3205" s="8">
        <f>E3204+(0-800)</f>
        <v>12470061.45999972</v>
      </c>
    </row>
    <row r="3206" spans="1:5" x14ac:dyDescent="0.25">
      <c r="A3206" s="2" t="s">
        <v>38</v>
      </c>
      <c r="B3206" s="6">
        <v>45350</v>
      </c>
      <c r="C3206" s="2" t="s">
        <v>53</v>
      </c>
      <c r="D3206" s="8">
        <v>-50</v>
      </c>
      <c r="E3206" s="8">
        <f>E3205+(0-50)</f>
        <v>12470011.45999972</v>
      </c>
    </row>
    <row r="3207" spans="1:5" x14ac:dyDescent="0.25">
      <c r="A3207" s="2" t="s">
        <v>38</v>
      </c>
      <c r="B3207" s="6">
        <v>45351</v>
      </c>
      <c r="C3207" s="2" t="s">
        <v>53</v>
      </c>
      <c r="D3207" s="8">
        <v>-550</v>
      </c>
      <c r="E3207" s="8">
        <f>E3206+(0-550)</f>
        <v>12469461.45999972</v>
      </c>
    </row>
    <row r="3208" spans="1:5" x14ac:dyDescent="0.25">
      <c r="A3208" s="2" t="s">
        <v>38</v>
      </c>
      <c r="B3208" s="6">
        <v>45352</v>
      </c>
      <c r="C3208" s="2" t="s">
        <v>19</v>
      </c>
      <c r="D3208" s="8">
        <v>-20</v>
      </c>
      <c r="E3208" s="8">
        <f>E3207+(0-20)</f>
        <v>12469441.45999972</v>
      </c>
    </row>
    <row r="3209" spans="1:5" x14ac:dyDescent="0.25">
      <c r="A3209" s="2" t="s">
        <v>38</v>
      </c>
      <c r="B3209" s="6">
        <v>45352</v>
      </c>
      <c r="C3209" s="2" t="s">
        <v>19</v>
      </c>
      <c r="D3209" s="8">
        <v>-36</v>
      </c>
      <c r="E3209" s="8">
        <f>E3208+(0-36)</f>
        <v>12469405.45999972</v>
      </c>
    </row>
    <row r="3210" spans="1:5" x14ac:dyDescent="0.25">
      <c r="A3210" s="2" t="s">
        <v>38</v>
      </c>
      <c r="B3210" s="6">
        <v>45352</v>
      </c>
      <c r="C3210" s="2" t="s">
        <v>53</v>
      </c>
      <c r="D3210" s="8">
        <v>-50</v>
      </c>
      <c r="E3210" s="8">
        <f>E3209+(0-50)</f>
        <v>12469355.45999972</v>
      </c>
    </row>
    <row r="3211" spans="1:5" x14ac:dyDescent="0.25">
      <c r="A3211" s="2" t="s">
        <v>38</v>
      </c>
      <c r="B3211" s="6">
        <v>45352</v>
      </c>
      <c r="C3211" s="2" t="s">
        <v>53</v>
      </c>
      <c r="D3211" s="8">
        <v>-450</v>
      </c>
      <c r="E3211" s="8">
        <f>E3210+(0-450)</f>
        <v>12468905.45999972</v>
      </c>
    </row>
    <row r="3212" spans="1:5" x14ac:dyDescent="0.25">
      <c r="A3212" s="2" t="s">
        <v>38</v>
      </c>
      <c r="B3212" s="6">
        <v>45355</v>
      </c>
      <c r="C3212" s="2" t="s">
        <v>19</v>
      </c>
      <c r="D3212" s="8">
        <v>-60</v>
      </c>
      <c r="E3212" s="8">
        <f>E3211+(0-60)</f>
        <v>12468845.45999972</v>
      </c>
    </row>
    <row r="3213" spans="1:5" x14ac:dyDescent="0.25">
      <c r="A3213" s="2" t="s">
        <v>38</v>
      </c>
      <c r="B3213" s="6">
        <v>45355</v>
      </c>
      <c r="C3213" s="2" t="s">
        <v>19</v>
      </c>
      <c r="D3213" s="8">
        <v>-8</v>
      </c>
      <c r="E3213" s="8">
        <f>E3212+(0-8)</f>
        <v>12468837.45999972</v>
      </c>
    </row>
    <row r="3214" spans="1:5" x14ac:dyDescent="0.25">
      <c r="A3214" s="2" t="s">
        <v>38</v>
      </c>
      <c r="B3214" s="6">
        <v>45355</v>
      </c>
      <c r="C3214" s="2" t="s">
        <v>53</v>
      </c>
      <c r="D3214" s="8">
        <v>-53.75</v>
      </c>
      <c r="E3214" s="8">
        <f>E3213+(0-53.75)</f>
        <v>12468783.70999972</v>
      </c>
    </row>
    <row r="3215" spans="1:5" x14ac:dyDescent="0.25">
      <c r="A3215" s="2" t="s">
        <v>38</v>
      </c>
      <c r="B3215" s="6">
        <v>45356</v>
      </c>
      <c r="C3215" s="2" t="s">
        <v>19</v>
      </c>
      <c r="D3215" s="8">
        <v>-40</v>
      </c>
      <c r="E3215" s="8">
        <f>E3214+(0-40)</f>
        <v>12468743.70999972</v>
      </c>
    </row>
    <row r="3216" spans="1:5" x14ac:dyDescent="0.25">
      <c r="A3216" s="2" t="s">
        <v>38</v>
      </c>
      <c r="B3216" s="6">
        <v>45356</v>
      </c>
      <c r="C3216" s="2" t="s">
        <v>53</v>
      </c>
      <c r="D3216" s="8">
        <v>-53.75</v>
      </c>
      <c r="E3216" s="8">
        <f>E3215+(0-53.75)</f>
        <v>12468689.95999972</v>
      </c>
    </row>
    <row r="3217" spans="1:5" x14ac:dyDescent="0.25">
      <c r="A3217" s="2" t="s">
        <v>38</v>
      </c>
      <c r="B3217" s="6">
        <v>45356</v>
      </c>
      <c r="C3217" s="2" t="s">
        <v>183</v>
      </c>
      <c r="D3217" s="8">
        <v>-500</v>
      </c>
      <c r="E3217" s="8">
        <f>E3216+(0-500)</f>
        <v>12468189.95999972</v>
      </c>
    </row>
    <row r="3218" spans="1:5" x14ac:dyDescent="0.25">
      <c r="A3218" s="2" t="s">
        <v>38</v>
      </c>
      <c r="B3218" s="6">
        <v>45356</v>
      </c>
      <c r="C3218" s="2" t="s">
        <v>202</v>
      </c>
      <c r="D3218" s="8">
        <v>-37.5</v>
      </c>
      <c r="E3218" s="8">
        <f>E3217+(0-37.5)</f>
        <v>12468152.45999972</v>
      </c>
    </row>
    <row r="3219" spans="1:5" x14ac:dyDescent="0.25">
      <c r="A3219" s="2" t="s">
        <v>38</v>
      </c>
      <c r="B3219" s="6">
        <v>45357</v>
      </c>
      <c r="C3219" s="2" t="s">
        <v>53</v>
      </c>
      <c r="D3219" s="8">
        <v>-50</v>
      </c>
      <c r="E3219" s="8">
        <f>E3218+(0-50)</f>
        <v>12468102.45999972</v>
      </c>
    </row>
    <row r="3220" spans="1:5" x14ac:dyDescent="0.25">
      <c r="A3220" s="2" t="s">
        <v>38</v>
      </c>
      <c r="B3220" s="6">
        <v>45357</v>
      </c>
      <c r="C3220" s="2" t="s">
        <v>53</v>
      </c>
      <c r="D3220" s="8">
        <v>-53.75</v>
      </c>
      <c r="E3220" s="8">
        <f>E3219+(0-53.75)</f>
        <v>12468048.70999972</v>
      </c>
    </row>
    <row r="3221" spans="1:5" x14ac:dyDescent="0.25">
      <c r="A3221" s="2" t="s">
        <v>38</v>
      </c>
      <c r="B3221" s="6">
        <v>45358</v>
      </c>
      <c r="C3221" s="2" t="s">
        <v>19</v>
      </c>
      <c r="D3221" s="8">
        <v>-48</v>
      </c>
      <c r="E3221" s="8">
        <f>E3220+(0-48)</f>
        <v>12468000.70999972</v>
      </c>
    </row>
    <row r="3222" spans="1:5" x14ac:dyDescent="0.25">
      <c r="A3222" s="2" t="s">
        <v>38</v>
      </c>
      <c r="B3222" s="6">
        <v>45358</v>
      </c>
      <c r="C3222" s="2" t="s">
        <v>19</v>
      </c>
      <c r="D3222" s="8">
        <v>-36</v>
      </c>
      <c r="E3222" s="8">
        <f>E3221+(0-36)</f>
        <v>12467964.70999972</v>
      </c>
    </row>
    <row r="3223" spans="1:5" x14ac:dyDescent="0.25">
      <c r="A3223" s="2" t="s">
        <v>38</v>
      </c>
      <c r="B3223" s="6">
        <v>45359</v>
      </c>
      <c r="C3223" s="2" t="s">
        <v>19</v>
      </c>
      <c r="D3223" s="8">
        <v>-28</v>
      </c>
      <c r="E3223" s="8">
        <f>E3222+(0-28)</f>
        <v>12467936.70999972</v>
      </c>
    </row>
    <row r="3224" spans="1:5" x14ac:dyDescent="0.25">
      <c r="A3224" s="2" t="s">
        <v>38</v>
      </c>
      <c r="B3224" s="6">
        <v>45362</v>
      </c>
      <c r="C3224" s="2" t="s">
        <v>53</v>
      </c>
      <c r="D3224" s="8">
        <v>-53.75</v>
      </c>
      <c r="E3224" s="8">
        <f>E3223+(0-53.75)</f>
        <v>12467882.95999972</v>
      </c>
    </row>
    <row r="3225" spans="1:5" x14ac:dyDescent="0.25">
      <c r="A3225" s="2" t="s">
        <v>38</v>
      </c>
      <c r="B3225" s="6">
        <v>45362</v>
      </c>
      <c r="C3225" s="2" t="s">
        <v>19</v>
      </c>
      <c r="D3225" s="8">
        <v>-44</v>
      </c>
      <c r="E3225" s="8">
        <f>E3224+(0-44)</f>
        <v>12467838.95999972</v>
      </c>
    </row>
    <row r="3226" spans="1:5" x14ac:dyDescent="0.25">
      <c r="A3226" s="2" t="s">
        <v>38</v>
      </c>
      <c r="B3226" s="6">
        <v>45362</v>
      </c>
      <c r="C3226" s="2" t="s">
        <v>19</v>
      </c>
      <c r="D3226" s="8">
        <v>-12</v>
      </c>
      <c r="E3226" s="8">
        <f>E3225+(0-12)</f>
        <v>12467826.95999972</v>
      </c>
    </row>
    <row r="3227" spans="1:5" x14ac:dyDescent="0.25">
      <c r="A3227" s="2" t="s">
        <v>38</v>
      </c>
      <c r="B3227" s="6">
        <v>45362</v>
      </c>
      <c r="C3227" s="2" t="s">
        <v>53</v>
      </c>
      <c r="D3227" s="8">
        <v>-53.75</v>
      </c>
      <c r="E3227" s="8">
        <f>E3226+(0-53.75)</f>
        <v>12467773.20999972</v>
      </c>
    </row>
    <row r="3228" spans="1:5" x14ac:dyDescent="0.25">
      <c r="A3228" s="2" t="s">
        <v>38</v>
      </c>
      <c r="B3228" s="6">
        <v>45362</v>
      </c>
      <c r="C3228" s="2" t="s">
        <v>19</v>
      </c>
      <c r="D3228" s="8">
        <v>-8</v>
      </c>
      <c r="E3228" s="8">
        <f>E3227+(0-8)</f>
        <v>12467765.20999972</v>
      </c>
    </row>
    <row r="3229" spans="1:5" x14ac:dyDescent="0.25">
      <c r="A3229" s="2" t="s">
        <v>38</v>
      </c>
      <c r="B3229" s="6">
        <v>45362</v>
      </c>
      <c r="C3229" s="2" t="s">
        <v>53</v>
      </c>
      <c r="D3229" s="8">
        <v>-53.75</v>
      </c>
      <c r="E3229" s="8">
        <f>E3228+(0-53.75)</f>
        <v>12467711.45999972</v>
      </c>
    </row>
    <row r="3230" spans="1:5" x14ac:dyDescent="0.25">
      <c r="A3230" s="2" t="s">
        <v>38</v>
      </c>
      <c r="B3230" s="6">
        <v>45362</v>
      </c>
      <c r="C3230" s="2" t="s">
        <v>53</v>
      </c>
      <c r="D3230" s="8">
        <v>-53.75</v>
      </c>
      <c r="E3230" s="8">
        <f>E3229+(0-53.75)</f>
        <v>12467657.70999972</v>
      </c>
    </row>
    <row r="3231" spans="1:5" x14ac:dyDescent="0.25">
      <c r="A3231" s="2" t="s">
        <v>38</v>
      </c>
      <c r="B3231" s="6">
        <v>45363</v>
      </c>
      <c r="C3231" s="2" t="s">
        <v>19</v>
      </c>
      <c r="D3231" s="8">
        <v>-32</v>
      </c>
      <c r="E3231" s="8">
        <f>E3230+(0-32)</f>
        <v>12467625.70999972</v>
      </c>
    </row>
    <row r="3232" spans="1:5" x14ac:dyDescent="0.25">
      <c r="A3232" s="2" t="s">
        <v>38</v>
      </c>
      <c r="B3232" s="6">
        <v>45364</v>
      </c>
      <c r="C3232" s="2" t="s">
        <v>19</v>
      </c>
      <c r="D3232" s="8">
        <v>-56</v>
      </c>
      <c r="E3232" s="8">
        <f>E3231+(0-56)</f>
        <v>12467569.70999972</v>
      </c>
    </row>
    <row r="3233" spans="1:5" x14ac:dyDescent="0.25">
      <c r="A3233" s="2" t="s">
        <v>38</v>
      </c>
      <c r="B3233" s="6">
        <v>45365</v>
      </c>
      <c r="C3233" s="2" t="s">
        <v>53</v>
      </c>
      <c r="D3233" s="8">
        <v>-53.75</v>
      </c>
      <c r="E3233" s="8">
        <f>E3232+(0-53.75)</f>
        <v>12467515.95999972</v>
      </c>
    </row>
    <row r="3234" spans="1:5" x14ac:dyDescent="0.25">
      <c r="A3234" s="2" t="s">
        <v>38</v>
      </c>
      <c r="B3234" s="6">
        <v>45366</v>
      </c>
      <c r="C3234" s="2" t="s">
        <v>19</v>
      </c>
      <c r="D3234" s="8">
        <v>-52</v>
      </c>
      <c r="E3234" s="8">
        <f>E3233+(0-52)</f>
        <v>12467463.95999972</v>
      </c>
    </row>
    <row r="3235" spans="1:5" x14ac:dyDescent="0.25">
      <c r="A3235" s="2" t="s">
        <v>38</v>
      </c>
      <c r="B3235" s="6">
        <v>45366</v>
      </c>
      <c r="C3235" s="2" t="s">
        <v>19</v>
      </c>
      <c r="D3235" s="8">
        <v>-52</v>
      </c>
      <c r="E3235" s="8">
        <f>E3234+(0-52)</f>
        <v>12467411.95999972</v>
      </c>
    </row>
    <row r="3236" spans="1:5" x14ac:dyDescent="0.25">
      <c r="A3236" s="2" t="s">
        <v>38</v>
      </c>
      <c r="B3236" s="6">
        <v>45366</v>
      </c>
      <c r="C3236" s="2" t="s">
        <v>53</v>
      </c>
      <c r="D3236" s="8">
        <v>-800</v>
      </c>
      <c r="E3236" s="8">
        <f>E3235+(0-800)</f>
        <v>12466611.95999972</v>
      </c>
    </row>
    <row r="3237" spans="1:5" x14ac:dyDescent="0.25">
      <c r="A3237" s="2" t="s">
        <v>38</v>
      </c>
      <c r="B3237" s="6">
        <v>45366</v>
      </c>
      <c r="C3237" s="2" t="s">
        <v>53</v>
      </c>
      <c r="D3237" s="8">
        <v>-650</v>
      </c>
      <c r="E3237" s="8">
        <f>E3236+(0-650)</f>
        <v>12465961.95999972</v>
      </c>
    </row>
    <row r="3238" spans="1:5" x14ac:dyDescent="0.25">
      <c r="A3238" s="2" t="s">
        <v>38</v>
      </c>
      <c r="B3238" s="6">
        <v>45366</v>
      </c>
      <c r="C3238" s="2" t="s">
        <v>53</v>
      </c>
      <c r="D3238" s="8">
        <v>-400</v>
      </c>
      <c r="E3238" s="8">
        <f>E3237+(0-400)</f>
        <v>12465561.95999972</v>
      </c>
    </row>
    <row r="3239" spans="1:5" x14ac:dyDescent="0.25">
      <c r="A3239" s="2" t="s">
        <v>38</v>
      </c>
      <c r="B3239" s="6">
        <v>45366</v>
      </c>
      <c r="C3239" s="2" t="s">
        <v>53</v>
      </c>
      <c r="D3239" s="8">
        <v>-550</v>
      </c>
      <c r="E3239" s="8">
        <f>E3238+(0-550)</f>
        <v>12465011.95999972</v>
      </c>
    </row>
    <row r="3240" spans="1:5" x14ac:dyDescent="0.25">
      <c r="A3240" s="2" t="s">
        <v>38</v>
      </c>
      <c r="B3240" s="6">
        <v>45366</v>
      </c>
      <c r="C3240" s="2" t="s">
        <v>53</v>
      </c>
      <c r="D3240" s="8">
        <v>-50</v>
      </c>
      <c r="E3240" s="8">
        <f>E3239+(0-50)</f>
        <v>12464961.95999972</v>
      </c>
    </row>
    <row r="3241" spans="1:5" x14ac:dyDescent="0.25">
      <c r="A3241" s="2" t="s">
        <v>38</v>
      </c>
      <c r="B3241" s="6">
        <v>45366</v>
      </c>
      <c r="C3241" s="2" t="s">
        <v>53</v>
      </c>
      <c r="D3241" s="8">
        <v>-350</v>
      </c>
      <c r="E3241" s="8">
        <f>E3240+(0-350)</f>
        <v>12464611.95999972</v>
      </c>
    </row>
    <row r="3242" spans="1:5" x14ac:dyDescent="0.25">
      <c r="A3242" s="2" t="s">
        <v>38</v>
      </c>
      <c r="B3242" s="6">
        <v>45366</v>
      </c>
      <c r="C3242" s="2" t="s">
        <v>53</v>
      </c>
      <c r="D3242" s="8">
        <v>-400</v>
      </c>
      <c r="E3242" s="8">
        <f>E3241+(0-400)</f>
        <v>12464211.95999972</v>
      </c>
    </row>
    <row r="3243" spans="1:5" x14ac:dyDescent="0.25">
      <c r="A3243" s="2" t="s">
        <v>38</v>
      </c>
      <c r="B3243" s="6">
        <v>45366</v>
      </c>
      <c r="C3243" s="2" t="s">
        <v>53</v>
      </c>
      <c r="D3243" s="8">
        <v>-450</v>
      </c>
      <c r="E3243" s="8">
        <f>E3242+(0-450)</f>
        <v>12463761.95999972</v>
      </c>
    </row>
    <row r="3244" spans="1:5" x14ac:dyDescent="0.25">
      <c r="A3244" s="2" t="s">
        <v>38</v>
      </c>
      <c r="B3244" s="6">
        <v>45366</v>
      </c>
      <c r="C3244" s="2" t="s">
        <v>53</v>
      </c>
      <c r="D3244" s="8">
        <v>-550</v>
      </c>
      <c r="E3244" s="8">
        <f>E3243+(0-550)</f>
        <v>12463211.95999972</v>
      </c>
    </row>
    <row r="3245" spans="1:5" x14ac:dyDescent="0.25">
      <c r="A3245" s="2" t="s">
        <v>38</v>
      </c>
      <c r="B3245" s="6">
        <v>45366</v>
      </c>
      <c r="C3245" s="2" t="s">
        <v>53</v>
      </c>
      <c r="D3245" s="8">
        <v>-50</v>
      </c>
      <c r="E3245" s="8">
        <f>E3244+(0-50)</f>
        <v>12463161.95999972</v>
      </c>
    </row>
    <row r="3246" spans="1:5" x14ac:dyDescent="0.25">
      <c r="A3246" s="2" t="s">
        <v>38</v>
      </c>
      <c r="B3246" s="6">
        <v>45369</v>
      </c>
      <c r="C3246" s="2" t="s">
        <v>19</v>
      </c>
      <c r="D3246" s="8">
        <v>-32</v>
      </c>
      <c r="E3246" s="8">
        <f>E3245+(0-32)</f>
        <v>12463129.95999972</v>
      </c>
    </row>
    <row r="3247" spans="1:5" x14ac:dyDescent="0.25">
      <c r="A3247" s="2" t="s">
        <v>38</v>
      </c>
      <c r="B3247" s="6">
        <v>45369</v>
      </c>
      <c r="C3247" s="2" t="s">
        <v>19</v>
      </c>
      <c r="D3247" s="8">
        <v>-8</v>
      </c>
      <c r="E3247" s="8">
        <f>E3246+(0-8)</f>
        <v>12463121.95999972</v>
      </c>
    </row>
    <row r="3248" spans="1:5" x14ac:dyDescent="0.25">
      <c r="A3248" s="2" t="s">
        <v>38</v>
      </c>
      <c r="B3248" s="6">
        <v>45369</v>
      </c>
      <c r="C3248" s="2" t="s">
        <v>19</v>
      </c>
      <c r="D3248" s="8">
        <v>-8</v>
      </c>
      <c r="E3248" s="8">
        <f>E3247+(0-8)</f>
        <v>12463113.95999972</v>
      </c>
    </row>
    <row r="3249" spans="1:5" x14ac:dyDescent="0.25">
      <c r="A3249" s="2" t="s">
        <v>38</v>
      </c>
      <c r="B3249" s="6">
        <v>45369</v>
      </c>
      <c r="C3249" s="2" t="s">
        <v>53</v>
      </c>
      <c r="D3249" s="8">
        <v>-50</v>
      </c>
      <c r="E3249" s="8">
        <f>E3248+(0-50)</f>
        <v>12463063.95999972</v>
      </c>
    </row>
    <row r="3250" spans="1:5" x14ac:dyDescent="0.25">
      <c r="A3250" s="2" t="s">
        <v>38</v>
      </c>
      <c r="B3250" s="6">
        <v>45369</v>
      </c>
      <c r="C3250" s="2" t="s">
        <v>53</v>
      </c>
      <c r="D3250" s="8">
        <v>-800</v>
      </c>
      <c r="E3250" s="8">
        <f>E3249+(0-800)</f>
        <v>12462263.95999972</v>
      </c>
    </row>
    <row r="3251" spans="1:5" x14ac:dyDescent="0.25">
      <c r="A3251" s="2" t="s">
        <v>38</v>
      </c>
      <c r="B3251" s="6">
        <v>45369</v>
      </c>
      <c r="C3251" s="2" t="s">
        <v>53</v>
      </c>
      <c r="D3251" s="8">
        <v>-150</v>
      </c>
      <c r="E3251" s="8">
        <f>E3250+(0-150)</f>
        <v>12462113.95999972</v>
      </c>
    </row>
    <row r="3252" spans="1:5" x14ac:dyDescent="0.25">
      <c r="A3252" s="2" t="s">
        <v>38</v>
      </c>
      <c r="B3252" s="6">
        <v>45369</v>
      </c>
      <c r="C3252" s="2" t="s">
        <v>53</v>
      </c>
      <c r="D3252" s="8">
        <v>-550</v>
      </c>
      <c r="E3252" s="8">
        <f>E3251+(0-550)</f>
        <v>12461563.95999972</v>
      </c>
    </row>
    <row r="3253" spans="1:5" x14ac:dyDescent="0.25">
      <c r="A3253" s="2" t="s">
        <v>38</v>
      </c>
      <c r="B3253" s="6">
        <v>45369</v>
      </c>
      <c r="C3253" s="2" t="s">
        <v>53</v>
      </c>
      <c r="D3253" s="8">
        <v>-50</v>
      </c>
      <c r="E3253" s="8">
        <f>E3252+(0-50)</f>
        <v>12461513.95999972</v>
      </c>
    </row>
    <row r="3254" spans="1:5" x14ac:dyDescent="0.25">
      <c r="A3254" s="2" t="s">
        <v>38</v>
      </c>
      <c r="B3254" s="6">
        <v>45370</v>
      </c>
      <c r="C3254" s="2" t="s">
        <v>53</v>
      </c>
      <c r="D3254" s="8">
        <v>-53.75</v>
      </c>
      <c r="E3254" s="8">
        <f>E3253+(0-53.75)</f>
        <v>12461460.20999972</v>
      </c>
    </row>
    <row r="3255" spans="1:5" x14ac:dyDescent="0.25">
      <c r="A3255" s="2" t="s">
        <v>38</v>
      </c>
      <c r="B3255" s="6">
        <v>45370</v>
      </c>
      <c r="C3255" s="2" t="s">
        <v>53</v>
      </c>
      <c r="D3255" s="8">
        <v>-50</v>
      </c>
      <c r="E3255" s="8">
        <f>E3254+(0-50)</f>
        <v>12461410.20999972</v>
      </c>
    </row>
    <row r="3256" spans="1:5" x14ac:dyDescent="0.25">
      <c r="A3256" s="2" t="s">
        <v>38</v>
      </c>
      <c r="B3256" s="6">
        <v>45370</v>
      </c>
      <c r="C3256" s="2" t="s">
        <v>53</v>
      </c>
      <c r="D3256" s="8">
        <v>-50</v>
      </c>
      <c r="E3256" s="8">
        <f>E3255+(0-50)</f>
        <v>12461360.20999972</v>
      </c>
    </row>
    <row r="3257" spans="1:5" x14ac:dyDescent="0.25">
      <c r="A3257" s="2" t="s">
        <v>38</v>
      </c>
      <c r="B3257" s="6">
        <v>45370</v>
      </c>
      <c r="C3257" s="2" t="s">
        <v>53</v>
      </c>
      <c r="D3257" s="8">
        <v>-50</v>
      </c>
      <c r="E3257" s="8">
        <f>E3256+(0-50)</f>
        <v>12461310.20999972</v>
      </c>
    </row>
    <row r="3258" spans="1:5" x14ac:dyDescent="0.25">
      <c r="A3258" s="2" t="s">
        <v>38</v>
      </c>
      <c r="B3258" s="6">
        <v>45370</v>
      </c>
      <c r="C3258" s="2" t="s">
        <v>53</v>
      </c>
      <c r="D3258" s="8">
        <v>-50</v>
      </c>
      <c r="E3258" s="8">
        <f>E3257+(0-50)</f>
        <v>12461260.20999972</v>
      </c>
    </row>
    <row r="3259" spans="1:5" x14ac:dyDescent="0.25">
      <c r="A3259" s="2" t="s">
        <v>38</v>
      </c>
      <c r="B3259" s="6">
        <v>45370</v>
      </c>
      <c r="C3259" s="2" t="s">
        <v>53</v>
      </c>
      <c r="D3259" s="8">
        <v>-500</v>
      </c>
      <c r="E3259" s="8">
        <f>E3258+(0-500)</f>
        <v>12460760.20999972</v>
      </c>
    </row>
    <row r="3260" spans="1:5" x14ac:dyDescent="0.25">
      <c r="A3260" s="2" t="s">
        <v>38</v>
      </c>
      <c r="B3260" s="6">
        <v>45371</v>
      </c>
      <c r="C3260" s="2" t="s">
        <v>19</v>
      </c>
      <c r="D3260" s="8">
        <v>-32</v>
      </c>
      <c r="E3260" s="8">
        <f>E3259+(0-32)</f>
        <v>12460728.20999972</v>
      </c>
    </row>
    <row r="3261" spans="1:5" x14ac:dyDescent="0.25">
      <c r="A3261" s="2" t="s">
        <v>38</v>
      </c>
      <c r="B3261" s="6">
        <v>45371</v>
      </c>
      <c r="C3261" s="2" t="s">
        <v>19</v>
      </c>
      <c r="D3261" s="8">
        <v>-44</v>
      </c>
      <c r="E3261" s="8">
        <f>E3260+(0-44)</f>
        <v>12460684.20999972</v>
      </c>
    </row>
    <row r="3262" spans="1:5" x14ac:dyDescent="0.25">
      <c r="A3262" s="2" t="s">
        <v>38</v>
      </c>
      <c r="B3262" s="6">
        <v>45371</v>
      </c>
      <c r="C3262" s="2" t="s">
        <v>53</v>
      </c>
      <c r="D3262" s="8">
        <v>-400</v>
      </c>
      <c r="E3262" s="8">
        <f>E3261+(0-400)</f>
        <v>12460284.20999972</v>
      </c>
    </row>
    <row r="3263" spans="1:5" x14ac:dyDescent="0.25">
      <c r="A3263" s="2" t="s">
        <v>38</v>
      </c>
      <c r="B3263" s="6">
        <v>45371</v>
      </c>
      <c r="C3263" s="2" t="s">
        <v>53</v>
      </c>
      <c r="D3263" s="8">
        <v>-50</v>
      </c>
      <c r="E3263" s="8">
        <f>E3262+(0-50)</f>
        <v>12460234.20999972</v>
      </c>
    </row>
    <row r="3264" spans="1:5" x14ac:dyDescent="0.25">
      <c r="A3264" s="2" t="s">
        <v>38</v>
      </c>
      <c r="B3264" s="6">
        <v>45371</v>
      </c>
      <c r="C3264" s="2" t="s">
        <v>53</v>
      </c>
      <c r="D3264" s="8">
        <v>-50</v>
      </c>
      <c r="E3264" s="8">
        <f>E3263+(0-50)</f>
        <v>12460184.20999972</v>
      </c>
    </row>
    <row r="3265" spans="1:5" x14ac:dyDescent="0.25">
      <c r="A3265" s="2" t="s">
        <v>38</v>
      </c>
      <c r="B3265" s="6">
        <v>45372</v>
      </c>
      <c r="C3265" s="2" t="s">
        <v>19</v>
      </c>
      <c r="D3265" s="8">
        <v>-36</v>
      </c>
      <c r="E3265" s="8">
        <f>E3264+(0-36)</f>
        <v>12460148.20999972</v>
      </c>
    </row>
    <row r="3266" spans="1:5" x14ac:dyDescent="0.25">
      <c r="A3266" s="2" t="s">
        <v>38</v>
      </c>
      <c r="B3266" s="6">
        <v>45372</v>
      </c>
      <c r="C3266" s="2" t="s">
        <v>53</v>
      </c>
      <c r="D3266" s="8">
        <v>-100</v>
      </c>
      <c r="E3266" s="8">
        <f>E3265+(0-100)</f>
        <v>12460048.20999972</v>
      </c>
    </row>
    <row r="3267" spans="1:5" x14ac:dyDescent="0.25">
      <c r="A3267" s="2" t="s">
        <v>38</v>
      </c>
      <c r="B3267" s="6">
        <v>45372</v>
      </c>
      <c r="C3267" s="2" t="s">
        <v>53</v>
      </c>
      <c r="D3267" s="8">
        <v>-300</v>
      </c>
      <c r="E3267" s="8">
        <f>E3266+(0-300)</f>
        <v>12459748.20999972</v>
      </c>
    </row>
    <row r="3268" spans="1:5" x14ac:dyDescent="0.25">
      <c r="A3268" s="2" t="s">
        <v>38</v>
      </c>
      <c r="B3268" s="6">
        <v>45373</v>
      </c>
      <c r="C3268" s="2" t="s">
        <v>53</v>
      </c>
      <c r="D3268" s="8">
        <v>-350</v>
      </c>
      <c r="E3268" s="8">
        <f>E3267+(0-350)</f>
        <v>12459398.20999972</v>
      </c>
    </row>
    <row r="3269" spans="1:5" x14ac:dyDescent="0.25">
      <c r="A3269" s="2" t="s">
        <v>38</v>
      </c>
      <c r="B3269" s="6">
        <v>45373</v>
      </c>
      <c r="C3269" s="2" t="s">
        <v>53</v>
      </c>
      <c r="D3269" s="8">
        <v>-100</v>
      </c>
      <c r="E3269" s="8">
        <f>E3268+(0-100)</f>
        <v>12459298.20999972</v>
      </c>
    </row>
    <row r="3270" spans="1:5" x14ac:dyDescent="0.25">
      <c r="A3270" s="2" t="s">
        <v>38</v>
      </c>
      <c r="B3270" s="6">
        <v>45376</v>
      </c>
      <c r="C3270" s="2" t="s">
        <v>19</v>
      </c>
      <c r="D3270" s="8">
        <v>-32</v>
      </c>
      <c r="E3270" s="8">
        <f>E3269+(0-32)</f>
        <v>12459266.20999972</v>
      </c>
    </row>
    <row r="3271" spans="1:5" x14ac:dyDescent="0.25">
      <c r="A3271" s="2" t="s">
        <v>38</v>
      </c>
      <c r="B3271" s="6">
        <v>45376</v>
      </c>
      <c r="C3271" s="2" t="s">
        <v>19</v>
      </c>
      <c r="D3271" s="8">
        <v>-8</v>
      </c>
      <c r="E3271" s="8">
        <f>E3270+(0-8)</f>
        <v>12459258.20999972</v>
      </c>
    </row>
    <row r="3272" spans="1:5" x14ac:dyDescent="0.25">
      <c r="A3272" s="2" t="s">
        <v>38</v>
      </c>
      <c r="B3272" s="6">
        <v>45376</v>
      </c>
      <c r="C3272" s="2" t="s">
        <v>53</v>
      </c>
      <c r="D3272" s="8">
        <v>-53.75</v>
      </c>
      <c r="E3272" s="8">
        <f>E3271+(0-53.75)</f>
        <v>12459204.45999972</v>
      </c>
    </row>
    <row r="3273" spans="1:5" x14ac:dyDescent="0.25">
      <c r="A3273" s="2" t="s">
        <v>38</v>
      </c>
      <c r="B3273" s="6">
        <v>45376</v>
      </c>
      <c r="C3273" s="2" t="s">
        <v>53</v>
      </c>
      <c r="D3273" s="8">
        <v>-50</v>
      </c>
      <c r="E3273" s="8">
        <f>E3272+(0-50)</f>
        <v>12459154.45999972</v>
      </c>
    </row>
    <row r="3274" spans="1:5" x14ac:dyDescent="0.25">
      <c r="A3274" s="2" t="s">
        <v>38</v>
      </c>
      <c r="B3274" s="6">
        <v>45376</v>
      </c>
      <c r="C3274" s="2" t="s">
        <v>53</v>
      </c>
      <c r="D3274" s="8">
        <v>-50</v>
      </c>
      <c r="E3274" s="8">
        <f>E3273+(0-50)</f>
        <v>12459104.45999972</v>
      </c>
    </row>
    <row r="3275" spans="1:5" x14ac:dyDescent="0.25">
      <c r="A3275" s="2" t="s">
        <v>38</v>
      </c>
      <c r="B3275" s="6">
        <v>45376</v>
      </c>
      <c r="C3275" s="2" t="s">
        <v>53</v>
      </c>
      <c r="D3275" s="8">
        <v>-550</v>
      </c>
      <c r="E3275" s="8">
        <f>E3274+(0-550)</f>
        <v>12458554.45999972</v>
      </c>
    </row>
    <row r="3276" spans="1:5" x14ac:dyDescent="0.25">
      <c r="A3276" s="2" t="s">
        <v>38</v>
      </c>
      <c r="B3276" s="6">
        <v>45377</v>
      </c>
      <c r="C3276" s="2" t="s">
        <v>19</v>
      </c>
      <c r="D3276" s="8">
        <v>-48</v>
      </c>
      <c r="E3276" s="8">
        <f>E3275+(0-48)</f>
        <v>12458506.45999972</v>
      </c>
    </row>
    <row r="3277" spans="1:5" x14ac:dyDescent="0.25">
      <c r="A3277" s="2" t="s">
        <v>38</v>
      </c>
      <c r="B3277" s="6">
        <v>45377</v>
      </c>
      <c r="C3277" s="2" t="s">
        <v>53</v>
      </c>
      <c r="D3277" s="8">
        <v>-300</v>
      </c>
      <c r="E3277" s="8">
        <f>E3276+(0-300)</f>
        <v>12458206.45999972</v>
      </c>
    </row>
    <row r="3278" spans="1:5" x14ac:dyDescent="0.25">
      <c r="A3278" s="2" t="s">
        <v>38</v>
      </c>
      <c r="B3278" s="6">
        <v>45377</v>
      </c>
      <c r="C3278" s="2" t="s">
        <v>53</v>
      </c>
      <c r="D3278" s="8">
        <v>-50</v>
      </c>
      <c r="E3278" s="8">
        <f>E3277+(0-50)</f>
        <v>12458156.45999972</v>
      </c>
    </row>
    <row r="3279" spans="1:5" x14ac:dyDescent="0.25">
      <c r="A3279" s="2" t="s">
        <v>38</v>
      </c>
      <c r="B3279" s="6">
        <v>45378</v>
      </c>
      <c r="C3279" s="2" t="s">
        <v>53</v>
      </c>
      <c r="D3279" s="8">
        <v>-53.75</v>
      </c>
      <c r="E3279" s="8">
        <f>E3278+(0-53.75)</f>
        <v>12458102.70999972</v>
      </c>
    </row>
    <row r="3280" spans="1:5" x14ac:dyDescent="0.25">
      <c r="A3280" s="2" t="s">
        <v>38</v>
      </c>
      <c r="B3280" s="6">
        <v>45378</v>
      </c>
      <c r="C3280" s="2" t="s">
        <v>53</v>
      </c>
      <c r="D3280" s="8">
        <v>-26.88</v>
      </c>
      <c r="E3280" s="8">
        <f>E3279+(0-26.88)</f>
        <v>12458075.829999719</v>
      </c>
    </row>
    <row r="3281" spans="1:5" x14ac:dyDescent="0.25">
      <c r="A3281" s="2" t="s">
        <v>38</v>
      </c>
      <c r="B3281" s="6">
        <v>45378</v>
      </c>
      <c r="C3281" s="2" t="s">
        <v>53</v>
      </c>
      <c r="D3281" s="8">
        <v>-53.75</v>
      </c>
      <c r="E3281" s="8">
        <f>E3280+(0-53.75)</f>
        <v>12458022.079999719</v>
      </c>
    </row>
    <row r="3282" spans="1:5" x14ac:dyDescent="0.25">
      <c r="A3282" s="2" t="s">
        <v>38</v>
      </c>
      <c r="B3282" s="6">
        <v>45378</v>
      </c>
      <c r="C3282" s="2" t="s">
        <v>53</v>
      </c>
      <c r="D3282" s="8">
        <v>-26.88</v>
      </c>
      <c r="E3282" s="8">
        <f>E3281+(0-26.88)</f>
        <v>12457995.199999718</v>
      </c>
    </row>
    <row r="3283" spans="1:5" x14ac:dyDescent="0.25">
      <c r="A3283" s="2" t="s">
        <v>38</v>
      </c>
      <c r="B3283" s="6">
        <v>45378</v>
      </c>
      <c r="C3283" s="2" t="s">
        <v>53</v>
      </c>
      <c r="D3283" s="8">
        <v>-53.75</v>
      </c>
      <c r="E3283" s="8">
        <f>E3282+(0-53.75)</f>
        <v>12457941.449999718</v>
      </c>
    </row>
    <row r="3284" spans="1:5" x14ac:dyDescent="0.25">
      <c r="A3284" s="2" t="s">
        <v>38</v>
      </c>
      <c r="B3284" s="6">
        <v>45378</v>
      </c>
      <c r="C3284" s="2" t="s">
        <v>53</v>
      </c>
      <c r="D3284" s="8">
        <v>-53.75</v>
      </c>
      <c r="E3284" s="8">
        <f>E3283+(0-53.75)</f>
        <v>12457887.699999718</v>
      </c>
    </row>
    <row r="3285" spans="1:5" x14ac:dyDescent="0.25">
      <c r="A3285" s="2" t="s">
        <v>38</v>
      </c>
      <c r="B3285" s="6">
        <v>45378</v>
      </c>
      <c r="C3285" s="2" t="s">
        <v>53</v>
      </c>
      <c r="D3285" s="8">
        <v>-53.75</v>
      </c>
      <c r="E3285" s="8">
        <f>E3284+(0-53.75)</f>
        <v>12457833.949999718</v>
      </c>
    </row>
    <row r="3286" spans="1:5" x14ac:dyDescent="0.25">
      <c r="A3286" s="2" t="s">
        <v>38</v>
      </c>
      <c r="B3286" s="6">
        <v>45378</v>
      </c>
      <c r="C3286" s="2" t="s">
        <v>53</v>
      </c>
      <c r="D3286" s="8">
        <v>-50</v>
      </c>
      <c r="E3286" s="8">
        <f>E3285+(0-50)</f>
        <v>12457783.949999718</v>
      </c>
    </row>
    <row r="3287" spans="1:5" x14ac:dyDescent="0.25">
      <c r="A3287" s="2" t="s">
        <v>38</v>
      </c>
      <c r="B3287" s="6">
        <v>45378</v>
      </c>
      <c r="C3287" s="2" t="s">
        <v>53</v>
      </c>
      <c r="D3287" s="8">
        <v>-150</v>
      </c>
      <c r="E3287" s="8">
        <f>E3286+(0-150)</f>
        <v>12457633.949999718</v>
      </c>
    </row>
    <row r="3288" spans="1:5" x14ac:dyDescent="0.25">
      <c r="A3288" s="2" t="s">
        <v>38</v>
      </c>
      <c r="B3288" s="6">
        <v>45379</v>
      </c>
      <c r="C3288" s="2" t="s">
        <v>19</v>
      </c>
      <c r="D3288" s="8">
        <v>-8</v>
      </c>
      <c r="E3288" s="8">
        <f>E3287+(0-8)</f>
        <v>12457625.949999718</v>
      </c>
    </row>
    <row r="3289" spans="1:5" x14ac:dyDescent="0.25">
      <c r="A3289" s="2" t="s">
        <v>38</v>
      </c>
      <c r="B3289" s="6">
        <v>45379</v>
      </c>
      <c r="C3289" s="2" t="s">
        <v>19</v>
      </c>
      <c r="D3289" s="8">
        <v>-60</v>
      </c>
      <c r="E3289" s="8">
        <f>E3288+(0-60)</f>
        <v>12457565.949999718</v>
      </c>
    </row>
    <row r="3290" spans="1:5" x14ac:dyDescent="0.25">
      <c r="A3290" s="2" t="s">
        <v>38</v>
      </c>
      <c r="B3290" s="6">
        <v>45379</v>
      </c>
      <c r="C3290" s="2" t="s">
        <v>53</v>
      </c>
      <c r="D3290" s="8">
        <v>-250</v>
      </c>
      <c r="E3290" s="8">
        <f>E3289+(0-250)</f>
        <v>12457315.949999718</v>
      </c>
    </row>
    <row r="3291" spans="1:5" x14ac:dyDescent="0.25">
      <c r="A3291" s="2" t="s">
        <v>38</v>
      </c>
      <c r="B3291" s="6">
        <v>45379</v>
      </c>
      <c r="C3291" s="2" t="s">
        <v>19</v>
      </c>
      <c r="D3291" s="8">
        <v>-16</v>
      </c>
      <c r="E3291" s="8">
        <f>E3290+(0-16)</f>
        <v>12457299.949999718</v>
      </c>
    </row>
    <row r="3292" spans="1:5" x14ac:dyDescent="0.25">
      <c r="A3292" s="2" t="s">
        <v>38</v>
      </c>
      <c r="B3292" s="6">
        <v>45384</v>
      </c>
      <c r="C3292" s="2" t="s">
        <v>19</v>
      </c>
      <c r="D3292" s="8">
        <v>-8</v>
      </c>
      <c r="E3292" s="8">
        <f>E3291+(0-8)</f>
        <v>12457291.949999718</v>
      </c>
    </row>
    <row r="3293" spans="1:5" x14ac:dyDescent="0.25">
      <c r="A3293" s="2" t="s">
        <v>38</v>
      </c>
      <c r="B3293" s="6">
        <v>45384</v>
      </c>
      <c r="C3293" s="2" t="s">
        <v>19</v>
      </c>
      <c r="D3293" s="8">
        <v>-4</v>
      </c>
      <c r="E3293" s="8">
        <f>E3292+(0-4)</f>
        <v>12457287.949999718</v>
      </c>
    </row>
    <row r="3294" spans="1:5" x14ac:dyDescent="0.25">
      <c r="A3294" s="2" t="s">
        <v>38</v>
      </c>
      <c r="B3294" s="6">
        <v>45384</v>
      </c>
      <c r="C3294" s="2" t="s">
        <v>53</v>
      </c>
      <c r="D3294" s="8">
        <v>-26.88</v>
      </c>
      <c r="E3294" s="8">
        <f>E3293+(0-26.88)</f>
        <v>12457261.069999717</v>
      </c>
    </row>
    <row r="3295" spans="1:5" x14ac:dyDescent="0.25">
      <c r="A3295" s="2" t="s">
        <v>38</v>
      </c>
      <c r="B3295" s="6">
        <v>45384</v>
      </c>
      <c r="C3295" s="2" t="s">
        <v>53</v>
      </c>
      <c r="D3295" s="8">
        <v>-53.75</v>
      </c>
      <c r="E3295" s="8">
        <f>E3294+(0-53.75)</f>
        <v>12457207.319999717</v>
      </c>
    </row>
    <row r="3296" spans="1:5" x14ac:dyDescent="0.25">
      <c r="A3296" s="2" t="s">
        <v>38</v>
      </c>
      <c r="B3296" s="6">
        <v>45384</v>
      </c>
      <c r="C3296" s="2" t="s">
        <v>53</v>
      </c>
      <c r="D3296" s="8">
        <v>-50</v>
      </c>
      <c r="E3296" s="8">
        <f>E3295+(0-50)</f>
        <v>12457157.319999717</v>
      </c>
    </row>
    <row r="3297" spans="1:5" x14ac:dyDescent="0.25">
      <c r="A3297" s="2" t="s">
        <v>38</v>
      </c>
      <c r="B3297" s="6">
        <v>45384</v>
      </c>
      <c r="C3297" s="2" t="s">
        <v>53</v>
      </c>
      <c r="D3297" s="8">
        <v>-50</v>
      </c>
      <c r="E3297" s="8">
        <f>E3296+(0-50)</f>
        <v>12457107.319999717</v>
      </c>
    </row>
    <row r="3298" spans="1:5" x14ac:dyDescent="0.25">
      <c r="A3298" s="2" t="s">
        <v>38</v>
      </c>
      <c r="B3298" s="6">
        <v>45384</v>
      </c>
      <c r="C3298" s="2" t="s">
        <v>53</v>
      </c>
      <c r="D3298" s="8">
        <v>-50</v>
      </c>
      <c r="E3298" s="8">
        <f>E3297+(0-50)</f>
        <v>12457057.319999717</v>
      </c>
    </row>
    <row r="3299" spans="1:5" x14ac:dyDescent="0.25">
      <c r="A3299" s="2" t="s">
        <v>38</v>
      </c>
      <c r="B3299" s="6">
        <v>45384</v>
      </c>
      <c r="C3299" s="2" t="s">
        <v>53</v>
      </c>
      <c r="D3299" s="8">
        <v>-850</v>
      </c>
      <c r="E3299" s="8">
        <f>E3298+(0-850)</f>
        <v>12456207.319999717</v>
      </c>
    </row>
    <row r="3300" spans="1:5" x14ac:dyDescent="0.25">
      <c r="A3300" s="2" t="s">
        <v>38</v>
      </c>
      <c r="B3300" s="6">
        <v>45385</v>
      </c>
      <c r="C3300" s="2" t="s">
        <v>53</v>
      </c>
      <c r="D3300" s="8">
        <v>-50</v>
      </c>
      <c r="E3300" s="8">
        <f>E3299+(0-50)</f>
        <v>12456157.319999717</v>
      </c>
    </row>
    <row r="3301" spans="1:5" x14ac:dyDescent="0.25">
      <c r="A3301" s="2" t="s">
        <v>38</v>
      </c>
      <c r="B3301" s="6">
        <v>45385</v>
      </c>
      <c r="C3301" s="2" t="s">
        <v>53</v>
      </c>
      <c r="D3301" s="8">
        <v>-53.75</v>
      </c>
      <c r="E3301" s="8">
        <f>E3300+(0-53.75)</f>
        <v>12456103.569999717</v>
      </c>
    </row>
    <row r="3302" spans="1:5" x14ac:dyDescent="0.25">
      <c r="A3302" s="2" t="s">
        <v>38</v>
      </c>
      <c r="B3302" s="6">
        <v>45385</v>
      </c>
      <c r="C3302" s="2" t="s">
        <v>53</v>
      </c>
      <c r="D3302" s="8">
        <v>-53.75</v>
      </c>
      <c r="E3302" s="8">
        <f>E3301+(0-53.75)</f>
        <v>12456049.819999717</v>
      </c>
    </row>
    <row r="3303" spans="1:5" x14ac:dyDescent="0.25">
      <c r="A3303" s="2" t="s">
        <v>38</v>
      </c>
      <c r="B3303" s="6">
        <v>45385</v>
      </c>
      <c r="C3303" s="2" t="s">
        <v>53</v>
      </c>
      <c r="D3303" s="8">
        <v>-400</v>
      </c>
      <c r="E3303" s="8">
        <f>E3302+(0-400)</f>
        <v>12455649.819999717</v>
      </c>
    </row>
    <row r="3304" spans="1:5" x14ac:dyDescent="0.25">
      <c r="A3304" s="2" t="s">
        <v>38</v>
      </c>
      <c r="B3304" s="6">
        <v>45386</v>
      </c>
      <c r="C3304" s="2" t="s">
        <v>53</v>
      </c>
      <c r="D3304" s="8">
        <v>-50</v>
      </c>
      <c r="E3304" s="8">
        <f>E3303+(0-50)</f>
        <v>12455599.819999717</v>
      </c>
    </row>
    <row r="3305" spans="1:5" x14ac:dyDescent="0.25">
      <c r="A3305" s="2" t="s">
        <v>38</v>
      </c>
      <c r="B3305" s="6">
        <v>45386</v>
      </c>
      <c r="C3305" s="2" t="s">
        <v>53</v>
      </c>
      <c r="D3305" s="8">
        <v>-53.75</v>
      </c>
      <c r="E3305" s="8">
        <f>E3304+(0-53.75)</f>
        <v>12455546.069999717</v>
      </c>
    </row>
    <row r="3306" spans="1:5" x14ac:dyDescent="0.25">
      <c r="A3306" s="2" t="s">
        <v>38</v>
      </c>
      <c r="B3306" s="6">
        <v>45386</v>
      </c>
      <c r="C3306" s="2" t="s">
        <v>53</v>
      </c>
      <c r="D3306" s="8">
        <v>-53.75</v>
      </c>
      <c r="E3306" s="8">
        <f>E3305+(0-53.75)</f>
        <v>12455492.319999717</v>
      </c>
    </row>
    <row r="3307" spans="1:5" x14ac:dyDescent="0.25">
      <c r="A3307" s="2" t="s">
        <v>38</v>
      </c>
      <c r="B3307" s="6">
        <v>45386</v>
      </c>
      <c r="C3307" s="2" t="s">
        <v>53</v>
      </c>
      <c r="D3307" s="8">
        <v>-600</v>
      </c>
      <c r="E3307" s="8">
        <f>E3306+(0-600)</f>
        <v>12454892.319999717</v>
      </c>
    </row>
    <row r="3308" spans="1:5" x14ac:dyDescent="0.25">
      <c r="A3308" s="2" t="s">
        <v>38</v>
      </c>
      <c r="B3308" s="6">
        <v>45387</v>
      </c>
      <c r="C3308" s="2" t="s">
        <v>53</v>
      </c>
      <c r="D3308" s="8">
        <v>-26.88</v>
      </c>
      <c r="E3308" s="8">
        <f>E3307+(0-26.88)</f>
        <v>12454865.439999716</v>
      </c>
    </row>
    <row r="3309" spans="1:5" x14ac:dyDescent="0.25">
      <c r="A3309" s="2" t="s">
        <v>38</v>
      </c>
      <c r="B3309" s="6">
        <v>45387</v>
      </c>
      <c r="C3309" s="2" t="s">
        <v>197</v>
      </c>
      <c r="D3309" s="8">
        <v>-53.75</v>
      </c>
      <c r="E3309" s="8">
        <f>E3308+(0-53.75)</f>
        <v>12454811.689999716</v>
      </c>
    </row>
    <row r="3310" spans="1:5" x14ac:dyDescent="0.25">
      <c r="A3310" s="2" t="s">
        <v>38</v>
      </c>
      <c r="B3310" s="6">
        <v>45387</v>
      </c>
      <c r="C3310" s="2" t="s">
        <v>53</v>
      </c>
      <c r="D3310" s="8">
        <v>-450</v>
      </c>
      <c r="E3310" s="8">
        <f>E3309+(0-450)</f>
        <v>12454361.689999716</v>
      </c>
    </row>
    <row r="3311" spans="1:5" x14ac:dyDescent="0.25">
      <c r="A3311" s="2" t="s">
        <v>38</v>
      </c>
      <c r="B3311" s="6">
        <v>45387</v>
      </c>
      <c r="C3311" s="2" t="s">
        <v>53</v>
      </c>
      <c r="D3311" s="8">
        <v>-26.88</v>
      </c>
      <c r="E3311" s="8">
        <f>E3310+(0-26.88)</f>
        <v>12454334.809999716</v>
      </c>
    </row>
    <row r="3312" spans="1:5" x14ac:dyDescent="0.25">
      <c r="A3312" s="2" t="s">
        <v>38</v>
      </c>
      <c r="B3312" s="6">
        <v>45390</v>
      </c>
      <c r="C3312" s="2" t="s">
        <v>53</v>
      </c>
      <c r="D3312" s="8">
        <v>-26.88</v>
      </c>
      <c r="E3312" s="8">
        <f>E3311+(0-26.88)</f>
        <v>12454307.929999715</v>
      </c>
    </row>
    <row r="3313" spans="1:5" x14ac:dyDescent="0.25">
      <c r="A3313" s="2" t="s">
        <v>38</v>
      </c>
      <c r="B3313" s="6">
        <v>45390</v>
      </c>
      <c r="C3313" s="2" t="s">
        <v>53</v>
      </c>
      <c r="D3313" s="8">
        <v>-450</v>
      </c>
      <c r="E3313" s="8">
        <f>E3312+(0-450)</f>
        <v>12453857.929999715</v>
      </c>
    </row>
    <row r="3314" spans="1:5" x14ac:dyDescent="0.25">
      <c r="A3314" s="2" t="s">
        <v>38</v>
      </c>
      <c r="B3314" s="6">
        <v>45390</v>
      </c>
      <c r="C3314" s="2" t="s">
        <v>53</v>
      </c>
      <c r="D3314" s="8">
        <v>-53.75</v>
      </c>
      <c r="E3314" s="8">
        <f>E3313+(0-53.75)</f>
        <v>12453804.179999715</v>
      </c>
    </row>
    <row r="3315" spans="1:5" x14ac:dyDescent="0.25">
      <c r="A3315" s="2" t="s">
        <v>38</v>
      </c>
      <c r="B3315" s="6">
        <v>45393</v>
      </c>
      <c r="C3315" s="2" t="s">
        <v>53</v>
      </c>
      <c r="D3315" s="8">
        <v>-53.75</v>
      </c>
      <c r="E3315" s="8">
        <f>E3314+(0-53.75)</f>
        <v>12453750.429999715</v>
      </c>
    </row>
    <row r="3316" spans="1:5" x14ac:dyDescent="0.25">
      <c r="A3316" s="2" t="s">
        <v>38</v>
      </c>
      <c r="B3316" s="6">
        <v>45393</v>
      </c>
      <c r="C3316" s="2" t="s">
        <v>53</v>
      </c>
      <c r="D3316" s="8">
        <v>-26.88</v>
      </c>
      <c r="E3316" s="8">
        <f>E3315+(0-26.88)</f>
        <v>12453723.549999714</v>
      </c>
    </row>
    <row r="3317" spans="1:5" x14ac:dyDescent="0.25">
      <c r="A3317" s="2" t="s">
        <v>38</v>
      </c>
      <c r="B3317" s="6">
        <v>45393</v>
      </c>
      <c r="C3317" s="2" t="s">
        <v>53</v>
      </c>
      <c r="D3317" s="8">
        <v>-50</v>
      </c>
      <c r="E3317" s="8">
        <f>E3316+(0-50)</f>
        <v>12453673.549999714</v>
      </c>
    </row>
    <row r="3318" spans="1:5" x14ac:dyDescent="0.25">
      <c r="A3318" s="2" t="s">
        <v>38</v>
      </c>
      <c r="B3318" s="6">
        <v>45393</v>
      </c>
      <c r="C3318" s="2" t="s">
        <v>53</v>
      </c>
      <c r="D3318" s="8">
        <v>-600</v>
      </c>
      <c r="E3318" s="8">
        <f>E3317+(0-600)</f>
        <v>12453073.549999714</v>
      </c>
    </row>
    <row r="3319" spans="1:5" x14ac:dyDescent="0.25">
      <c r="A3319" s="2" t="s">
        <v>38</v>
      </c>
      <c r="B3319" s="6">
        <v>45394</v>
      </c>
      <c r="C3319" s="2" t="s">
        <v>53</v>
      </c>
      <c r="D3319" s="8">
        <v>-53.75</v>
      </c>
      <c r="E3319" s="8">
        <f>E3318+(0-53.75)</f>
        <v>12453019.799999714</v>
      </c>
    </row>
    <row r="3320" spans="1:5" x14ac:dyDescent="0.25">
      <c r="A3320" s="2" t="s">
        <v>38</v>
      </c>
      <c r="B3320" s="6">
        <v>45394</v>
      </c>
      <c r="C3320" s="2" t="s">
        <v>53</v>
      </c>
      <c r="D3320" s="8">
        <v>-450</v>
      </c>
      <c r="E3320" s="8">
        <f>E3319+(0-450)</f>
        <v>12452569.799999714</v>
      </c>
    </row>
    <row r="3321" spans="1:5" x14ac:dyDescent="0.25">
      <c r="A3321" s="2" t="s">
        <v>38</v>
      </c>
      <c r="B3321" s="6">
        <v>45394</v>
      </c>
      <c r="C3321" s="2" t="s">
        <v>53</v>
      </c>
      <c r="D3321" s="8">
        <v>-150</v>
      </c>
      <c r="E3321" s="8">
        <f>E3320+(0-150)</f>
        <v>12452419.799999714</v>
      </c>
    </row>
    <row r="3322" spans="1:5" x14ac:dyDescent="0.25">
      <c r="A3322" s="2" t="s">
        <v>38</v>
      </c>
      <c r="B3322" s="6">
        <v>45397</v>
      </c>
      <c r="C3322" s="2" t="s">
        <v>19</v>
      </c>
      <c r="D3322" s="8">
        <v>-428</v>
      </c>
      <c r="E3322" s="8">
        <f>E3321+(0-428)</f>
        <v>12451991.799999714</v>
      </c>
    </row>
    <row r="3323" spans="1:5" x14ac:dyDescent="0.25">
      <c r="A3323" s="2" t="s">
        <v>38</v>
      </c>
      <c r="B3323" s="6">
        <v>45397</v>
      </c>
      <c r="C3323" s="2" t="s">
        <v>53</v>
      </c>
      <c r="D3323" s="8">
        <v>-50</v>
      </c>
      <c r="E3323" s="8">
        <f>E3322+(0-50)</f>
        <v>12451941.799999714</v>
      </c>
    </row>
    <row r="3324" spans="1:5" x14ac:dyDescent="0.25">
      <c r="A3324" s="2" t="s">
        <v>38</v>
      </c>
      <c r="B3324" s="6">
        <v>45397</v>
      </c>
      <c r="C3324" s="2" t="s">
        <v>53</v>
      </c>
      <c r="D3324" s="8">
        <v>-400</v>
      </c>
      <c r="E3324" s="8">
        <f>E3323+(0-400)</f>
        <v>12451541.799999714</v>
      </c>
    </row>
    <row r="3325" spans="1:5" x14ac:dyDescent="0.25">
      <c r="A3325" s="2" t="s">
        <v>38</v>
      </c>
      <c r="B3325" s="6">
        <v>45398</v>
      </c>
      <c r="C3325" s="2" t="s">
        <v>53</v>
      </c>
      <c r="D3325" s="8">
        <v>-50</v>
      </c>
      <c r="E3325" s="8">
        <f>E3324+(0-50)</f>
        <v>12451491.799999714</v>
      </c>
    </row>
    <row r="3326" spans="1:5" x14ac:dyDescent="0.25">
      <c r="A3326" s="2" t="s">
        <v>38</v>
      </c>
      <c r="B3326" s="6">
        <v>45398</v>
      </c>
      <c r="C3326" s="2" t="s">
        <v>53</v>
      </c>
      <c r="D3326" s="8">
        <v>-900</v>
      </c>
      <c r="E3326" s="8">
        <f>E3325+(0-900)</f>
        <v>12450591.799999714</v>
      </c>
    </row>
    <row r="3327" spans="1:5" x14ac:dyDescent="0.25">
      <c r="A3327" s="2" t="s">
        <v>38</v>
      </c>
      <c r="B3327" s="6">
        <v>45398</v>
      </c>
      <c r="C3327" s="2" t="s">
        <v>53</v>
      </c>
      <c r="D3327" s="8">
        <v>-50</v>
      </c>
      <c r="E3327" s="8">
        <f>E3326+(0-50)</f>
        <v>12450541.799999714</v>
      </c>
    </row>
    <row r="3328" spans="1:5" x14ac:dyDescent="0.25">
      <c r="A3328" s="2" t="s">
        <v>38</v>
      </c>
      <c r="B3328" s="6">
        <v>45399</v>
      </c>
      <c r="C3328" s="2" t="s">
        <v>53</v>
      </c>
      <c r="D3328" s="8">
        <v>-53.75</v>
      </c>
      <c r="E3328" s="8">
        <f>E3327+(0-53.75)</f>
        <v>12450488.049999714</v>
      </c>
    </row>
    <row r="3329" spans="1:5" x14ac:dyDescent="0.25">
      <c r="A3329" s="2" t="s">
        <v>38</v>
      </c>
      <c r="B3329" s="6">
        <v>45399</v>
      </c>
      <c r="C3329" s="2" t="s">
        <v>19</v>
      </c>
      <c r="D3329" s="8">
        <v>-4</v>
      </c>
      <c r="E3329" s="8">
        <f>E3328+(0-4)</f>
        <v>12450484.049999714</v>
      </c>
    </row>
    <row r="3330" spans="1:5" x14ac:dyDescent="0.25">
      <c r="A3330" s="2" t="s">
        <v>38</v>
      </c>
      <c r="B3330" s="6">
        <v>45399</v>
      </c>
      <c r="C3330" s="2" t="s">
        <v>19</v>
      </c>
      <c r="D3330" s="8">
        <v>-92</v>
      </c>
      <c r="E3330" s="8">
        <f>E3329+(0-92)</f>
        <v>12450392.049999714</v>
      </c>
    </row>
    <row r="3331" spans="1:5" x14ac:dyDescent="0.25">
      <c r="A3331" s="2" t="s">
        <v>38</v>
      </c>
      <c r="B3331" s="6">
        <v>45399</v>
      </c>
      <c r="C3331" s="2" t="s">
        <v>53</v>
      </c>
      <c r="D3331" s="8">
        <v>-50</v>
      </c>
      <c r="E3331" s="8">
        <f>E3330+(0-50)</f>
        <v>12450342.049999714</v>
      </c>
    </row>
    <row r="3332" spans="1:5" x14ac:dyDescent="0.25">
      <c r="A3332" s="2" t="s">
        <v>38</v>
      </c>
      <c r="B3332" s="6">
        <v>45399</v>
      </c>
      <c r="C3332" s="2" t="s">
        <v>53</v>
      </c>
      <c r="D3332" s="8">
        <v>-400</v>
      </c>
      <c r="E3332" s="8">
        <f>E3331+(0-400)</f>
        <v>12449942.049999714</v>
      </c>
    </row>
    <row r="3333" spans="1:5" x14ac:dyDescent="0.25">
      <c r="A3333" s="2" t="s">
        <v>38</v>
      </c>
      <c r="B3333" s="6">
        <v>45400</v>
      </c>
      <c r="C3333" s="2" t="s">
        <v>19</v>
      </c>
      <c r="D3333" s="8">
        <v>-48</v>
      </c>
      <c r="E3333" s="8">
        <f>E3332+(0-48)</f>
        <v>12449894.049999714</v>
      </c>
    </row>
    <row r="3334" spans="1:5" x14ac:dyDescent="0.25">
      <c r="A3334" s="2" t="s">
        <v>38</v>
      </c>
      <c r="B3334" s="6">
        <v>45400</v>
      </c>
      <c r="C3334" s="2" t="s">
        <v>19</v>
      </c>
      <c r="D3334" s="8">
        <v>-68</v>
      </c>
      <c r="E3334" s="8">
        <f>E3333+(0-68)</f>
        <v>12449826.049999714</v>
      </c>
    </row>
    <row r="3335" spans="1:5" x14ac:dyDescent="0.25">
      <c r="A3335" s="2" t="s">
        <v>38</v>
      </c>
      <c r="B3335" s="6">
        <v>45400</v>
      </c>
      <c r="C3335" s="2" t="s">
        <v>19</v>
      </c>
      <c r="D3335" s="8">
        <v>-60</v>
      </c>
      <c r="E3335" s="8">
        <f>E3334+(0-60)</f>
        <v>12449766.049999714</v>
      </c>
    </row>
    <row r="3336" spans="1:5" x14ac:dyDescent="0.25">
      <c r="A3336" s="2" t="s">
        <v>38</v>
      </c>
      <c r="B3336" s="6">
        <v>45400</v>
      </c>
      <c r="C3336" s="2" t="s">
        <v>19</v>
      </c>
      <c r="D3336" s="8">
        <v>-8</v>
      </c>
      <c r="E3336" s="8">
        <f>E3335+(0-8)</f>
        <v>12449758.049999714</v>
      </c>
    </row>
    <row r="3337" spans="1:5" x14ac:dyDescent="0.25">
      <c r="A3337" s="2" t="s">
        <v>38</v>
      </c>
      <c r="B3337" s="6">
        <v>45400</v>
      </c>
      <c r="C3337" s="2" t="s">
        <v>19</v>
      </c>
      <c r="D3337" s="8">
        <v>-4</v>
      </c>
      <c r="E3337" s="8">
        <f>E3336+(0-4)</f>
        <v>12449754.049999714</v>
      </c>
    </row>
    <row r="3338" spans="1:5" x14ac:dyDescent="0.25">
      <c r="A3338" s="2" t="s">
        <v>38</v>
      </c>
      <c r="B3338" s="6">
        <v>45400</v>
      </c>
      <c r="C3338" s="2" t="s">
        <v>19</v>
      </c>
      <c r="D3338" s="8">
        <v>-44</v>
      </c>
      <c r="E3338" s="8">
        <f>E3337+(0-44)</f>
        <v>12449710.049999714</v>
      </c>
    </row>
    <row r="3339" spans="1:5" x14ac:dyDescent="0.25">
      <c r="A3339" s="2" t="s">
        <v>38</v>
      </c>
      <c r="B3339" s="6">
        <v>45400</v>
      </c>
      <c r="C3339" s="2" t="s">
        <v>19</v>
      </c>
      <c r="D3339" s="8">
        <v>-32</v>
      </c>
      <c r="E3339" s="8">
        <f>E3338+(0-32)</f>
        <v>12449678.049999714</v>
      </c>
    </row>
    <row r="3340" spans="1:5" x14ac:dyDescent="0.25">
      <c r="A3340" s="2" t="s">
        <v>38</v>
      </c>
      <c r="B3340" s="6">
        <v>45400</v>
      </c>
      <c r="C3340" s="2" t="s">
        <v>53</v>
      </c>
      <c r="D3340" s="8">
        <v>-50</v>
      </c>
      <c r="E3340" s="8">
        <f>E3339+(0-50)</f>
        <v>12449628.049999714</v>
      </c>
    </row>
    <row r="3341" spans="1:5" x14ac:dyDescent="0.25">
      <c r="A3341" s="2" t="s">
        <v>38</v>
      </c>
      <c r="B3341" s="6">
        <v>45400</v>
      </c>
      <c r="C3341" s="2" t="s">
        <v>53</v>
      </c>
      <c r="D3341" s="8">
        <v>-650</v>
      </c>
      <c r="E3341" s="8">
        <f>E3340+(0-650)</f>
        <v>12448978.049999714</v>
      </c>
    </row>
    <row r="3342" spans="1:5" x14ac:dyDescent="0.25">
      <c r="A3342" s="2" t="s">
        <v>38</v>
      </c>
      <c r="B3342" s="6">
        <v>45401</v>
      </c>
      <c r="C3342" s="2" t="s">
        <v>19</v>
      </c>
      <c r="D3342" s="8">
        <v>-44</v>
      </c>
      <c r="E3342" s="8">
        <f>E3341+(0-44)</f>
        <v>12448934.049999714</v>
      </c>
    </row>
    <row r="3343" spans="1:5" x14ac:dyDescent="0.25">
      <c r="A3343" s="2" t="s">
        <v>38</v>
      </c>
      <c r="B3343" s="6">
        <v>45401</v>
      </c>
      <c r="C3343" s="2" t="s">
        <v>19</v>
      </c>
      <c r="D3343" s="8">
        <v>-76</v>
      </c>
      <c r="E3343" s="8">
        <f>E3342+(0-76)</f>
        <v>12448858.049999714</v>
      </c>
    </row>
    <row r="3344" spans="1:5" x14ac:dyDescent="0.25">
      <c r="A3344" s="2" t="s">
        <v>38</v>
      </c>
      <c r="B3344" s="6">
        <v>45401</v>
      </c>
      <c r="C3344" s="2" t="s">
        <v>19</v>
      </c>
      <c r="D3344" s="8">
        <v>-8</v>
      </c>
      <c r="E3344" s="8">
        <f>E3343+(0-8)</f>
        <v>12448850.049999714</v>
      </c>
    </row>
    <row r="3345" spans="1:5" x14ac:dyDescent="0.25">
      <c r="A3345" s="2" t="s">
        <v>38</v>
      </c>
      <c r="B3345" s="6">
        <v>45401</v>
      </c>
      <c r="C3345" s="2" t="s">
        <v>53</v>
      </c>
      <c r="D3345" s="8">
        <v>-53.75</v>
      </c>
      <c r="E3345" s="8">
        <f>E3344+(0-53.75)</f>
        <v>12448796.299999714</v>
      </c>
    </row>
    <row r="3346" spans="1:5" x14ac:dyDescent="0.25">
      <c r="A3346" s="2" t="s">
        <v>38</v>
      </c>
      <c r="B3346" s="6">
        <v>45401</v>
      </c>
      <c r="C3346" s="2" t="s">
        <v>53</v>
      </c>
      <c r="D3346" s="8">
        <v>-550</v>
      </c>
      <c r="E3346" s="8">
        <f>E3345+(0-550)</f>
        <v>12448246.299999714</v>
      </c>
    </row>
    <row r="3347" spans="1:5" x14ac:dyDescent="0.25">
      <c r="A3347" s="2" t="s">
        <v>38</v>
      </c>
      <c r="B3347" s="6">
        <v>45401</v>
      </c>
      <c r="C3347" s="2" t="s">
        <v>19</v>
      </c>
      <c r="D3347" s="8">
        <v>-4</v>
      </c>
      <c r="E3347" s="8">
        <f>E3346+(0-4)</f>
        <v>12448242.299999714</v>
      </c>
    </row>
    <row r="3348" spans="1:5" x14ac:dyDescent="0.25">
      <c r="A3348" s="2" t="s">
        <v>38</v>
      </c>
      <c r="B3348" s="6">
        <v>45404</v>
      </c>
      <c r="C3348" s="2" t="s">
        <v>53</v>
      </c>
      <c r="D3348" s="8">
        <v>-53.75</v>
      </c>
      <c r="E3348" s="8">
        <f>E3347+(0-53.75)</f>
        <v>12448188.549999714</v>
      </c>
    </row>
    <row r="3349" spans="1:5" x14ac:dyDescent="0.25">
      <c r="A3349" s="2" t="s">
        <v>38</v>
      </c>
      <c r="B3349" s="6">
        <v>45404</v>
      </c>
      <c r="C3349" s="2" t="s">
        <v>19</v>
      </c>
      <c r="D3349" s="8">
        <v>-40</v>
      </c>
      <c r="E3349" s="8">
        <f>E3348+(0-40)</f>
        <v>12448148.549999714</v>
      </c>
    </row>
    <row r="3350" spans="1:5" x14ac:dyDescent="0.25">
      <c r="A3350" s="2" t="s">
        <v>38</v>
      </c>
      <c r="B3350" s="6">
        <v>45404</v>
      </c>
      <c r="C3350" s="2" t="s">
        <v>53</v>
      </c>
      <c r="D3350" s="8">
        <v>-26.88</v>
      </c>
      <c r="E3350" s="8">
        <f>E3349+(0-26.88)</f>
        <v>12448121.669999713</v>
      </c>
    </row>
    <row r="3351" spans="1:5" x14ac:dyDescent="0.25">
      <c r="A3351" s="2" t="s">
        <v>38</v>
      </c>
      <c r="B3351" s="6">
        <v>45404</v>
      </c>
      <c r="C3351" s="2" t="s">
        <v>19</v>
      </c>
      <c r="D3351" s="8">
        <v>-100</v>
      </c>
      <c r="E3351" s="8">
        <f>E3350+(0-100)</f>
        <v>12448021.669999713</v>
      </c>
    </row>
    <row r="3352" spans="1:5" x14ac:dyDescent="0.25">
      <c r="A3352" s="2" t="s">
        <v>38</v>
      </c>
      <c r="B3352" s="6">
        <v>45404</v>
      </c>
      <c r="C3352" s="2" t="s">
        <v>19</v>
      </c>
      <c r="D3352" s="8">
        <v>-464</v>
      </c>
      <c r="E3352" s="8">
        <f>E3351+(0-464)</f>
        <v>12447557.669999713</v>
      </c>
    </row>
    <row r="3353" spans="1:5" x14ac:dyDescent="0.25">
      <c r="A3353" s="2" t="s">
        <v>38</v>
      </c>
      <c r="B3353" s="6">
        <v>45404</v>
      </c>
      <c r="C3353" s="2" t="s">
        <v>19</v>
      </c>
      <c r="D3353" s="8">
        <v>-48</v>
      </c>
      <c r="E3353" s="8">
        <f>E3352+(0-48)</f>
        <v>12447509.669999713</v>
      </c>
    </row>
    <row r="3354" spans="1:5" x14ac:dyDescent="0.25">
      <c r="A3354" s="2" t="s">
        <v>38</v>
      </c>
      <c r="B3354" s="6">
        <v>45404</v>
      </c>
      <c r="C3354" s="2" t="s">
        <v>19</v>
      </c>
      <c r="D3354" s="8">
        <v>-56</v>
      </c>
      <c r="E3354" s="8">
        <f>E3353+(0-56)</f>
        <v>12447453.669999713</v>
      </c>
    </row>
    <row r="3355" spans="1:5" x14ac:dyDescent="0.25">
      <c r="A3355" s="2" t="s">
        <v>38</v>
      </c>
      <c r="B3355" s="6">
        <v>45404</v>
      </c>
      <c r="C3355" s="2" t="s">
        <v>19</v>
      </c>
      <c r="D3355" s="8">
        <v>-52</v>
      </c>
      <c r="E3355" s="8">
        <f>E3354+(0-52)</f>
        <v>12447401.669999713</v>
      </c>
    </row>
    <row r="3356" spans="1:5" x14ac:dyDescent="0.25">
      <c r="A3356" s="2" t="s">
        <v>38</v>
      </c>
      <c r="B3356" s="6">
        <v>45404</v>
      </c>
      <c r="C3356" s="2" t="s">
        <v>19</v>
      </c>
      <c r="D3356" s="8">
        <v>-16</v>
      </c>
      <c r="E3356" s="8">
        <f>E3355+(0-16)</f>
        <v>12447385.669999713</v>
      </c>
    </row>
    <row r="3357" spans="1:5" x14ac:dyDescent="0.25">
      <c r="A3357" s="2" t="s">
        <v>38</v>
      </c>
      <c r="B3357" s="6">
        <v>45404</v>
      </c>
      <c r="C3357" s="2" t="s">
        <v>19</v>
      </c>
      <c r="D3357" s="8">
        <v>-4</v>
      </c>
      <c r="E3357" s="8">
        <f>E3356+(0-4)</f>
        <v>12447381.669999713</v>
      </c>
    </row>
    <row r="3358" spans="1:5" x14ac:dyDescent="0.25">
      <c r="A3358" s="2" t="s">
        <v>38</v>
      </c>
      <c r="B3358" s="6">
        <v>45404</v>
      </c>
      <c r="C3358" s="2" t="s">
        <v>53</v>
      </c>
      <c r="D3358" s="8">
        <v>-500</v>
      </c>
      <c r="E3358" s="8">
        <f>E3357+(0-500)</f>
        <v>12446881.669999713</v>
      </c>
    </row>
    <row r="3359" spans="1:5" x14ac:dyDescent="0.25">
      <c r="A3359" s="2" t="s">
        <v>38</v>
      </c>
      <c r="B3359" s="6">
        <v>45405</v>
      </c>
      <c r="C3359" s="2" t="s">
        <v>53</v>
      </c>
      <c r="D3359" s="8">
        <v>-26.88</v>
      </c>
      <c r="E3359" s="8">
        <f>E3358+(0-26.88)</f>
        <v>12446854.789999712</v>
      </c>
    </row>
    <row r="3360" spans="1:5" x14ac:dyDescent="0.25">
      <c r="A3360" s="2" t="s">
        <v>38</v>
      </c>
      <c r="B3360" s="6">
        <v>45405</v>
      </c>
      <c r="C3360" s="2" t="s">
        <v>53</v>
      </c>
      <c r="D3360" s="8">
        <v>-53.75</v>
      </c>
      <c r="E3360" s="8">
        <f>E3359+(0-53.75)</f>
        <v>12446801.039999712</v>
      </c>
    </row>
    <row r="3361" spans="1:5" x14ac:dyDescent="0.25">
      <c r="A3361" s="2" t="s">
        <v>38</v>
      </c>
      <c r="B3361" s="6">
        <v>45405</v>
      </c>
      <c r="C3361" s="2" t="s">
        <v>53</v>
      </c>
      <c r="D3361" s="8">
        <v>-200</v>
      </c>
      <c r="E3361" s="8">
        <f>E3360+(0-200)</f>
        <v>12446601.039999712</v>
      </c>
    </row>
    <row r="3362" spans="1:5" x14ac:dyDescent="0.25">
      <c r="A3362" s="2" t="s">
        <v>38</v>
      </c>
      <c r="B3362" s="6">
        <v>45406</v>
      </c>
      <c r="C3362" s="2" t="s">
        <v>53</v>
      </c>
      <c r="D3362" s="8">
        <v>-500</v>
      </c>
      <c r="E3362" s="8">
        <f>E3361+(0-500)</f>
        <v>12446101.039999712</v>
      </c>
    </row>
    <row r="3363" spans="1:5" x14ac:dyDescent="0.25">
      <c r="A3363" s="2" t="s">
        <v>38</v>
      </c>
      <c r="B3363" s="6">
        <v>45406</v>
      </c>
      <c r="C3363" s="2" t="s">
        <v>19</v>
      </c>
      <c r="D3363" s="8">
        <v>-36</v>
      </c>
      <c r="E3363" s="8">
        <f>E3362+(0-36)</f>
        <v>12446065.039999712</v>
      </c>
    </row>
    <row r="3364" spans="1:5" x14ac:dyDescent="0.25">
      <c r="A3364" s="2" t="s">
        <v>38</v>
      </c>
      <c r="B3364" s="6">
        <v>45407</v>
      </c>
      <c r="C3364" s="2" t="s">
        <v>53</v>
      </c>
      <c r="D3364" s="8">
        <v>-53.75</v>
      </c>
      <c r="E3364" s="8">
        <f>E3363+(0-53.75)</f>
        <v>12446011.289999712</v>
      </c>
    </row>
    <row r="3365" spans="1:5" x14ac:dyDescent="0.25">
      <c r="A3365" s="2" t="s">
        <v>38</v>
      </c>
      <c r="B3365" s="6">
        <v>45407</v>
      </c>
      <c r="C3365" s="2" t="s">
        <v>53</v>
      </c>
      <c r="D3365" s="8">
        <v>-26.88</v>
      </c>
      <c r="E3365" s="8">
        <f>E3364+(0-26.88)</f>
        <v>12445984.409999711</v>
      </c>
    </row>
    <row r="3366" spans="1:5" x14ac:dyDescent="0.25">
      <c r="A3366" s="2" t="s">
        <v>38</v>
      </c>
      <c r="B3366" s="6">
        <v>45407</v>
      </c>
      <c r="C3366" s="2" t="s">
        <v>53</v>
      </c>
      <c r="D3366" s="8">
        <v>-400</v>
      </c>
      <c r="E3366" s="8">
        <f>E3365+(0-400)</f>
        <v>12445584.409999711</v>
      </c>
    </row>
    <row r="3367" spans="1:5" x14ac:dyDescent="0.25">
      <c r="A3367" s="2" t="s">
        <v>38</v>
      </c>
      <c r="B3367" s="6">
        <v>45407</v>
      </c>
      <c r="C3367" s="2" t="s">
        <v>19</v>
      </c>
      <c r="D3367" s="8">
        <v>-52</v>
      </c>
      <c r="E3367" s="8">
        <f>E3366+(0-52)</f>
        <v>12445532.409999711</v>
      </c>
    </row>
    <row r="3368" spans="1:5" x14ac:dyDescent="0.25">
      <c r="A3368" s="2" t="s">
        <v>38</v>
      </c>
      <c r="B3368" s="6">
        <v>45408</v>
      </c>
      <c r="C3368" s="2" t="s">
        <v>53</v>
      </c>
      <c r="D3368" s="8">
        <v>-50</v>
      </c>
      <c r="E3368" s="8">
        <f>E3367+(0-50)</f>
        <v>12445482.409999711</v>
      </c>
    </row>
    <row r="3369" spans="1:5" x14ac:dyDescent="0.25">
      <c r="A3369" s="2" t="s">
        <v>38</v>
      </c>
      <c r="B3369" s="6">
        <v>45408</v>
      </c>
      <c r="C3369" s="2" t="s">
        <v>53</v>
      </c>
      <c r="D3369" s="8">
        <v>-53.75</v>
      </c>
      <c r="E3369" s="8">
        <f>E3368+(0-53.75)</f>
        <v>12445428.659999711</v>
      </c>
    </row>
    <row r="3370" spans="1:5" x14ac:dyDescent="0.25">
      <c r="A3370" s="2" t="s">
        <v>38</v>
      </c>
      <c r="B3370" s="6">
        <v>45408</v>
      </c>
      <c r="C3370" s="2" t="s">
        <v>53</v>
      </c>
      <c r="D3370" s="8">
        <v>-50</v>
      </c>
      <c r="E3370" s="8">
        <f>E3369+(0-50)</f>
        <v>12445378.659999711</v>
      </c>
    </row>
    <row r="3371" spans="1:5" x14ac:dyDescent="0.25">
      <c r="A3371" s="2" t="s">
        <v>38</v>
      </c>
      <c r="B3371" s="6">
        <v>45408</v>
      </c>
      <c r="C3371" s="2" t="s">
        <v>53</v>
      </c>
      <c r="D3371" s="8">
        <v>-400</v>
      </c>
      <c r="E3371" s="8">
        <f>E3370+(0-400)</f>
        <v>12444978.659999711</v>
      </c>
    </row>
    <row r="3372" spans="1:5" x14ac:dyDescent="0.25">
      <c r="A3372" s="2" t="s">
        <v>38</v>
      </c>
      <c r="B3372" s="6">
        <v>45411</v>
      </c>
      <c r="C3372" s="2" t="s">
        <v>19</v>
      </c>
      <c r="D3372" s="8">
        <v>-516</v>
      </c>
      <c r="E3372" s="8">
        <f>E3371+(0-516)</f>
        <v>12444462.659999711</v>
      </c>
    </row>
    <row r="3373" spans="1:5" x14ac:dyDescent="0.25">
      <c r="A3373" s="2" t="s">
        <v>38</v>
      </c>
      <c r="B3373" s="6">
        <v>45411</v>
      </c>
      <c r="C3373" s="2" t="s">
        <v>53</v>
      </c>
      <c r="D3373" s="8">
        <v>-53.75</v>
      </c>
      <c r="E3373" s="8">
        <f>E3372+(0-53.75)</f>
        <v>12444408.909999711</v>
      </c>
    </row>
    <row r="3374" spans="1:5" x14ac:dyDescent="0.25">
      <c r="A3374" s="2" t="s">
        <v>38</v>
      </c>
      <c r="B3374" s="6">
        <v>45411</v>
      </c>
      <c r="C3374" s="2" t="s">
        <v>53</v>
      </c>
      <c r="D3374" s="8">
        <v>-26.88</v>
      </c>
      <c r="E3374" s="8">
        <f>E3373+(0-26.88)</f>
        <v>12444382.029999711</v>
      </c>
    </row>
    <row r="3375" spans="1:5" x14ac:dyDescent="0.25">
      <c r="A3375" s="2" t="s">
        <v>38</v>
      </c>
      <c r="B3375" s="6">
        <v>45411</v>
      </c>
      <c r="C3375" s="2" t="s">
        <v>53</v>
      </c>
      <c r="D3375" s="8">
        <v>-53.75</v>
      </c>
      <c r="E3375" s="8">
        <f>E3374+(0-53.75)</f>
        <v>12444328.279999711</v>
      </c>
    </row>
    <row r="3376" spans="1:5" x14ac:dyDescent="0.25">
      <c r="A3376" s="2" t="s">
        <v>38</v>
      </c>
      <c r="B3376" s="6">
        <v>45411</v>
      </c>
      <c r="C3376" s="2" t="s">
        <v>53</v>
      </c>
      <c r="D3376" s="8">
        <v>-26.88</v>
      </c>
      <c r="E3376" s="8">
        <f>E3375+(0-26.88)</f>
        <v>12444301.39999971</v>
      </c>
    </row>
    <row r="3377" spans="1:5" x14ac:dyDescent="0.25">
      <c r="A3377" s="2" t="s">
        <v>38</v>
      </c>
      <c r="B3377" s="6">
        <v>45411</v>
      </c>
      <c r="C3377" s="2" t="s">
        <v>53</v>
      </c>
      <c r="D3377" s="8">
        <v>-53.75</v>
      </c>
      <c r="E3377" s="8">
        <f>E3376+(0-53.75)</f>
        <v>12444247.64999971</v>
      </c>
    </row>
    <row r="3378" spans="1:5" x14ac:dyDescent="0.25">
      <c r="A3378" s="2" t="s">
        <v>38</v>
      </c>
      <c r="B3378" s="6">
        <v>45411</v>
      </c>
      <c r="C3378" s="2" t="s">
        <v>53</v>
      </c>
      <c r="D3378" s="8">
        <v>-53.75</v>
      </c>
      <c r="E3378" s="8">
        <f>E3377+(0-53.75)</f>
        <v>12444193.89999971</v>
      </c>
    </row>
    <row r="3379" spans="1:5" x14ac:dyDescent="0.25">
      <c r="A3379" s="2" t="s">
        <v>38</v>
      </c>
      <c r="B3379" s="6">
        <v>45411</v>
      </c>
      <c r="C3379" s="2" t="s">
        <v>203</v>
      </c>
      <c r="D3379" s="8">
        <v>-53.75</v>
      </c>
      <c r="E3379" s="8">
        <f>E3378+(0-53.75)</f>
        <v>12444140.14999971</v>
      </c>
    </row>
    <row r="3380" spans="1:5" x14ac:dyDescent="0.25">
      <c r="A3380" s="2" t="s">
        <v>38</v>
      </c>
      <c r="B3380" s="6">
        <v>45411</v>
      </c>
      <c r="C3380" s="2" t="s">
        <v>53</v>
      </c>
      <c r="D3380" s="8">
        <v>-53.75</v>
      </c>
      <c r="E3380" s="8">
        <f>E3379+(0-53.75)</f>
        <v>12444086.39999971</v>
      </c>
    </row>
    <row r="3381" spans="1:5" x14ac:dyDescent="0.25">
      <c r="A3381" s="2" t="s">
        <v>38</v>
      </c>
      <c r="B3381" s="6">
        <v>45411</v>
      </c>
      <c r="C3381" s="2" t="s">
        <v>53</v>
      </c>
      <c r="D3381" s="8">
        <v>-53.75</v>
      </c>
      <c r="E3381" s="8">
        <f>E3380+(0-53.75)</f>
        <v>12444032.64999971</v>
      </c>
    </row>
    <row r="3382" spans="1:5" x14ac:dyDescent="0.25">
      <c r="A3382" s="2" t="s">
        <v>38</v>
      </c>
      <c r="B3382" s="6">
        <v>45411</v>
      </c>
      <c r="C3382" s="2" t="s">
        <v>53</v>
      </c>
      <c r="D3382" s="8">
        <v>-53.75</v>
      </c>
      <c r="E3382" s="8">
        <f>E3381+(0-53.75)</f>
        <v>12443978.89999971</v>
      </c>
    </row>
    <row r="3383" spans="1:5" x14ac:dyDescent="0.25">
      <c r="A3383" s="2" t="s">
        <v>38</v>
      </c>
      <c r="B3383" s="6">
        <v>45411</v>
      </c>
      <c r="C3383" s="2" t="s">
        <v>53</v>
      </c>
      <c r="D3383" s="8">
        <v>-650</v>
      </c>
      <c r="E3383" s="8">
        <f>E3382+(0-650)</f>
        <v>12443328.89999971</v>
      </c>
    </row>
    <row r="3384" spans="1:5" x14ac:dyDescent="0.25">
      <c r="A3384" s="2" t="s">
        <v>38</v>
      </c>
      <c r="B3384" s="6">
        <v>45414</v>
      </c>
      <c r="C3384" s="2" t="s">
        <v>53</v>
      </c>
      <c r="D3384" s="8">
        <v>-26.88</v>
      </c>
      <c r="E3384" s="8">
        <f>E3383+(0-26.88)</f>
        <v>12443302.019999709</v>
      </c>
    </row>
    <row r="3385" spans="1:5" x14ac:dyDescent="0.25">
      <c r="A3385" s="2" t="s">
        <v>38</v>
      </c>
      <c r="B3385" s="6">
        <v>45414</v>
      </c>
      <c r="C3385" s="2" t="s">
        <v>53</v>
      </c>
      <c r="D3385" s="8">
        <v>-53.75</v>
      </c>
      <c r="E3385" s="8">
        <f>E3384+(0-53.75)</f>
        <v>12443248.269999709</v>
      </c>
    </row>
    <row r="3386" spans="1:5" x14ac:dyDescent="0.25">
      <c r="A3386" s="2" t="s">
        <v>38</v>
      </c>
      <c r="B3386" s="6">
        <v>45414</v>
      </c>
      <c r="C3386" s="2" t="s">
        <v>19</v>
      </c>
      <c r="D3386" s="8">
        <v>-12</v>
      </c>
      <c r="E3386" s="8">
        <f>E3385+(0-12)</f>
        <v>12443236.269999709</v>
      </c>
    </row>
    <row r="3387" spans="1:5" x14ac:dyDescent="0.25">
      <c r="A3387" s="2" t="s">
        <v>38</v>
      </c>
      <c r="B3387" s="6">
        <v>45414</v>
      </c>
      <c r="C3387" s="2" t="s">
        <v>53</v>
      </c>
      <c r="D3387" s="8">
        <v>-500</v>
      </c>
      <c r="E3387" s="8">
        <f>E3386+(0-500)</f>
        <v>12442736.269999709</v>
      </c>
    </row>
    <row r="3388" spans="1:5" x14ac:dyDescent="0.25">
      <c r="A3388" s="2" t="s">
        <v>38</v>
      </c>
      <c r="B3388" s="6">
        <v>45414</v>
      </c>
      <c r="C3388" s="2" t="s">
        <v>53</v>
      </c>
      <c r="D3388" s="8">
        <v>-50</v>
      </c>
      <c r="E3388" s="8">
        <f>E3387+(0-50)</f>
        <v>12442686.269999709</v>
      </c>
    </row>
    <row r="3389" spans="1:5" x14ac:dyDescent="0.25">
      <c r="A3389" s="2" t="s">
        <v>38</v>
      </c>
      <c r="B3389" s="6">
        <v>45415</v>
      </c>
      <c r="C3389" s="2" t="s">
        <v>53</v>
      </c>
      <c r="D3389" s="8">
        <v>-53.75</v>
      </c>
      <c r="E3389" s="8">
        <f>E3388+(0-53.75)</f>
        <v>12442632.519999709</v>
      </c>
    </row>
    <row r="3390" spans="1:5" x14ac:dyDescent="0.25">
      <c r="A3390" s="2" t="s">
        <v>38</v>
      </c>
      <c r="B3390" s="6">
        <v>45415</v>
      </c>
      <c r="C3390" s="2" t="s">
        <v>53</v>
      </c>
      <c r="D3390" s="8">
        <v>-53.75</v>
      </c>
      <c r="E3390" s="8">
        <f>E3389+(0-53.75)</f>
        <v>12442578.769999709</v>
      </c>
    </row>
    <row r="3391" spans="1:5" x14ac:dyDescent="0.25">
      <c r="A3391" s="2" t="s">
        <v>38</v>
      </c>
      <c r="B3391" s="6">
        <v>45415</v>
      </c>
      <c r="C3391" s="2" t="s">
        <v>53</v>
      </c>
      <c r="D3391" s="8">
        <v>-26.88</v>
      </c>
      <c r="E3391" s="8">
        <f>E3390+(0-26.88)</f>
        <v>12442551.889999708</v>
      </c>
    </row>
    <row r="3392" spans="1:5" x14ac:dyDescent="0.25">
      <c r="A3392" s="2" t="s">
        <v>38</v>
      </c>
      <c r="B3392" s="6">
        <v>45415</v>
      </c>
      <c r="C3392" s="2" t="s">
        <v>53</v>
      </c>
      <c r="D3392" s="8">
        <v>-53.75</v>
      </c>
      <c r="E3392" s="8">
        <f>E3391+(0-53.75)</f>
        <v>12442498.139999708</v>
      </c>
    </row>
    <row r="3393" spans="1:5" x14ac:dyDescent="0.25">
      <c r="A3393" s="2" t="s">
        <v>38</v>
      </c>
      <c r="B3393" s="6">
        <v>45415</v>
      </c>
      <c r="C3393" s="2" t="s">
        <v>53</v>
      </c>
      <c r="D3393" s="8">
        <v>-26.88</v>
      </c>
      <c r="E3393" s="8">
        <f>E3392+(0-26.88)</f>
        <v>12442471.259999707</v>
      </c>
    </row>
    <row r="3394" spans="1:5" x14ac:dyDescent="0.25">
      <c r="A3394" s="2" t="s">
        <v>38</v>
      </c>
      <c r="B3394" s="6">
        <v>45415</v>
      </c>
      <c r="C3394" s="2" t="s">
        <v>53</v>
      </c>
      <c r="D3394" s="8">
        <v>-50</v>
      </c>
      <c r="E3394" s="8">
        <f>E3393+(0-50)</f>
        <v>12442421.259999707</v>
      </c>
    </row>
    <row r="3395" spans="1:5" x14ac:dyDescent="0.25">
      <c r="A3395" s="2" t="s">
        <v>38</v>
      </c>
      <c r="B3395" s="6">
        <v>45415</v>
      </c>
      <c r="C3395" s="2" t="s">
        <v>53</v>
      </c>
      <c r="D3395" s="8">
        <v>-150</v>
      </c>
      <c r="E3395" s="8">
        <f>E3394+(0-150)</f>
        <v>12442271.259999707</v>
      </c>
    </row>
    <row r="3396" spans="1:5" x14ac:dyDescent="0.25">
      <c r="A3396" s="2" t="s">
        <v>38</v>
      </c>
      <c r="B3396" s="6">
        <v>45415</v>
      </c>
      <c r="C3396" s="2" t="s">
        <v>53</v>
      </c>
      <c r="D3396" s="8">
        <v>-350</v>
      </c>
      <c r="E3396" s="8">
        <f>E3395+(0-350)</f>
        <v>12441921.259999707</v>
      </c>
    </row>
    <row r="3397" spans="1:5" x14ac:dyDescent="0.25">
      <c r="A3397" s="2" t="s">
        <v>38</v>
      </c>
      <c r="B3397" s="6">
        <v>45418</v>
      </c>
      <c r="C3397" s="2" t="s">
        <v>53</v>
      </c>
      <c r="D3397" s="8">
        <v>-26.88</v>
      </c>
      <c r="E3397" s="8">
        <f>E3396+(0-26.88)</f>
        <v>12441894.379999707</v>
      </c>
    </row>
    <row r="3398" spans="1:5" x14ac:dyDescent="0.25">
      <c r="A3398" s="2" t="s">
        <v>38</v>
      </c>
      <c r="B3398" s="6">
        <v>45418</v>
      </c>
      <c r="C3398" s="2" t="s">
        <v>53</v>
      </c>
      <c r="D3398" s="8">
        <v>-53.75</v>
      </c>
      <c r="E3398" s="8">
        <f>E3397+(0-53.75)</f>
        <v>12441840.629999707</v>
      </c>
    </row>
    <row r="3399" spans="1:5" x14ac:dyDescent="0.25">
      <c r="A3399" s="2" t="s">
        <v>38</v>
      </c>
      <c r="B3399" s="6">
        <v>45418</v>
      </c>
      <c r="C3399" s="2" t="s">
        <v>53</v>
      </c>
      <c r="D3399" s="8">
        <v>-50</v>
      </c>
      <c r="E3399" s="8">
        <f>E3398+(0-50)</f>
        <v>12441790.629999707</v>
      </c>
    </row>
    <row r="3400" spans="1:5" x14ac:dyDescent="0.25">
      <c r="A3400" s="2" t="s">
        <v>38</v>
      </c>
      <c r="B3400" s="6">
        <v>45418</v>
      </c>
      <c r="C3400" s="2" t="s">
        <v>19</v>
      </c>
      <c r="D3400" s="8">
        <v>-148</v>
      </c>
      <c r="E3400" s="8">
        <f>E3399+(0-148)</f>
        <v>12441642.629999707</v>
      </c>
    </row>
    <row r="3401" spans="1:5" x14ac:dyDescent="0.25">
      <c r="A3401" s="2" t="s">
        <v>38</v>
      </c>
      <c r="B3401" s="6">
        <v>45418</v>
      </c>
      <c r="C3401" s="2" t="s">
        <v>53</v>
      </c>
      <c r="D3401" s="8">
        <v>-53.75</v>
      </c>
      <c r="E3401" s="8">
        <f>E3400+(0-53.75)</f>
        <v>12441588.879999707</v>
      </c>
    </row>
    <row r="3402" spans="1:5" x14ac:dyDescent="0.25">
      <c r="A3402" s="2" t="s">
        <v>38</v>
      </c>
      <c r="B3402" s="6">
        <v>45418</v>
      </c>
      <c r="C3402" s="2" t="s">
        <v>53</v>
      </c>
      <c r="D3402" s="8">
        <v>-50</v>
      </c>
      <c r="E3402" s="8">
        <f>E3401+(0-50)</f>
        <v>12441538.879999707</v>
      </c>
    </row>
    <row r="3403" spans="1:5" x14ac:dyDescent="0.25">
      <c r="A3403" s="2" t="s">
        <v>38</v>
      </c>
      <c r="B3403" s="6">
        <v>45418</v>
      </c>
      <c r="C3403" s="2" t="s">
        <v>53</v>
      </c>
      <c r="D3403" s="8">
        <v>-50</v>
      </c>
      <c r="E3403" s="8">
        <f>E3402+(0-50)</f>
        <v>12441488.879999707</v>
      </c>
    </row>
    <row r="3404" spans="1:5" x14ac:dyDescent="0.25">
      <c r="A3404" s="2" t="s">
        <v>38</v>
      </c>
      <c r="B3404" s="6">
        <v>45418</v>
      </c>
      <c r="C3404" s="2" t="s">
        <v>53</v>
      </c>
      <c r="D3404" s="8">
        <v>-50</v>
      </c>
      <c r="E3404" s="8">
        <f>E3403+(0-50)</f>
        <v>12441438.879999707</v>
      </c>
    </row>
    <row r="3405" spans="1:5" x14ac:dyDescent="0.25">
      <c r="A3405" s="2" t="s">
        <v>38</v>
      </c>
      <c r="B3405" s="6">
        <v>45418</v>
      </c>
      <c r="C3405" s="2" t="s">
        <v>53</v>
      </c>
      <c r="D3405" s="8">
        <v>-250</v>
      </c>
      <c r="E3405" s="8">
        <f>E3404+(0-250)</f>
        <v>12441188.879999707</v>
      </c>
    </row>
    <row r="3406" spans="1:5" x14ac:dyDescent="0.25">
      <c r="A3406" s="2" t="s">
        <v>38</v>
      </c>
      <c r="B3406" s="6">
        <v>45419</v>
      </c>
      <c r="C3406" s="2" t="s">
        <v>53</v>
      </c>
      <c r="D3406" s="8">
        <v>-53.75</v>
      </c>
      <c r="E3406" s="8">
        <f>E3405+(0-53.75)</f>
        <v>12441135.129999707</v>
      </c>
    </row>
    <row r="3407" spans="1:5" x14ac:dyDescent="0.25">
      <c r="A3407" s="2" t="s">
        <v>38</v>
      </c>
      <c r="B3407" s="6">
        <v>45419</v>
      </c>
      <c r="C3407" s="2" t="s">
        <v>53</v>
      </c>
      <c r="D3407" s="8">
        <v>-53.75</v>
      </c>
      <c r="E3407" s="8">
        <f>E3406+(0-53.75)</f>
        <v>12441081.379999707</v>
      </c>
    </row>
    <row r="3408" spans="1:5" x14ac:dyDescent="0.25">
      <c r="A3408" s="2" t="s">
        <v>38</v>
      </c>
      <c r="B3408" s="6">
        <v>45419</v>
      </c>
      <c r="C3408" s="2" t="s">
        <v>53</v>
      </c>
      <c r="D3408" s="8">
        <v>-26.88</v>
      </c>
      <c r="E3408" s="8">
        <f>E3407+(0-26.88)</f>
        <v>12441054.499999706</v>
      </c>
    </row>
    <row r="3409" spans="1:5" x14ac:dyDescent="0.25">
      <c r="A3409" s="2" t="s">
        <v>38</v>
      </c>
      <c r="B3409" s="6">
        <v>45419</v>
      </c>
      <c r="C3409" s="2" t="s">
        <v>53</v>
      </c>
      <c r="D3409" s="8">
        <v>-53.75</v>
      </c>
      <c r="E3409" s="8">
        <f>E3408+(0-53.75)</f>
        <v>12441000.749999706</v>
      </c>
    </row>
    <row r="3410" spans="1:5" x14ac:dyDescent="0.25">
      <c r="A3410" s="2" t="s">
        <v>38</v>
      </c>
      <c r="B3410" s="6">
        <v>45419</v>
      </c>
      <c r="C3410" s="2" t="s">
        <v>53</v>
      </c>
      <c r="D3410" s="8">
        <v>-400</v>
      </c>
      <c r="E3410" s="8">
        <f>E3409+(0-400)</f>
        <v>12440600.749999706</v>
      </c>
    </row>
    <row r="3411" spans="1:5" x14ac:dyDescent="0.25">
      <c r="A3411" s="2" t="s">
        <v>38</v>
      </c>
      <c r="B3411" s="6">
        <v>45420</v>
      </c>
      <c r="C3411" s="2" t="s">
        <v>19</v>
      </c>
      <c r="D3411" s="8">
        <v>-72</v>
      </c>
      <c r="E3411" s="8">
        <f>E3410+(0-72)</f>
        <v>12440528.749999706</v>
      </c>
    </row>
    <row r="3412" spans="1:5" x14ac:dyDescent="0.25">
      <c r="A3412" s="2" t="s">
        <v>38</v>
      </c>
      <c r="B3412" s="6">
        <v>45420</v>
      </c>
      <c r="C3412" s="2" t="s">
        <v>19</v>
      </c>
      <c r="D3412" s="8">
        <v>-20</v>
      </c>
      <c r="E3412" s="8">
        <f>E3411+(0-20)</f>
        <v>12440508.749999706</v>
      </c>
    </row>
    <row r="3413" spans="1:5" x14ac:dyDescent="0.25">
      <c r="A3413" s="2" t="s">
        <v>38</v>
      </c>
      <c r="B3413" s="6">
        <v>45420</v>
      </c>
      <c r="C3413" s="2" t="s">
        <v>53</v>
      </c>
      <c r="D3413" s="8">
        <v>-53.75</v>
      </c>
      <c r="E3413" s="8">
        <f>E3412+(0-53.75)</f>
        <v>12440454.999999706</v>
      </c>
    </row>
    <row r="3414" spans="1:5" x14ac:dyDescent="0.25">
      <c r="A3414" s="2" t="s">
        <v>38</v>
      </c>
      <c r="B3414" s="6">
        <v>45420</v>
      </c>
      <c r="C3414" s="2" t="s">
        <v>19</v>
      </c>
      <c r="D3414" s="8">
        <v>-48</v>
      </c>
      <c r="E3414" s="8">
        <f>E3413+(0-48)</f>
        <v>12440406.999999706</v>
      </c>
    </row>
    <row r="3415" spans="1:5" x14ac:dyDescent="0.25">
      <c r="A3415" s="2" t="s">
        <v>38</v>
      </c>
      <c r="B3415" s="6">
        <v>45420</v>
      </c>
      <c r="C3415" s="2" t="s">
        <v>19</v>
      </c>
      <c r="D3415" s="8">
        <v>-92</v>
      </c>
      <c r="E3415" s="8">
        <f>E3414+(0-92)</f>
        <v>12440314.999999706</v>
      </c>
    </row>
    <row r="3416" spans="1:5" x14ac:dyDescent="0.25">
      <c r="A3416" s="2" t="s">
        <v>38</v>
      </c>
      <c r="B3416" s="6">
        <v>45420</v>
      </c>
      <c r="C3416" s="2" t="s">
        <v>19</v>
      </c>
      <c r="D3416" s="8">
        <v>-12</v>
      </c>
      <c r="E3416" s="8">
        <f>E3415+(0-12)</f>
        <v>12440302.999999706</v>
      </c>
    </row>
    <row r="3417" spans="1:5" x14ac:dyDescent="0.25">
      <c r="A3417" s="2" t="s">
        <v>38</v>
      </c>
      <c r="B3417" s="6">
        <v>45420</v>
      </c>
      <c r="C3417" s="2" t="s">
        <v>53</v>
      </c>
      <c r="D3417" s="8">
        <v>-600</v>
      </c>
      <c r="E3417" s="8">
        <f>E3416+(0-600)</f>
        <v>12439702.999999706</v>
      </c>
    </row>
    <row r="3418" spans="1:5" x14ac:dyDescent="0.25">
      <c r="A3418" s="2" t="s">
        <v>38</v>
      </c>
      <c r="B3418" s="6">
        <v>45421</v>
      </c>
      <c r="C3418" s="2" t="s">
        <v>53</v>
      </c>
      <c r="D3418" s="8">
        <v>-53.75</v>
      </c>
      <c r="E3418" s="8">
        <f>E3417+(0-53.75)</f>
        <v>12439649.249999706</v>
      </c>
    </row>
    <row r="3419" spans="1:5" x14ac:dyDescent="0.25">
      <c r="A3419" s="2" t="s">
        <v>38</v>
      </c>
      <c r="B3419" s="6">
        <v>45421</v>
      </c>
      <c r="C3419" s="2" t="s">
        <v>53</v>
      </c>
      <c r="D3419" s="8">
        <v>-50</v>
      </c>
      <c r="E3419" s="8">
        <f>E3418+(0-50)</f>
        <v>12439599.249999706</v>
      </c>
    </row>
    <row r="3420" spans="1:5" x14ac:dyDescent="0.25">
      <c r="A3420" s="2" t="s">
        <v>38</v>
      </c>
      <c r="B3420" s="6">
        <v>45421</v>
      </c>
      <c r="C3420" s="2" t="s">
        <v>53</v>
      </c>
      <c r="D3420" s="8">
        <v>-50</v>
      </c>
      <c r="E3420" s="8">
        <f>E3419+(0-50)</f>
        <v>12439549.249999706</v>
      </c>
    </row>
    <row r="3421" spans="1:5" x14ac:dyDescent="0.25">
      <c r="A3421" s="2" t="s">
        <v>38</v>
      </c>
      <c r="B3421" s="6">
        <v>45421</v>
      </c>
      <c r="C3421" s="2" t="s">
        <v>53</v>
      </c>
      <c r="D3421" s="8">
        <v>-50</v>
      </c>
      <c r="E3421" s="8">
        <f>E3420+(0-50)</f>
        <v>12439499.249999706</v>
      </c>
    </row>
    <row r="3422" spans="1:5" x14ac:dyDescent="0.25">
      <c r="A3422" s="2" t="s">
        <v>38</v>
      </c>
      <c r="B3422" s="6">
        <v>45421</v>
      </c>
      <c r="C3422" s="2" t="s">
        <v>53</v>
      </c>
      <c r="D3422" s="8">
        <v>-500</v>
      </c>
      <c r="E3422" s="8">
        <f>E3421+(0-500)</f>
        <v>12438999.249999706</v>
      </c>
    </row>
    <row r="3423" spans="1:5" x14ac:dyDescent="0.25">
      <c r="A3423" s="2" t="s">
        <v>38</v>
      </c>
      <c r="B3423" s="6">
        <v>45421</v>
      </c>
      <c r="C3423" s="2" t="s">
        <v>53</v>
      </c>
      <c r="D3423" s="8">
        <v>-50</v>
      </c>
      <c r="E3423" s="8">
        <f>E3422+(0-50)</f>
        <v>12438949.249999706</v>
      </c>
    </row>
    <row r="3424" spans="1:5" x14ac:dyDescent="0.25">
      <c r="A3424" s="2" t="s">
        <v>38</v>
      </c>
      <c r="B3424" s="6">
        <v>45422</v>
      </c>
      <c r="C3424" s="2" t="s">
        <v>19</v>
      </c>
      <c r="D3424" s="8">
        <v>-8</v>
      </c>
      <c r="E3424" s="8">
        <f>E3423+(0-8)</f>
        <v>12438941.249999706</v>
      </c>
    </row>
    <row r="3425" spans="1:5" x14ac:dyDescent="0.25">
      <c r="A3425" s="2" t="s">
        <v>38</v>
      </c>
      <c r="B3425" s="6">
        <v>45422</v>
      </c>
      <c r="C3425" s="2" t="s">
        <v>19</v>
      </c>
      <c r="D3425" s="8">
        <v>-44</v>
      </c>
      <c r="E3425" s="8">
        <f>E3424+(0-44)</f>
        <v>12438897.249999706</v>
      </c>
    </row>
    <row r="3426" spans="1:5" x14ac:dyDescent="0.25">
      <c r="A3426" s="2" t="s">
        <v>38</v>
      </c>
      <c r="B3426" s="6">
        <v>45422</v>
      </c>
      <c r="C3426" s="2" t="s">
        <v>19</v>
      </c>
      <c r="D3426" s="8">
        <v>-100</v>
      </c>
      <c r="E3426" s="8">
        <f>E3425+(0-100)</f>
        <v>12438797.249999706</v>
      </c>
    </row>
    <row r="3427" spans="1:5" x14ac:dyDescent="0.25">
      <c r="A3427" s="2" t="s">
        <v>38</v>
      </c>
      <c r="B3427" s="6">
        <v>45422</v>
      </c>
      <c r="C3427" s="2" t="s">
        <v>53</v>
      </c>
      <c r="D3427" s="8">
        <v>-50</v>
      </c>
      <c r="E3427" s="8">
        <f>E3426+(0-50)</f>
        <v>12438747.249999706</v>
      </c>
    </row>
    <row r="3428" spans="1:5" x14ac:dyDescent="0.25">
      <c r="A3428" s="2" t="s">
        <v>38</v>
      </c>
      <c r="B3428" s="6">
        <v>45422</v>
      </c>
      <c r="C3428" s="2" t="s">
        <v>53</v>
      </c>
      <c r="D3428" s="8">
        <v>-50</v>
      </c>
      <c r="E3428" s="8">
        <f>E3427+(0-50)</f>
        <v>12438697.249999706</v>
      </c>
    </row>
    <row r="3429" spans="1:5" x14ac:dyDescent="0.25">
      <c r="A3429" s="2" t="s">
        <v>38</v>
      </c>
      <c r="B3429" s="6">
        <v>45422</v>
      </c>
      <c r="C3429" s="2" t="s">
        <v>53</v>
      </c>
      <c r="D3429" s="8">
        <v>-50</v>
      </c>
      <c r="E3429" s="8">
        <f>E3428+(0-50)</f>
        <v>12438647.249999706</v>
      </c>
    </row>
    <row r="3430" spans="1:5" x14ac:dyDescent="0.25">
      <c r="A3430" s="2" t="s">
        <v>38</v>
      </c>
      <c r="B3430" s="6">
        <v>45422</v>
      </c>
      <c r="C3430" s="2" t="s">
        <v>53</v>
      </c>
      <c r="D3430" s="8">
        <v>-53.75</v>
      </c>
      <c r="E3430" s="8">
        <f>E3429+(0-53.75)</f>
        <v>12438593.499999706</v>
      </c>
    </row>
    <row r="3431" spans="1:5" x14ac:dyDescent="0.25">
      <c r="A3431" s="2" t="s">
        <v>38</v>
      </c>
      <c r="B3431" s="6">
        <v>45422</v>
      </c>
      <c r="C3431" s="2" t="s">
        <v>19</v>
      </c>
      <c r="D3431" s="8">
        <v>-44</v>
      </c>
      <c r="E3431" s="8">
        <f>E3430+(0-44)</f>
        <v>12438549.499999706</v>
      </c>
    </row>
    <row r="3432" spans="1:5" x14ac:dyDescent="0.25">
      <c r="A3432" s="2" t="s">
        <v>38</v>
      </c>
      <c r="B3432" s="6">
        <v>45422</v>
      </c>
      <c r="C3432" s="2" t="s">
        <v>53</v>
      </c>
      <c r="D3432" s="8">
        <v>-53.75</v>
      </c>
      <c r="E3432" s="8">
        <f>E3431+(0-53.75)</f>
        <v>12438495.749999706</v>
      </c>
    </row>
    <row r="3433" spans="1:5" x14ac:dyDescent="0.25">
      <c r="A3433" s="2" t="s">
        <v>38</v>
      </c>
      <c r="B3433" s="6">
        <v>45422</v>
      </c>
      <c r="C3433" s="2" t="s">
        <v>19</v>
      </c>
      <c r="D3433" s="8">
        <v>-104</v>
      </c>
      <c r="E3433" s="8">
        <f>E3432+(0-104)</f>
        <v>12438391.749999706</v>
      </c>
    </row>
    <row r="3434" spans="1:5" x14ac:dyDescent="0.25">
      <c r="A3434" s="2" t="s">
        <v>38</v>
      </c>
      <c r="B3434" s="6">
        <v>45422</v>
      </c>
      <c r="C3434" s="2" t="s">
        <v>53</v>
      </c>
      <c r="D3434" s="8">
        <v>-50</v>
      </c>
      <c r="E3434" s="8">
        <f>E3433+(0-50)</f>
        <v>12438341.749999706</v>
      </c>
    </row>
    <row r="3435" spans="1:5" x14ac:dyDescent="0.25">
      <c r="A3435" s="2" t="s">
        <v>38</v>
      </c>
      <c r="B3435" s="6">
        <v>45422</v>
      </c>
      <c r="C3435" s="2" t="s">
        <v>53</v>
      </c>
      <c r="D3435" s="8">
        <v>-850</v>
      </c>
      <c r="E3435" s="8">
        <f>E3434+(0-850)</f>
        <v>12437491.749999706</v>
      </c>
    </row>
    <row r="3436" spans="1:5" x14ac:dyDescent="0.25">
      <c r="A3436" s="2" t="s">
        <v>38</v>
      </c>
      <c r="B3436" s="6">
        <v>45422</v>
      </c>
      <c r="C3436" s="2" t="s">
        <v>53</v>
      </c>
      <c r="D3436" s="8">
        <v>-50</v>
      </c>
      <c r="E3436" s="8">
        <f>E3435+(0-50)</f>
        <v>12437441.749999706</v>
      </c>
    </row>
    <row r="3437" spans="1:5" x14ac:dyDescent="0.25">
      <c r="A3437" s="2" t="s">
        <v>38</v>
      </c>
      <c r="B3437" s="6">
        <v>45425</v>
      </c>
      <c r="C3437" s="2" t="s">
        <v>53</v>
      </c>
      <c r="D3437" s="8">
        <v>-26.88</v>
      </c>
      <c r="E3437" s="8">
        <f>E3436+(0-26.88)</f>
        <v>12437414.869999705</v>
      </c>
    </row>
    <row r="3438" spans="1:5" x14ac:dyDescent="0.25">
      <c r="A3438" s="2" t="s">
        <v>38</v>
      </c>
      <c r="B3438" s="6">
        <v>45425</v>
      </c>
      <c r="C3438" s="2" t="s">
        <v>53</v>
      </c>
      <c r="D3438" s="8">
        <v>-53.75</v>
      </c>
      <c r="E3438" s="8">
        <f>E3437+(0-53.75)</f>
        <v>12437361.119999705</v>
      </c>
    </row>
    <row r="3439" spans="1:5" x14ac:dyDescent="0.25">
      <c r="A3439" s="2" t="s">
        <v>38</v>
      </c>
      <c r="B3439" s="6">
        <v>45425</v>
      </c>
      <c r="C3439" s="2" t="s">
        <v>53</v>
      </c>
      <c r="D3439" s="8">
        <v>-26.88</v>
      </c>
      <c r="E3439" s="8">
        <f>E3438+(0-26.88)</f>
        <v>12437334.239999704</v>
      </c>
    </row>
    <row r="3440" spans="1:5" x14ac:dyDescent="0.25">
      <c r="A3440" s="2" t="s">
        <v>38</v>
      </c>
      <c r="B3440" s="6">
        <v>45425</v>
      </c>
      <c r="C3440" s="2" t="s">
        <v>19</v>
      </c>
      <c r="D3440" s="8">
        <v>-108</v>
      </c>
      <c r="E3440" s="8">
        <f>E3439+(0-108)</f>
        <v>12437226.239999704</v>
      </c>
    </row>
    <row r="3441" spans="1:5" x14ac:dyDescent="0.25">
      <c r="A3441" s="2" t="s">
        <v>38</v>
      </c>
      <c r="B3441" s="6">
        <v>45425</v>
      </c>
      <c r="C3441" s="2" t="s">
        <v>19</v>
      </c>
      <c r="D3441" s="8">
        <v>-8</v>
      </c>
      <c r="E3441" s="8">
        <f>E3440+(0-8)</f>
        <v>12437218.239999704</v>
      </c>
    </row>
    <row r="3442" spans="1:5" x14ac:dyDescent="0.25">
      <c r="A3442" s="2" t="s">
        <v>38</v>
      </c>
      <c r="B3442" s="6">
        <v>45425</v>
      </c>
      <c r="C3442" s="2" t="s">
        <v>53</v>
      </c>
      <c r="D3442" s="8">
        <v>-550</v>
      </c>
      <c r="E3442" s="8">
        <f>E3441+(0-550)</f>
        <v>12436668.239999704</v>
      </c>
    </row>
    <row r="3443" spans="1:5" x14ac:dyDescent="0.25">
      <c r="A3443" s="2" t="s">
        <v>38</v>
      </c>
      <c r="B3443" s="6">
        <v>45425</v>
      </c>
      <c r="C3443" s="2" t="s">
        <v>19</v>
      </c>
      <c r="D3443" s="8">
        <v>-16</v>
      </c>
      <c r="E3443" s="8">
        <f>E3442+(0-16)</f>
        <v>12436652.239999704</v>
      </c>
    </row>
    <row r="3444" spans="1:5" x14ac:dyDescent="0.25">
      <c r="A3444" s="2" t="s">
        <v>38</v>
      </c>
      <c r="B3444" s="6">
        <v>45426</v>
      </c>
      <c r="C3444" s="2" t="s">
        <v>53</v>
      </c>
      <c r="D3444" s="8">
        <v>-53.75</v>
      </c>
      <c r="E3444" s="8">
        <f>E3443+(0-53.75)</f>
        <v>12436598.489999704</v>
      </c>
    </row>
    <row r="3445" spans="1:5" x14ac:dyDescent="0.25">
      <c r="A3445" s="2" t="s">
        <v>38</v>
      </c>
      <c r="B3445" s="6">
        <v>45426</v>
      </c>
      <c r="C3445" s="2" t="s">
        <v>53</v>
      </c>
      <c r="D3445" s="8">
        <v>-53.75</v>
      </c>
      <c r="E3445" s="8">
        <f>E3444+(0-53.75)</f>
        <v>12436544.739999704</v>
      </c>
    </row>
    <row r="3446" spans="1:5" x14ac:dyDescent="0.25">
      <c r="A3446" s="2" t="s">
        <v>38</v>
      </c>
      <c r="B3446" s="6">
        <v>45426</v>
      </c>
      <c r="C3446" s="2" t="s">
        <v>53</v>
      </c>
      <c r="D3446" s="8">
        <v>-50</v>
      </c>
      <c r="E3446" s="8">
        <f>E3445+(0-50)</f>
        <v>12436494.739999704</v>
      </c>
    </row>
    <row r="3447" spans="1:5" x14ac:dyDescent="0.25">
      <c r="A3447" s="2" t="s">
        <v>38</v>
      </c>
      <c r="B3447" s="6">
        <v>45426</v>
      </c>
      <c r="C3447" s="2" t="s">
        <v>53</v>
      </c>
      <c r="D3447" s="8">
        <v>-300</v>
      </c>
      <c r="E3447" s="8">
        <f>E3446+(0-300)</f>
        <v>12436194.739999704</v>
      </c>
    </row>
    <row r="3448" spans="1:5" x14ac:dyDescent="0.25">
      <c r="A3448" s="2" t="s">
        <v>38</v>
      </c>
      <c r="B3448" s="6">
        <v>45426</v>
      </c>
      <c r="C3448" s="2" t="s">
        <v>53</v>
      </c>
      <c r="D3448" s="8">
        <v>-50</v>
      </c>
      <c r="E3448" s="8">
        <f>E3447+(0-50)</f>
        <v>12436144.739999704</v>
      </c>
    </row>
    <row r="3449" spans="1:5" x14ac:dyDescent="0.25">
      <c r="A3449" s="2" t="s">
        <v>38</v>
      </c>
      <c r="B3449" s="6">
        <v>45426</v>
      </c>
      <c r="C3449" s="2" t="s">
        <v>204</v>
      </c>
      <c r="D3449" s="8">
        <v>-92424.75</v>
      </c>
      <c r="E3449" s="8">
        <f>E3448+(0-92424.75)</f>
        <v>12343719.989999704</v>
      </c>
    </row>
    <row r="3450" spans="1:5" x14ac:dyDescent="0.25">
      <c r="A3450" s="2" t="s">
        <v>38</v>
      </c>
      <c r="B3450" s="6">
        <v>45426</v>
      </c>
      <c r="C3450" s="2" t="s">
        <v>205</v>
      </c>
      <c r="D3450" s="8">
        <v>-72490</v>
      </c>
      <c r="E3450" s="8">
        <f>E3449+(0-72490)</f>
        <v>12271229.989999704</v>
      </c>
    </row>
    <row r="3451" spans="1:5" x14ac:dyDescent="0.25">
      <c r="A3451" s="2" t="s">
        <v>38</v>
      </c>
      <c r="B3451" s="6">
        <v>45426</v>
      </c>
      <c r="C3451" s="2" t="s">
        <v>206</v>
      </c>
      <c r="D3451" s="8">
        <v>-36245</v>
      </c>
      <c r="E3451" s="8">
        <f>E3450+(0-36245)</f>
        <v>12234984.989999704</v>
      </c>
    </row>
    <row r="3452" spans="1:5" x14ac:dyDescent="0.25">
      <c r="A3452" s="2" t="s">
        <v>38</v>
      </c>
      <c r="B3452" s="6">
        <v>45426</v>
      </c>
      <c r="C3452" s="2" t="s">
        <v>207</v>
      </c>
      <c r="D3452" s="8">
        <v>-1232330</v>
      </c>
      <c r="E3452" s="8">
        <f>E3451+(0-1232330)</f>
        <v>11002654.989999704</v>
      </c>
    </row>
    <row r="3453" spans="1:5" x14ac:dyDescent="0.25">
      <c r="A3453" s="2" t="s">
        <v>38</v>
      </c>
      <c r="B3453" s="6">
        <v>45427</v>
      </c>
      <c r="C3453" s="2" t="s">
        <v>19</v>
      </c>
      <c r="D3453" s="8">
        <v>-48</v>
      </c>
      <c r="E3453" s="8">
        <f>E3452+(0-48)</f>
        <v>11002606.989999704</v>
      </c>
    </row>
    <row r="3454" spans="1:5" x14ac:dyDescent="0.25">
      <c r="A3454" s="2" t="s">
        <v>38</v>
      </c>
      <c r="B3454" s="6">
        <v>45427</v>
      </c>
      <c r="C3454" s="2" t="s">
        <v>19</v>
      </c>
      <c r="D3454" s="8">
        <v>-64</v>
      </c>
      <c r="E3454" s="8">
        <f>E3453+(0-64)</f>
        <v>11002542.989999704</v>
      </c>
    </row>
    <row r="3455" spans="1:5" x14ac:dyDescent="0.25">
      <c r="A3455" s="2" t="s">
        <v>38</v>
      </c>
      <c r="B3455" s="6">
        <v>45427</v>
      </c>
      <c r="C3455" s="2" t="s">
        <v>53</v>
      </c>
      <c r="D3455" s="8">
        <v>-400</v>
      </c>
      <c r="E3455" s="8">
        <f>E3454+(0-400)</f>
        <v>11002142.989999704</v>
      </c>
    </row>
    <row r="3456" spans="1:5" x14ac:dyDescent="0.25">
      <c r="A3456" s="2" t="s">
        <v>38</v>
      </c>
      <c r="B3456" s="6">
        <v>45427</v>
      </c>
      <c r="C3456" s="2" t="s">
        <v>53</v>
      </c>
      <c r="D3456" s="8">
        <v>-26.88</v>
      </c>
      <c r="E3456" s="8">
        <f>E3455+(0-26.88)</f>
        <v>11002116.109999703</v>
      </c>
    </row>
    <row r="3457" spans="1:5" x14ac:dyDescent="0.25">
      <c r="A3457" s="2" t="s">
        <v>38</v>
      </c>
      <c r="B3457" s="6">
        <v>45427</v>
      </c>
      <c r="C3457" s="2" t="s">
        <v>208</v>
      </c>
      <c r="D3457" s="8">
        <v>-36821</v>
      </c>
      <c r="E3457" s="8">
        <f>E3456+(0-36821)</f>
        <v>10965295.109999703</v>
      </c>
    </row>
    <row r="3458" spans="1:5" x14ac:dyDescent="0.25">
      <c r="A3458" s="2" t="s">
        <v>38</v>
      </c>
      <c r="B3458" s="6">
        <v>45427</v>
      </c>
      <c r="C3458" s="2" t="s">
        <v>209</v>
      </c>
      <c r="D3458" s="8">
        <v>-1099401.42</v>
      </c>
      <c r="E3458" s="8">
        <f>E3457+(0-1099401.42)</f>
        <v>9865893.6899997033</v>
      </c>
    </row>
    <row r="3459" spans="1:5" x14ac:dyDescent="0.25">
      <c r="A3459" s="2" t="s">
        <v>38</v>
      </c>
      <c r="B3459" s="6">
        <v>45427</v>
      </c>
      <c r="C3459" s="2" t="s">
        <v>210</v>
      </c>
      <c r="D3459" s="8">
        <v>-73642</v>
      </c>
      <c r="E3459" s="8">
        <f>E3458+(0-73642)</f>
        <v>9792251.6899997033</v>
      </c>
    </row>
    <row r="3460" spans="1:5" x14ac:dyDescent="0.25">
      <c r="A3460" s="2" t="s">
        <v>38</v>
      </c>
      <c r="B3460" s="6">
        <v>45427</v>
      </c>
      <c r="C3460" s="2" t="s">
        <v>211</v>
      </c>
      <c r="D3460" s="8">
        <v>-82455.11</v>
      </c>
      <c r="E3460" s="8">
        <f>E3459+(0-82455.11)</f>
        <v>9709796.5799997039</v>
      </c>
    </row>
    <row r="3461" spans="1:5" x14ac:dyDescent="0.25">
      <c r="A3461" s="2" t="s">
        <v>38</v>
      </c>
      <c r="B3461" s="6">
        <v>45428</v>
      </c>
      <c r="C3461" s="2" t="s">
        <v>53</v>
      </c>
      <c r="D3461" s="8">
        <v>-53.75</v>
      </c>
      <c r="E3461" s="8">
        <f>E3460+(0-53.75)</f>
        <v>9709742.8299997039</v>
      </c>
    </row>
    <row r="3462" spans="1:5" x14ac:dyDescent="0.25">
      <c r="A3462" s="2" t="s">
        <v>38</v>
      </c>
      <c r="B3462" s="6">
        <v>45428</v>
      </c>
      <c r="C3462" s="2" t="s">
        <v>53</v>
      </c>
      <c r="D3462" s="8">
        <v>-500</v>
      </c>
      <c r="E3462" s="8">
        <f>E3461+(0-500)</f>
        <v>9709242.8299997039</v>
      </c>
    </row>
    <row r="3463" spans="1:5" x14ac:dyDescent="0.25">
      <c r="A3463" s="2" t="s">
        <v>38</v>
      </c>
      <c r="B3463" s="6">
        <v>45428</v>
      </c>
      <c r="C3463" s="2" t="s">
        <v>53</v>
      </c>
      <c r="D3463" s="8">
        <v>-50</v>
      </c>
      <c r="E3463" s="8">
        <f>E3462+(0-50)</f>
        <v>9709192.8299997039</v>
      </c>
    </row>
    <row r="3464" spans="1:5" x14ac:dyDescent="0.25">
      <c r="A3464" s="2" t="s">
        <v>38</v>
      </c>
      <c r="B3464" s="6">
        <v>45429</v>
      </c>
      <c r="C3464" s="2" t="s">
        <v>19</v>
      </c>
      <c r="D3464" s="8">
        <v>-64</v>
      </c>
      <c r="E3464" s="8">
        <f>E3463+(0-64)</f>
        <v>9709128.8299997039</v>
      </c>
    </row>
    <row r="3465" spans="1:5" x14ac:dyDescent="0.25">
      <c r="A3465" s="2" t="s">
        <v>38</v>
      </c>
      <c r="B3465" s="6">
        <v>45429</v>
      </c>
      <c r="C3465" s="2" t="s">
        <v>19</v>
      </c>
      <c r="D3465" s="8">
        <v>-52</v>
      </c>
      <c r="E3465" s="8">
        <f>E3464+(0-52)</f>
        <v>9709076.8299997039</v>
      </c>
    </row>
    <row r="3466" spans="1:5" x14ac:dyDescent="0.25">
      <c r="A3466" s="2" t="s">
        <v>38</v>
      </c>
      <c r="B3466" s="6">
        <v>45429</v>
      </c>
      <c r="C3466" s="2" t="s">
        <v>53</v>
      </c>
      <c r="D3466" s="8">
        <v>-53.75</v>
      </c>
      <c r="E3466" s="8">
        <f>E3465+(0-53.75)</f>
        <v>9709023.0799997039</v>
      </c>
    </row>
    <row r="3467" spans="1:5" x14ac:dyDescent="0.25">
      <c r="A3467" s="2" t="s">
        <v>38</v>
      </c>
      <c r="B3467" s="6">
        <v>45429</v>
      </c>
      <c r="C3467" s="2" t="s">
        <v>53</v>
      </c>
      <c r="D3467" s="8">
        <v>-53.75</v>
      </c>
      <c r="E3467" s="8">
        <f>E3466+(0-53.75)</f>
        <v>9708969.3299997039</v>
      </c>
    </row>
    <row r="3468" spans="1:5" x14ac:dyDescent="0.25">
      <c r="A3468" s="2" t="s">
        <v>38</v>
      </c>
      <c r="B3468" s="6">
        <v>45429</v>
      </c>
      <c r="C3468" s="2" t="s">
        <v>53</v>
      </c>
      <c r="D3468" s="8">
        <v>-53.75</v>
      </c>
      <c r="E3468" s="8">
        <f>E3467+(0-53.75)</f>
        <v>9708915.5799997039</v>
      </c>
    </row>
    <row r="3469" spans="1:5" x14ac:dyDescent="0.25">
      <c r="A3469" s="2" t="s">
        <v>38</v>
      </c>
      <c r="B3469" s="6">
        <v>45429</v>
      </c>
      <c r="C3469" s="2" t="s">
        <v>53</v>
      </c>
      <c r="D3469" s="8">
        <v>-500</v>
      </c>
      <c r="E3469" s="8">
        <f>E3468+(0-500)</f>
        <v>9708415.5799997039</v>
      </c>
    </row>
    <row r="3470" spans="1:5" x14ac:dyDescent="0.25">
      <c r="A3470" s="2" t="s">
        <v>38</v>
      </c>
      <c r="B3470" s="6">
        <v>45432</v>
      </c>
      <c r="C3470" s="2" t="s">
        <v>19</v>
      </c>
      <c r="D3470" s="8">
        <v>-64</v>
      </c>
      <c r="E3470" s="8">
        <f>E3469+(0-64)</f>
        <v>9708351.5799997039</v>
      </c>
    </row>
    <row r="3471" spans="1:5" x14ac:dyDescent="0.25">
      <c r="A3471" s="2" t="s">
        <v>38</v>
      </c>
      <c r="B3471" s="6">
        <v>45432</v>
      </c>
      <c r="C3471" s="2" t="s">
        <v>53</v>
      </c>
      <c r="D3471" s="8">
        <v>-26.88</v>
      </c>
      <c r="E3471" s="8">
        <f>E3470+(0-26.88)</f>
        <v>9708324.6999997031</v>
      </c>
    </row>
    <row r="3472" spans="1:5" x14ac:dyDescent="0.25">
      <c r="A3472" s="2" t="s">
        <v>38</v>
      </c>
      <c r="B3472" s="6">
        <v>45432</v>
      </c>
      <c r="C3472" s="2" t="s">
        <v>53</v>
      </c>
      <c r="D3472" s="8">
        <v>-26.88</v>
      </c>
      <c r="E3472" s="8">
        <f>E3471+(0-26.88)</f>
        <v>9708297.8199997023</v>
      </c>
    </row>
    <row r="3473" spans="1:5" x14ac:dyDescent="0.25">
      <c r="A3473" s="2" t="s">
        <v>38</v>
      </c>
      <c r="B3473" s="6">
        <v>45432</v>
      </c>
      <c r="C3473" s="2" t="s">
        <v>53</v>
      </c>
      <c r="D3473" s="8">
        <v>-26.88</v>
      </c>
      <c r="E3473" s="8">
        <f>E3472+(0-26.88)</f>
        <v>9708270.9399997015</v>
      </c>
    </row>
    <row r="3474" spans="1:5" x14ac:dyDescent="0.25">
      <c r="A3474" s="2" t="s">
        <v>38</v>
      </c>
      <c r="B3474" s="6">
        <v>45432</v>
      </c>
      <c r="C3474" s="2" t="s">
        <v>53</v>
      </c>
      <c r="D3474" s="8">
        <v>-53.75</v>
      </c>
      <c r="E3474" s="8">
        <f>E3473+(0-53.75)</f>
        <v>9708217.1899997015</v>
      </c>
    </row>
    <row r="3475" spans="1:5" x14ac:dyDescent="0.25">
      <c r="A3475" s="2" t="s">
        <v>38</v>
      </c>
      <c r="B3475" s="6">
        <v>45432</v>
      </c>
      <c r="C3475" s="2" t="s">
        <v>53</v>
      </c>
      <c r="D3475" s="8">
        <v>-26.88</v>
      </c>
      <c r="E3475" s="8">
        <f>E3474+(0-26.88)</f>
        <v>9708190.3099997006</v>
      </c>
    </row>
    <row r="3476" spans="1:5" x14ac:dyDescent="0.25">
      <c r="A3476" s="2" t="s">
        <v>38</v>
      </c>
      <c r="B3476" s="6">
        <v>45432</v>
      </c>
      <c r="C3476" s="2" t="s">
        <v>19</v>
      </c>
      <c r="D3476" s="8">
        <v>-52</v>
      </c>
      <c r="E3476" s="8">
        <f>E3475+(0-52)</f>
        <v>9708138.3099997006</v>
      </c>
    </row>
    <row r="3477" spans="1:5" x14ac:dyDescent="0.25">
      <c r="A3477" s="2" t="s">
        <v>38</v>
      </c>
      <c r="B3477" s="6">
        <v>45432</v>
      </c>
      <c r="C3477" s="2" t="s">
        <v>19</v>
      </c>
      <c r="D3477" s="8">
        <v>-4</v>
      </c>
      <c r="E3477" s="8">
        <f>E3476+(0-4)</f>
        <v>9708134.3099997006</v>
      </c>
    </row>
    <row r="3478" spans="1:5" x14ac:dyDescent="0.25">
      <c r="A3478" s="2" t="s">
        <v>38</v>
      </c>
      <c r="B3478" s="6">
        <v>45432</v>
      </c>
      <c r="C3478" s="2" t="s">
        <v>53</v>
      </c>
      <c r="D3478" s="8">
        <v>-53.75</v>
      </c>
      <c r="E3478" s="8">
        <f>E3477+(0-53.75)</f>
        <v>9708080.5599997006</v>
      </c>
    </row>
    <row r="3479" spans="1:5" x14ac:dyDescent="0.25">
      <c r="A3479" s="2" t="s">
        <v>38</v>
      </c>
      <c r="B3479" s="6">
        <v>45432</v>
      </c>
      <c r="C3479" s="2" t="s">
        <v>53</v>
      </c>
      <c r="D3479" s="8">
        <v>-26.88</v>
      </c>
      <c r="E3479" s="8">
        <f>E3478+(0-26.88)</f>
        <v>9708053.6799996998</v>
      </c>
    </row>
    <row r="3480" spans="1:5" x14ac:dyDescent="0.25">
      <c r="A3480" s="2" t="s">
        <v>38</v>
      </c>
      <c r="B3480" s="6">
        <v>45432</v>
      </c>
      <c r="C3480" s="2" t="s">
        <v>53</v>
      </c>
      <c r="D3480" s="8">
        <v>-53.75</v>
      </c>
      <c r="E3480" s="8">
        <f>E3479+(0-53.75)</f>
        <v>9707999.9299996998</v>
      </c>
    </row>
    <row r="3481" spans="1:5" x14ac:dyDescent="0.25">
      <c r="A3481" s="2" t="s">
        <v>38</v>
      </c>
      <c r="B3481" s="6">
        <v>45432</v>
      </c>
      <c r="C3481" s="2" t="s">
        <v>53</v>
      </c>
      <c r="D3481" s="8">
        <v>-26.88</v>
      </c>
      <c r="E3481" s="8">
        <f>E3480+(0-26.88)</f>
        <v>9707973.049999699</v>
      </c>
    </row>
    <row r="3482" spans="1:5" x14ac:dyDescent="0.25">
      <c r="A3482" s="2" t="s">
        <v>38</v>
      </c>
      <c r="B3482" s="6">
        <v>45432</v>
      </c>
      <c r="C3482" s="2" t="s">
        <v>53</v>
      </c>
      <c r="D3482" s="8">
        <v>-53.75</v>
      </c>
      <c r="E3482" s="8">
        <f>E3481+(0-53.75)</f>
        <v>9707919.299999699</v>
      </c>
    </row>
    <row r="3483" spans="1:5" x14ac:dyDescent="0.25">
      <c r="A3483" s="2" t="s">
        <v>38</v>
      </c>
      <c r="B3483" s="6">
        <v>45432</v>
      </c>
      <c r="C3483" s="2" t="s">
        <v>53</v>
      </c>
      <c r="D3483" s="8">
        <v>-53.75</v>
      </c>
      <c r="E3483" s="8">
        <f>E3482+(0-53.75)</f>
        <v>9707865.549999699</v>
      </c>
    </row>
    <row r="3484" spans="1:5" x14ac:dyDescent="0.25">
      <c r="A3484" s="2" t="s">
        <v>38</v>
      </c>
      <c r="B3484" s="6">
        <v>45432</v>
      </c>
      <c r="C3484" s="2" t="s">
        <v>53</v>
      </c>
      <c r="D3484" s="8">
        <v>-650</v>
      </c>
      <c r="E3484" s="8">
        <f>E3483+(0-650)</f>
        <v>9707215.549999699</v>
      </c>
    </row>
    <row r="3485" spans="1:5" x14ac:dyDescent="0.25">
      <c r="A3485" s="2" t="s">
        <v>38</v>
      </c>
      <c r="B3485" s="6">
        <v>45432</v>
      </c>
      <c r="C3485" s="2" t="s">
        <v>211</v>
      </c>
      <c r="D3485" s="8">
        <v>-11482.73</v>
      </c>
      <c r="E3485" s="8">
        <f>E3484+(0-11482.73)</f>
        <v>9695732.8199996985</v>
      </c>
    </row>
    <row r="3486" spans="1:5" x14ac:dyDescent="0.25">
      <c r="A3486" s="2" t="s">
        <v>38</v>
      </c>
      <c r="B3486" s="6">
        <v>45432</v>
      </c>
      <c r="C3486" s="2" t="s">
        <v>210</v>
      </c>
      <c r="D3486" s="8">
        <v>-76551.5</v>
      </c>
      <c r="E3486" s="8">
        <f>E3485+(0-76551.5)</f>
        <v>9619181.3199996985</v>
      </c>
    </row>
    <row r="3487" spans="1:5" x14ac:dyDescent="0.25">
      <c r="A3487" s="2" t="s">
        <v>38</v>
      </c>
      <c r="B3487" s="6">
        <v>45432</v>
      </c>
      <c r="C3487" s="2" t="s">
        <v>208</v>
      </c>
      <c r="D3487" s="8">
        <v>-38275.75</v>
      </c>
      <c r="E3487" s="8">
        <f>E3486+(0-38275.75)</f>
        <v>9580905.5699996985</v>
      </c>
    </row>
    <row r="3488" spans="1:5" x14ac:dyDescent="0.25">
      <c r="A3488" s="2" t="s">
        <v>38</v>
      </c>
      <c r="B3488" s="6">
        <v>45432</v>
      </c>
      <c r="C3488" s="2" t="s">
        <v>212</v>
      </c>
      <c r="D3488" s="8">
        <v>-153103</v>
      </c>
      <c r="E3488" s="8">
        <f>E3487+(0-153103)</f>
        <v>9427802.5699996985</v>
      </c>
    </row>
    <row r="3489" spans="1:5" x14ac:dyDescent="0.25">
      <c r="A3489" s="2" t="s">
        <v>38</v>
      </c>
      <c r="B3489" s="6">
        <v>45433</v>
      </c>
      <c r="C3489" s="2" t="s">
        <v>19</v>
      </c>
      <c r="D3489" s="8">
        <v>-132</v>
      </c>
      <c r="E3489" s="8">
        <f>E3488+(0-132)</f>
        <v>9427670.5699996985</v>
      </c>
    </row>
    <row r="3490" spans="1:5" x14ac:dyDescent="0.25">
      <c r="A3490" s="2" t="s">
        <v>38</v>
      </c>
      <c r="B3490" s="6">
        <v>45433</v>
      </c>
      <c r="C3490" s="2" t="s">
        <v>213</v>
      </c>
      <c r="D3490" s="8">
        <v>-2687.5</v>
      </c>
      <c r="E3490" s="8">
        <f>E3489+(0-2687.5)</f>
        <v>9424983.0699996985</v>
      </c>
    </row>
    <row r="3491" spans="1:5" x14ac:dyDescent="0.25">
      <c r="A3491" s="2" t="s">
        <v>38</v>
      </c>
      <c r="B3491" s="6">
        <v>45433</v>
      </c>
      <c r="C3491" s="2" t="s">
        <v>53</v>
      </c>
      <c r="D3491" s="8">
        <v>-53.75</v>
      </c>
      <c r="E3491" s="8">
        <f>E3490+(0-53.75)</f>
        <v>9424929.3199996985</v>
      </c>
    </row>
    <row r="3492" spans="1:5" x14ac:dyDescent="0.25">
      <c r="A3492" s="2" t="s">
        <v>38</v>
      </c>
      <c r="B3492" s="6">
        <v>45433</v>
      </c>
      <c r="C3492" s="2" t="s">
        <v>53</v>
      </c>
      <c r="D3492" s="8">
        <v>-53.75</v>
      </c>
      <c r="E3492" s="8">
        <f>E3491+(0-53.75)</f>
        <v>9424875.5699996985</v>
      </c>
    </row>
    <row r="3493" spans="1:5" x14ac:dyDescent="0.25">
      <c r="A3493" s="2" t="s">
        <v>38</v>
      </c>
      <c r="B3493" s="6">
        <v>45433</v>
      </c>
      <c r="C3493" s="2" t="s">
        <v>53</v>
      </c>
      <c r="D3493" s="8">
        <v>-550</v>
      </c>
      <c r="E3493" s="8">
        <f>E3492+(0-550)</f>
        <v>9424325.5699996985</v>
      </c>
    </row>
    <row r="3494" spans="1:5" x14ac:dyDescent="0.25">
      <c r="A3494" s="2" t="s">
        <v>38</v>
      </c>
      <c r="B3494" s="6">
        <v>45434</v>
      </c>
      <c r="C3494" s="2" t="s">
        <v>53</v>
      </c>
      <c r="D3494" s="8">
        <v>-350</v>
      </c>
      <c r="E3494" s="8">
        <f>E3493+(0-350)</f>
        <v>9423975.5699996985</v>
      </c>
    </row>
    <row r="3495" spans="1:5" x14ac:dyDescent="0.25">
      <c r="A3495" s="2" t="s">
        <v>38</v>
      </c>
      <c r="B3495" s="6">
        <v>45434</v>
      </c>
      <c r="C3495" s="2" t="s">
        <v>53</v>
      </c>
      <c r="D3495" s="8">
        <v>-53.75</v>
      </c>
      <c r="E3495" s="8">
        <f>E3494+(0-53.75)</f>
        <v>9423921.8199996985</v>
      </c>
    </row>
    <row r="3496" spans="1:5" x14ac:dyDescent="0.25">
      <c r="A3496" s="2" t="s">
        <v>38</v>
      </c>
      <c r="B3496" s="6">
        <v>45434</v>
      </c>
      <c r="C3496" s="2" t="s">
        <v>53</v>
      </c>
      <c r="D3496" s="8">
        <v>-53.75</v>
      </c>
      <c r="E3496" s="8">
        <f>E3495+(0-53.75)</f>
        <v>9423868.0699996985</v>
      </c>
    </row>
    <row r="3497" spans="1:5" x14ac:dyDescent="0.25">
      <c r="A3497" s="2" t="s">
        <v>38</v>
      </c>
      <c r="B3497" s="6">
        <v>45435</v>
      </c>
      <c r="C3497" s="2" t="s">
        <v>19</v>
      </c>
      <c r="D3497" s="8">
        <v>-68</v>
      </c>
      <c r="E3497" s="8">
        <f>E3496+(0-68)</f>
        <v>9423800.0699996985</v>
      </c>
    </row>
    <row r="3498" spans="1:5" x14ac:dyDescent="0.25">
      <c r="A3498" s="2" t="s">
        <v>38</v>
      </c>
      <c r="B3498" s="6">
        <v>45435</v>
      </c>
      <c r="C3498" s="2" t="s">
        <v>19</v>
      </c>
      <c r="D3498" s="8">
        <v>-44</v>
      </c>
      <c r="E3498" s="8">
        <f>E3497+(0-44)</f>
        <v>9423756.0699996985</v>
      </c>
    </row>
    <row r="3499" spans="1:5" x14ac:dyDescent="0.25">
      <c r="A3499" s="2" t="s">
        <v>38</v>
      </c>
      <c r="B3499" s="6">
        <v>45435</v>
      </c>
      <c r="C3499" s="2" t="s">
        <v>53</v>
      </c>
      <c r="D3499" s="8">
        <v>-53.75</v>
      </c>
      <c r="E3499" s="8">
        <f>E3498+(0-53.75)</f>
        <v>9423702.3199996985</v>
      </c>
    </row>
    <row r="3500" spans="1:5" x14ac:dyDescent="0.25">
      <c r="A3500" s="2" t="s">
        <v>38</v>
      </c>
      <c r="B3500" s="6">
        <v>45435</v>
      </c>
      <c r="C3500" s="2" t="s">
        <v>53</v>
      </c>
      <c r="D3500" s="8">
        <v>-50</v>
      </c>
      <c r="E3500" s="8">
        <f>E3499+(0-50)</f>
        <v>9423652.3199996985</v>
      </c>
    </row>
    <row r="3501" spans="1:5" x14ac:dyDescent="0.25">
      <c r="A3501" s="2" t="s">
        <v>38</v>
      </c>
      <c r="B3501" s="6">
        <v>45435</v>
      </c>
      <c r="C3501" s="2" t="s">
        <v>53</v>
      </c>
      <c r="D3501" s="8">
        <v>-53.75</v>
      </c>
      <c r="E3501" s="8">
        <f>E3500+(0-53.75)</f>
        <v>9423598.5699996985</v>
      </c>
    </row>
    <row r="3502" spans="1:5" x14ac:dyDescent="0.25">
      <c r="A3502" s="2" t="s">
        <v>38</v>
      </c>
      <c r="B3502" s="6">
        <v>45435</v>
      </c>
      <c r="C3502" s="2" t="s">
        <v>53</v>
      </c>
      <c r="D3502" s="8">
        <v>-26.88</v>
      </c>
      <c r="E3502" s="8">
        <f>E3501+(0-26.88)</f>
        <v>9423571.6899996977</v>
      </c>
    </row>
    <row r="3503" spans="1:5" x14ac:dyDescent="0.25">
      <c r="A3503" s="2" t="s">
        <v>38</v>
      </c>
      <c r="B3503" s="6">
        <v>45435</v>
      </c>
      <c r="C3503" s="2" t="s">
        <v>213</v>
      </c>
      <c r="D3503" s="8">
        <v>-2687.5</v>
      </c>
      <c r="E3503" s="8">
        <f>E3502+(0-2687.5)</f>
        <v>9420884.1899996977</v>
      </c>
    </row>
    <row r="3504" spans="1:5" x14ac:dyDescent="0.25">
      <c r="A3504" s="2" t="s">
        <v>38</v>
      </c>
      <c r="B3504" s="6">
        <v>45435</v>
      </c>
      <c r="C3504" s="2" t="s">
        <v>53</v>
      </c>
      <c r="D3504" s="8">
        <v>-250</v>
      </c>
      <c r="E3504" s="8">
        <f>E3503+(0-250)</f>
        <v>9420634.1899996977</v>
      </c>
    </row>
    <row r="3505" spans="1:5" x14ac:dyDescent="0.25">
      <c r="A3505" s="2" t="s">
        <v>38</v>
      </c>
      <c r="B3505" s="6">
        <v>45436</v>
      </c>
      <c r="C3505" s="2" t="s">
        <v>53</v>
      </c>
      <c r="D3505" s="8">
        <v>-53.75</v>
      </c>
      <c r="E3505" s="8">
        <f>E3504+(0-53.75)</f>
        <v>9420580.4399996977</v>
      </c>
    </row>
    <row r="3506" spans="1:5" x14ac:dyDescent="0.25">
      <c r="A3506" s="2" t="s">
        <v>38</v>
      </c>
      <c r="B3506" s="6">
        <v>45436</v>
      </c>
      <c r="C3506" s="2" t="s">
        <v>53</v>
      </c>
      <c r="D3506" s="8">
        <v>-53.75</v>
      </c>
      <c r="E3506" s="8">
        <f>E3505+(0-53.75)</f>
        <v>9420526.6899996977</v>
      </c>
    </row>
    <row r="3507" spans="1:5" x14ac:dyDescent="0.25">
      <c r="A3507" s="2" t="s">
        <v>38</v>
      </c>
      <c r="B3507" s="6">
        <v>45436</v>
      </c>
      <c r="C3507" s="2" t="s">
        <v>53</v>
      </c>
      <c r="D3507" s="8">
        <v>-53.75</v>
      </c>
      <c r="E3507" s="8">
        <f>E3506+(0-53.75)</f>
        <v>9420472.9399996977</v>
      </c>
    </row>
    <row r="3508" spans="1:5" x14ac:dyDescent="0.25">
      <c r="A3508" s="2" t="s">
        <v>38</v>
      </c>
      <c r="B3508" s="6">
        <v>45436</v>
      </c>
      <c r="C3508" s="2" t="s">
        <v>53</v>
      </c>
      <c r="D3508" s="8">
        <v>-53.75</v>
      </c>
      <c r="E3508" s="8">
        <f>E3507+(0-53.75)</f>
        <v>9420419.1899996977</v>
      </c>
    </row>
    <row r="3509" spans="1:5" x14ac:dyDescent="0.25">
      <c r="A3509" s="2" t="s">
        <v>38</v>
      </c>
      <c r="B3509" s="6">
        <v>45436</v>
      </c>
      <c r="C3509" s="2" t="s">
        <v>53</v>
      </c>
      <c r="D3509" s="8">
        <v>-53.75</v>
      </c>
      <c r="E3509" s="8">
        <f>E3508+(0-53.75)</f>
        <v>9420365.4399996977</v>
      </c>
    </row>
    <row r="3510" spans="1:5" x14ac:dyDescent="0.25">
      <c r="A3510" s="2" t="s">
        <v>38</v>
      </c>
      <c r="B3510" s="6">
        <v>45436</v>
      </c>
      <c r="C3510" s="2" t="s">
        <v>53</v>
      </c>
      <c r="D3510" s="8">
        <v>-53.75</v>
      </c>
      <c r="E3510" s="8">
        <f>E3509+(0-53.75)</f>
        <v>9420311.6899996977</v>
      </c>
    </row>
    <row r="3511" spans="1:5" x14ac:dyDescent="0.25">
      <c r="A3511" s="2" t="s">
        <v>38</v>
      </c>
      <c r="B3511" s="6">
        <v>45436</v>
      </c>
      <c r="C3511" s="2" t="s">
        <v>53</v>
      </c>
      <c r="D3511" s="8">
        <v>-53.75</v>
      </c>
      <c r="E3511" s="8">
        <f>E3510+(0-53.75)</f>
        <v>9420257.9399996977</v>
      </c>
    </row>
    <row r="3512" spans="1:5" x14ac:dyDescent="0.25">
      <c r="A3512" s="2" t="s">
        <v>38</v>
      </c>
      <c r="B3512" s="6">
        <v>45436</v>
      </c>
      <c r="C3512" s="2" t="s">
        <v>53</v>
      </c>
      <c r="D3512" s="8">
        <v>-300</v>
      </c>
      <c r="E3512" s="8">
        <f>E3511+(0-300)</f>
        <v>9419957.9399996977</v>
      </c>
    </row>
    <row r="3513" spans="1:5" x14ac:dyDescent="0.25">
      <c r="A3513" s="2" t="s">
        <v>38</v>
      </c>
      <c r="B3513" s="6">
        <v>45436</v>
      </c>
      <c r="C3513" s="2" t="s">
        <v>19</v>
      </c>
      <c r="D3513" s="8">
        <v>-72</v>
      </c>
      <c r="E3513" s="8">
        <f>E3512+(0-72)</f>
        <v>9419885.9399996977</v>
      </c>
    </row>
    <row r="3514" spans="1:5" x14ac:dyDescent="0.25">
      <c r="A3514" s="2" t="s">
        <v>38</v>
      </c>
      <c r="B3514" s="6">
        <v>45436</v>
      </c>
      <c r="C3514" s="2" t="s">
        <v>53</v>
      </c>
      <c r="D3514" s="8">
        <v>-92</v>
      </c>
      <c r="E3514" s="8">
        <f>E3513+(0-92)</f>
        <v>9419793.9399996977</v>
      </c>
    </row>
    <row r="3515" spans="1:5" x14ac:dyDescent="0.25">
      <c r="A3515" s="2" t="s">
        <v>38</v>
      </c>
      <c r="B3515" s="6">
        <v>45436</v>
      </c>
      <c r="C3515" s="2" t="s">
        <v>53</v>
      </c>
      <c r="D3515" s="8">
        <v>-53.75</v>
      </c>
      <c r="E3515" s="8">
        <f>E3514+(0-53.75)</f>
        <v>9419740.1899996977</v>
      </c>
    </row>
    <row r="3516" spans="1:5" x14ac:dyDescent="0.25">
      <c r="A3516" s="2" t="s">
        <v>38</v>
      </c>
      <c r="B3516" s="6">
        <v>45439</v>
      </c>
      <c r="C3516" s="2" t="s">
        <v>53</v>
      </c>
      <c r="D3516" s="8">
        <v>-53.75</v>
      </c>
      <c r="E3516" s="8">
        <f>E3515+(0-53.75)</f>
        <v>9419686.4399996977</v>
      </c>
    </row>
    <row r="3517" spans="1:5" x14ac:dyDescent="0.25">
      <c r="A3517" s="2" t="s">
        <v>38</v>
      </c>
      <c r="B3517" s="6">
        <v>45439</v>
      </c>
      <c r="C3517" s="2" t="s">
        <v>53</v>
      </c>
      <c r="D3517" s="8">
        <v>-26.88</v>
      </c>
      <c r="E3517" s="8">
        <f>E3516+(0-26.88)</f>
        <v>9419659.5599996969</v>
      </c>
    </row>
    <row r="3518" spans="1:5" x14ac:dyDescent="0.25">
      <c r="A3518" s="2" t="s">
        <v>38</v>
      </c>
      <c r="B3518" s="6">
        <v>45439</v>
      </c>
      <c r="C3518" s="2" t="s">
        <v>53</v>
      </c>
      <c r="D3518" s="8">
        <v>-26.88</v>
      </c>
      <c r="E3518" s="8">
        <f>E3517+(0-26.88)</f>
        <v>9419632.6799996961</v>
      </c>
    </row>
    <row r="3519" spans="1:5" x14ac:dyDescent="0.25">
      <c r="A3519" s="2" t="s">
        <v>38</v>
      </c>
      <c r="B3519" s="6">
        <v>45440</v>
      </c>
      <c r="C3519" s="2" t="s">
        <v>19</v>
      </c>
      <c r="D3519" s="8">
        <v>-28</v>
      </c>
      <c r="E3519" s="8">
        <f>E3518+(0-28)</f>
        <v>9419604.6799996961</v>
      </c>
    </row>
    <row r="3520" spans="1:5" x14ac:dyDescent="0.25">
      <c r="A3520" s="2" t="s">
        <v>38</v>
      </c>
      <c r="B3520" s="6">
        <v>45440</v>
      </c>
      <c r="C3520" s="2" t="s">
        <v>53</v>
      </c>
      <c r="D3520" s="8">
        <v>-53.75</v>
      </c>
      <c r="E3520" s="8">
        <f>E3519+(0-53.75)</f>
        <v>9419550.9299996961</v>
      </c>
    </row>
    <row r="3521" spans="1:5" x14ac:dyDescent="0.25">
      <c r="A3521" s="2" t="s">
        <v>38</v>
      </c>
      <c r="B3521" s="6">
        <v>45440</v>
      </c>
      <c r="C3521" s="2" t="s">
        <v>19</v>
      </c>
      <c r="D3521" s="8">
        <v>-4</v>
      </c>
      <c r="E3521" s="8">
        <f>E3520+(0-4)</f>
        <v>9419546.9299996961</v>
      </c>
    </row>
    <row r="3522" spans="1:5" x14ac:dyDescent="0.25">
      <c r="A3522" s="2" t="s">
        <v>38</v>
      </c>
      <c r="B3522" s="6">
        <v>45440</v>
      </c>
      <c r="C3522" s="2" t="s">
        <v>53</v>
      </c>
      <c r="D3522" s="8">
        <v>-53.75</v>
      </c>
      <c r="E3522" s="8">
        <f>E3521+(0-53.75)</f>
        <v>9419493.1799996961</v>
      </c>
    </row>
    <row r="3523" spans="1:5" x14ac:dyDescent="0.25">
      <c r="A3523" s="2" t="s">
        <v>38</v>
      </c>
      <c r="B3523" s="6">
        <v>45440</v>
      </c>
      <c r="C3523" s="2" t="s">
        <v>19</v>
      </c>
      <c r="D3523" s="8">
        <v>-504</v>
      </c>
      <c r="E3523" s="8">
        <f>E3522+(0-504)</f>
        <v>9418989.1799996961</v>
      </c>
    </row>
    <row r="3524" spans="1:5" x14ac:dyDescent="0.25">
      <c r="A3524" s="2" t="s">
        <v>38</v>
      </c>
      <c r="B3524" s="6">
        <v>45440</v>
      </c>
      <c r="C3524" s="2" t="s">
        <v>53</v>
      </c>
      <c r="D3524" s="8">
        <v>-53.75</v>
      </c>
      <c r="E3524" s="8">
        <f>E3523+(0-53.75)</f>
        <v>9418935.4299996961</v>
      </c>
    </row>
    <row r="3525" spans="1:5" x14ac:dyDescent="0.25">
      <c r="A3525" s="2" t="s">
        <v>38</v>
      </c>
      <c r="B3525" s="6">
        <v>45440</v>
      </c>
      <c r="C3525" s="2" t="s">
        <v>53</v>
      </c>
      <c r="D3525" s="8">
        <v>-26.88</v>
      </c>
      <c r="E3525" s="8">
        <f>E3524+(0-26.88)</f>
        <v>9418908.5499996953</v>
      </c>
    </row>
    <row r="3526" spans="1:5" x14ac:dyDescent="0.25">
      <c r="A3526" s="2" t="s">
        <v>38</v>
      </c>
      <c r="B3526" s="6">
        <v>45440</v>
      </c>
      <c r="C3526" s="2" t="s">
        <v>53</v>
      </c>
      <c r="D3526" s="8">
        <v>-53.75</v>
      </c>
      <c r="E3526" s="8">
        <f>E3525+(0-53.75)</f>
        <v>9418854.7999996953</v>
      </c>
    </row>
    <row r="3527" spans="1:5" x14ac:dyDescent="0.25">
      <c r="A3527" s="2" t="s">
        <v>38</v>
      </c>
      <c r="B3527" s="6">
        <v>45440</v>
      </c>
      <c r="C3527" s="2" t="s">
        <v>53</v>
      </c>
      <c r="D3527" s="8">
        <v>-53.75</v>
      </c>
      <c r="E3527" s="8">
        <f>E3526+(0-53.75)</f>
        <v>9418801.0499996953</v>
      </c>
    </row>
    <row r="3528" spans="1:5" x14ac:dyDescent="0.25">
      <c r="A3528" s="2" t="s">
        <v>38</v>
      </c>
      <c r="B3528" s="6">
        <v>45440</v>
      </c>
      <c r="C3528" s="2" t="s">
        <v>53</v>
      </c>
      <c r="D3528" s="8">
        <v>-53.75</v>
      </c>
      <c r="E3528" s="8">
        <f>E3527+(0-53.75)</f>
        <v>9418747.2999996953</v>
      </c>
    </row>
    <row r="3529" spans="1:5" x14ac:dyDescent="0.25">
      <c r="A3529" s="2" t="s">
        <v>38</v>
      </c>
      <c r="B3529" s="6">
        <v>45440</v>
      </c>
      <c r="C3529" s="2" t="s">
        <v>53</v>
      </c>
      <c r="D3529" s="8">
        <v>-53.75</v>
      </c>
      <c r="E3529" s="8">
        <f>E3528+(0-53.75)</f>
        <v>9418693.5499996953</v>
      </c>
    </row>
    <row r="3530" spans="1:5" x14ac:dyDescent="0.25">
      <c r="A3530" s="2" t="s">
        <v>38</v>
      </c>
      <c r="B3530" s="6">
        <v>45440</v>
      </c>
      <c r="C3530" s="2" t="s">
        <v>53</v>
      </c>
      <c r="D3530" s="8">
        <v>-53.75</v>
      </c>
      <c r="E3530" s="8">
        <f>E3529+(0-53.75)</f>
        <v>9418639.7999996953</v>
      </c>
    </row>
    <row r="3531" spans="1:5" x14ac:dyDescent="0.25">
      <c r="A3531" s="2" t="s">
        <v>38</v>
      </c>
      <c r="B3531" s="6">
        <v>45440</v>
      </c>
      <c r="C3531" s="2" t="s">
        <v>53</v>
      </c>
      <c r="D3531" s="8">
        <v>-300</v>
      </c>
      <c r="E3531" s="8">
        <f>E3530+(0-300)</f>
        <v>9418339.7999996953</v>
      </c>
    </row>
    <row r="3532" spans="1:5" x14ac:dyDescent="0.25">
      <c r="A3532" s="2" t="s">
        <v>38</v>
      </c>
      <c r="B3532" s="6">
        <v>45440</v>
      </c>
      <c r="C3532" s="2" t="s">
        <v>53</v>
      </c>
      <c r="D3532" s="8">
        <v>-450</v>
      </c>
      <c r="E3532" s="8">
        <f>E3531+(0-450)</f>
        <v>9417889.7999996953</v>
      </c>
    </row>
    <row r="3533" spans="1:5" x14ac:dyDescent="0.25">
      <c r="A3533" s="2" t="s">
        <v>38</v>
      </c>
      <c r="B3533" s="6">
        <v>45440</v>
      </c>
      <c r="C3533" s="2" t="s">
        <v>53</v>
      </c>
      <c r="D3533" s="8">
        <v>-50</v>
      </c>
      <c r="E3533" s="8">
        <f>E3532+(0-50)</f>
        <v>9417839.7999996953</v>
      </c>
    </row>
    <row r="3534" spans="1:5" x14ac:dyDescent="0.25">
      <c r="A3534" s="2" t="s">
        <v>38</v>
      </c>
      <c r="B3534" s="6">
        <v>45441</v>
      </c>
      <c r="C3534" s="2" t="s">
        <v>53</v>
      </c>
      <c r="D3534" s="8">
        <v>-53.75</v>
      </c>
      <c r="E3534" s="8">
        <f>E3533+(0-53.75)</f>
        <v>9417786.0499996953</v>
      </c>
    </row>
    <row r="3535" spans="1:5" x14ac:dyDescent="0.25">
      <c r="A3535" s="2" t="s">
        <v>38</v>
      </c>
      <c r="B3535" s="6">
        <v>45441</v>
      </c>
      <c r="C3535" s="2" t="s">
        <v>53</v>
      </c>
      <c r="D3535" s="8">
        <v>-53.75</v>
      </c>
      <c r="E3535" s="8">
        <f>E3534+(0-53.75)</f>
        <v>9417732.2999996953</v>
      </c>
    </row>
    <row r="3536" spans="1:5" x14ac:dyDescent="0.25">
      <c r="A3536" s="2" t="s">
        <v>38</v>
      </c>
      <c r="B3536" s="6">
        <v>45441</v>
      </c>
      <c r="C3536" s="2" t="s">
        <v>53</v>
      </c>
      <c r="D3536" s="8">
        <v>-50</v>
      </c>
      <c r="E3536" s="8">
        <f>E3535+(0-50)</f>
        <v>9417682.2999996953</v>
      </c>
    </row>
    <row r="3537" spans="1:5" x14ac:dyDescent="0.25">
      <c r="A3537" s="2" t="s">
        <v>38</v>
      </c>
      <c r="B3537" s="6">
        <v>45441</v>
      </c>
      <c r="C3537" s="2" t="s">
        <v>53</v>
      </c>
      <c r="D3537" s="8">
        <v>-50</v>
      </c>
      <c r="E3537" s="8">
        <f>E3536+(0-50)</f>
        <v>9417632.2999996953</v>
      </c>
    </row>
    <row r="3538" spans="1:5" x14ac:dyDescent="0.25">
      <c r="A3538" s="2" t="s">
        <v>38</v>
      </c>
      <c r="B3538" s="6">
        <v>45441</v>
      </c>
      <c r="C3538" s="2" t="s">
        <v>53</v>
      </c>
      <c r="D3538" s="8">
        <v>-50</v>
      </c>
      <c r="E3538" s="8">
        <f>E3537+(0-50)</f>
        <v>9417582.2999996953</v>
      </c>
    </row>
    <row r="3539" spans="1:5" x14ac:dyDescent="0.25">
      <c r="A3539" s="2" t="s">
        <v>38</v>
      </c>
      <c r="B3539" s="6">
        <v>45441</v>
      </c>
      <c r="C3539" s="2" t="s">
        <v>53</v>
      </c>
      <c r="D3539" s="8">
        <v>-50</v>
      </c>
      <c r="E3539" s="8">
        <f>E3538+(0-50)</f>
        <v>9417532.2999996953</v>
      </c>
    </row>
    <row r="3540" spans="1:5" x14ac:dyDescent="0.25">
      <c r="A3540" s="2" t="s">
        <v>38</v>
      </c>
      <c r="B3540" s="6">
        <v>45441</v>
      </c>
      <c r="C3540" s="2" t="s">
        <v>53</v>
      </c>
      <c r="D3540" s="8">
        <v>-50</v>
      </c>
      <c r="E3540" s="8">
        <f>E3539+(0-50)</f>
        <v>9417482.2999996953</v>
      </c>
    </row>
    <row r="3541" spans="1:5" x14ac:dyDescent="0.25">
      <c r="A3541" s="2" t="s">
        <v>38</v>
      </c>
      <c r="B3541" s="6">
        <v>45441</v>
      </c>
      <c r="C3541" s="2" t="s">
        <v>53</v>
      </c>
      <c r="D3541" s="8">
        <v>-50</v>
      </c>
      <c r="E3541" s="8">
        <f>E3540+(0-50)</f>
        <v>9417432.2999996953</v>
      </c>
    </row>
    <row r="3542" spans="1:5" x14ac:dyDescent="0.25">
      <c r="A3542" s="2" t="s">
        <v>38</v>
      </c>
      <c r="B3542" s="6">
        <v>45441</v>
      </c>
      <c r="C3542" s="2" t="s">
        <v>53</v>
      </c>
      <c r="D3542" s="8">
        <v>-500</v>
      </c>
      <c r="E3542" s="8">
        <f>E3541+(0-500)</f>
        <v>9416932.2999996953</v>
      </c>
    </row>
    <row r="3543" spans="1:5" x14ac:dyDescent="0.25">
      <c r="A3543" s="2" t="s">
        <v>38</v>
      </c>
      <c r="B3543" s="6">
        <v>45441</v>
      </c>
      <c r="C3543" s="2" t="s">
        <v>53</v>
      </c>
      <c r="D3543" s="8">
        <v>-50</v>
      </c>
      <c r="E3543" s="8">
        <f>E3542+(0-50)</f>
        <v>9416882.2999996953</v>
      </c>
    </row>
    <row r="3544" spans="1:5" x14ac:dyDescent="0.25">
      <c r="A3544" s="2" t="s">
        <v>38</v>
      </c>
      <c r="B3544" s="6">
        <v>45442</v>
      </c>
      <c r="C3544" s="2" t="s">
        <v>19</v>
      </c>
      <c r="D3544" s="8">
        <v>-56</v>
      </c>
      <c r="E3544" s="8">
        <f>E3543+(0-56)</f>
        <v>9416826.2999996953</v>
      </c>
    </row>
    <row r="3545" spans="1:5" x14ac:dyDescent="0.25">
      <c r="A3545" s="2" t="s">
        <v>38</v>
      </c>
      <c r="B3545" s="6">
        <v>45442</v>
      </c>
      <c r="C3545" s="2" t="s">
        <v>19</v>
      </c>
      <c r="D3545" s="8">
        <v>-128</v>
      </c>
      <c r="E3545" s="8">
        <f>E3544+(0-128)</f>
        <v>9416698.2999996953</v>
      </c>
    </row>
    <row r="3546" spans="1:5" x14ac:dyDescent="0.25">
      <c r="A3546" s="2" t="s">
        <v>38</v>
      </c>
      <c r="B3546" s="6">
        <v>45442</v>
      </c>
      <c r="C3546" s="2" t="s">
        <v>53</v>
      </c>
      <c r="D3546" s="8">
        <v>-53.75</v>
      </c>
      <c r="E3546" s="8">
        <f>E3545+(0-53.75)</f>
        <v>9416644.5499996953</v>
      </c>
    </row>
    <row r="3547" spans="1:5" x14ac:dyDescent="0.25">
      <c r="A3547" s="2" t="s">
        <v>38</v>
      </c>
      <c r="B3547" s="6">
        <v>45442</v>
      </c>
      <c r="C3547" s="2" t="s">
        <v>53</v>
      </c>
      <c r="D3547" s="8">
        <v>-53.75</v>
      </c>
      <c r="E3547" s="8">
        <f>E3546+(0-53.75)</f>
        <v>9416590.7999996953</v>
      </c>
    </row>
    <row r="3548" spans="1:5" x14ac:dyDescent="0.25">
      <c r="A3548" s="2" t="s">
        <v>38</v>
      </c>
      <c r="B3548" s="6">
        <v>45442</v>
      </c>
      <c r="C3548" s="2" t="s">
        <v>53</v>
      </c>
      <c r="D3548" s="8">
        <v>-53.75</v>
      </c>
      <c r="E3548" s="8">
        <f>E3547+(0-53.75)</f>
        <v>9416537.0499996953</v>
      </c>
    </row>
    <row r="3549" spans="1:5" x14ac:dyDescent="0.25">
      <c r="A3549" s="2" t="s">
        <v>38</v>
      </c>
      <c r="B3549" s="6">
        <v>45442</v>
      </c>
      <c r="C3549" s="2" t="s">
        <v>53</v>
      </c>
      <c r="D3549" s="8">
        <v>-300</v>
      </c>
      <c r="E3549" s="8">
        <f>E3548+(0-300)</f>
        <v>9416237.0499996953</v>
      </c>
    </row>
    <row r="3550" spans="1:5" x14ac:dyDescent="0.25">
      <c r="A3550" s="2" t="s">
        <v>38</v>
      </c>
      <c r="B3550" s="6">
        <v>45442</v>
      </c>
      <c r="C3550" s="2" t="s">
        <v>53</v>
      </c>
      <c r="D3550" s="8">
        <v>-26.88</v>
      </c>
      <c r="E3550" s="8">
        <f>E3549+(0-26.88)</f>
        <v>9416210.1699996945</v>
      </c>
    </row>
    <row r="3551" spans="1:5" x14ac:dyDescent="0.25">
      <c r="A3551" s="2" t="s">
        <v>38</v>
      </c>
      <c r="B3551" s="6">
        <v>45443</v>
      </c>
      <c r="C3551" s="2" t="s">
        <v>53</v>
      </c>
      <c r="D3551" s="8">
        <v>-53.75</v>
      </c>
      <c r="E3551" s="8">
        <f>E3550+(0-53.75)</f>
        <v>9416156.4199996945</v>
      </c>
    </row>
    <row r="3552" spans="1:5" x14ac:dyDescent="0.25">
      <c r="A3552" s="2" t="s">
        <v>38</v>
      </c>
      <c r="B3552" s="6">
        <v>45443</v>
      </c>
      <c r="C3552" s="2" t="s">
        <v>53</v>
      </c>
      <c r="D3552" s="8">
        <v>-10.75</v>
      </c>
      <c r="E3552" s="8">
        <f>E3551+(0-10.75)</f>
        <v>9416145.6699996945</v>
      </c>
    </row>
    <row r="3553" spans="1:5" x14ac:dyDescent="0.25">
      <c r="A3553" s="2" t="s">
        <v>38</v>
      </c>
      <c r="B3553" s="6">
        <v>45443</v>
      </c>
      <c r="C3553" s="2" t="s">
        <v>53</v>
      </c>
      <c r="D3553" s="8">
        <v>-650</v>
      </c>
      <c r="E3553" s="8">
        <f>E3552+(0-650)</f>
        <v>9415495.6699996945</v>
      </c>
    </row>
    <row r="3554" spans="1:5" x14ac:dyDescent="0.25">
      <c r="A3554" s="2" t="s">
        <v>38</v>
      </c>
      <c r="B3554" s="6">
        <v>45443</v>
      </c>
      <c r="C3554" s="2" t="s">
        <v>19</v>
      </c>
      <c r="D3554" s="8">
        <v>-80</v>
      </c>
      <c r="E3554" s="8">
        <f>E3553+(0-80)</f>
        <v>9415415.6699996945</v>
      </c>
    </row>
    <row r="3555" spans="1:5" x14ac:dyDescent="0.25">
      <c r="A3555" s="2" t="s">
        <v>38</v>
      </c>
      <c r="B3555" s="6">
        <v>45444</v>
      </c>
      <c r="C3555" s="2" t="s">
        <v>19</v>
      </c>
      <c r="D3555" s="8">
        <v>-48</v>
      </c>
      <c r="E3555" s="8">
        <f>E3554+(0-48)</f>
        <v>9415367.6699996945</v>
      </c>
    </row>
    <row r="3556" spans="1:5" x14ac:dyDescent="0.25">
      <c r="A3556" s="2" t="s">
        <v>38</v>
      </c>
      <c r="B3556" s="6">
        <v>45446</v>
      </c>
      <c r="C3556" s="2" t="s">
        <v>19</v>
      </c>
      <c r="D3556" s="8">
        <v>-76</v>
      </c>
      <c r="E3556" s="8">
        <f>E3555+(0-76)</f>
        <v>9415291.6699996945</v>
      </c>
    </row>
    <row r="3557" spans="1:5" x14ac:dyDescent="0.25">
      <c r="A3557" s="2" t="s">
        <v>38</v>
      </c>
      <c r="B3557" s="6">
        <v>45446</v>
      </c>
      <c r="C3557" s="2" t="s">
        <v>19</v>
      </c>
      <c r="D3557" s="8">
        <v>-4</v>
      </c>
      <c r="E3557" s="8">
        <f>E3556+(0-4)</f>
        <v>9415287.6699996945</v>
      </c>
    </row>
    <row r="3558" spans="1:5" x14ac:dyDescent="0.25">
      <c r="A3558" s="2" t="s">
        <v>38</v>
      </c>
      <c r="B3558" s="6">
        <v>45446</v>
      </c>
      <c r="C3558" s="2" t="s">
        <v>19</v>
      </c>
      <c r="D3558" s="8">
        <v>-12</v>
      </c>
      <c r="E3558" s="8">
        <f>E3557+(0-12)</f>
        <v>9415275.6699996945</v>
      </c>
    </row>
    <row r="3559" spans="1:5" x14ac:dyDescent="0.25">
      <c r="A3559" s="2" t="s">
        <v>38</v>
      </c>
      <c r="B3559" s="6">
        <v>45446</v>
      </c>
      <c r="C3559" s="2" t="s">
        <v>53</v>
      </c>
      <c r="D3559" s="8">
        <v>-50</v>
      </c>
      <c r="E3559" s="8">
        <f>E3558+(0-50)</f>
        <v>9415225.6699996945</v>
      </c>
    </row>
    <row r="3560" spans="1:5" x14ac:dyDescent="0.25">
      <c r="A3560" s="2" t="s">
        <v>38</v>
      </c>
      <c r="B3560" s="6">
        <v>45446</v>
      </c>
      <c r="C3560" s="2" t="s">
        <v>53</v>
      </c>
      <c r="D3560" s="8">
        <v>-750</v>
      </c>
      <c r="E3560" s="8">
        <f>E3559+(0-750)</f>
        <v>9414475.6699996945</v>
      </c>
    </row>
    <row r="3561" spans="1:5" x14ac:dyDescent="0.25">
      <c r="A3561" s="2" t="s">
        <v>38</v>
      </c>
      <c r="B3561" s="6">
        <v>45447</v>
      </c>
      <c r="C3561" s="2" t="s">
        <v>19</v>
      </c>
      <c r="D3561" s="8">
        <v>-60</v>
      </c>
      <c r="E3561" s="8">
        <f>E3560+(0-60)</f>
        <v>9414415.6699996945</v>
      </c>
    </row>
    <row r="3562" spans="1:5" x14ac:dyDescent="0.25">
      <c r="A3562" s="2" t="s">
        <v>38</v>
      </c>
      <c r="B3562" s="6">
        <v>45447</v>
      </c>
      <c r="C3562" s="2" t="s">
        <v>53</v>
      </c>
      <c r="D3562" s="8">
        <v>-50</v>
      </c>
      <c r="E3562" s="8">
        <f>E3561+(0-50)</f>
        <v>9414365.6699996945</v>
      </c>
    </row>
    <row r="3563" spans="1:5" x14ac:dyDescent="0.25">
      <c r="A3563" s="2" t="s">
        <v>38</v>
      </c>
      <c r="B3563" s="6">
        <v>45447</v>
      </c>
      <c r="C3563" s="2" t="s">
        <v>53</v>
      </c>
      <c r="D3563" s="8">
        <v>-700</v>
      </c>
      <c r="E3563" s="8">
        <f>E3562+(0-700)</f>
        <v>9413665.6699996945</v>
      </c>
    </row>
    <row r="3564" spans="1:5" x14ac:dyDescent="0.25">
      <c r="A3564" s="2" t="s">
        <v>38</v>
      </c>
      <c r="B3564" s="6">
        <v>45448</v>
      </c>
      <c r="C3564" s="2" t="s">
        <v>214</v>
      </c>
      <c r="D3564" s="8">
        <v>-68</v>
      </c>
      <c r="E3564" s="8">
        <f>E3563+(0-68)</f>
        <v>9413597.6699996945</v>
      </c>
    </row>
    <row r="3565" spans="1:5" x14ac:dyDescent="0.25">
      <c r="A3565" s="2" t="s">
        <v>38</v>
      </c>
      <c r="B3565" s="6">
        <v>45448</v>
      </c>
      <c r="C3565" s="2" t="s">
        <v>53</v>
      </c>
      <c r="D3565" s="8">
        <v>-50</v>
      </c>
      <c r="E3565" s="8">
        <f>E3564+(0-50)</f>
        <v>9413547.6699996945</v>
      </c>
    </row>
    <row r="3566" spans="1:5" x14ac:dyDescent="0.25">
      <c r="A3566" s="2" t="s">
        <v>38</v>
      </c>
      <c r="B3566" s="6">
        <v>45448</v>
      </c>
      <c r="C3566" s="2" t="s">
        <v>53</v>
      </c>
      <c r="D3566" s="8">
        <v>-50</v>
      </c>
      <c r="E3566" s="8">
        <f>E3565+(0-50)</f>
        <v>9413497.6699996945</v>
      </c>
    </row>
    <row r="3567" spans="1:5" x14ac:dyDescent="0.25">
      <c r="A3567" s="2" t="s">
        <v>38</v>
      </c>
      <c r="B3567" s="6">
        <v>45448</v>
      </c>
      <c r="C3567" s="2" t="s">
        <v>53</v>
      </c>
      <c r="D3567" s="8">
        <v>-50</v>
      </c>
      <c r="E3567" s="8">
        <f>E3566+(0-50)</f>
        <v>9413447.6699996945</v>
      </c>
    </row>
    <row r="3568" spans="1:5" x14ac:dyDescent="0.25">
      <c r="A3568" s="2" t="s">
        <v>38</v>
      </c>
      <c r="B3568" s="6">
        <v>45448</v>
      </c>
      <c r="C3568" s="2" t="s">
        <v>53</v>
      </c>
      <c r="D3568" s="8">
        <v>-50</v>
      </c>
      <c r="E3568" s="8">
        <f>E3567+(0-50)</f>
        <v>9413397.6699996945</v>
      </c>
    </row>
    <row r="3569" spans="1:5" x14ac:dyDescent="0.25">
      <c r="A3569" s="2" t="s">
        <v>38</v>
      </c>
      <c r="B3569" s="6">
        <v>45448</v>
      </c>
      <c r="C3569" s="2" t="s">
        <v>53</v>
      </c>
      <c r="D3569" s="8">
        <v>-53.75</v>
      </c>
      <c r="E3569" s="8">
        <f>E3568+(0-53.75)</f>
        <v>9413343.9199996945</v>
      </c>
    </row>
    <row r="3570" spans="1:5" x14ac:dyDescent="0.25">
      <c r="A3570" s="2" t="s">
        <v>38</v>
      </c>
      <c r="B3570" s="6">
        <v>45448</v>
      </c>
      <c r="C3570" s="2" t="s">
        <v>53</v>
      </c>
      <c r="D3570" s="8">
        <v>-300</v>
      </c>
      <c r="E3570" s="8">
        <f>E3569+(0-300)</f>
        <v>9413043.9199996945</v>
      </c>
    </row>
    <row r="3571" spans="1:5" x14ac:dyDescent="0.25">
      <c r="A3571" s="2" t="s">
        <v>38</v>
      </c>
      <c r="B3571" s="6">
        <v>45449</v>
      </c>
      <c r="C3571" s="2" t="s">
        <v>53</v>
      </c>
      <c r="D3571" s="8">
        <v>-100</v>
      </c>
      <c r="E3571" s="8">
        <f>E3570+(0-100)</f>
        <v>9412943.9199996945</v>
      </c>
    </row>
    <row r="3572" spans="1:5" x14ac:dyDescent="0.25">
      <c r="A3572" s="2" t="s">
        <v>38</v>
      </c>
      <c r="B3572" s="6">
        <v>45450</v>
      </c>
      <c r="C3572" s="2" t="s">
        <v>19</v>
      </c>
      <c r="D3572" s="8">
        <v>-84</v>
      </c>
      <c r="E3572" s="8">
        <f>E3571+(0-84)</f>
        <v>9412859.9199996945</v>
      </c>
    </row>
    <row r="3573" spans="1:5" x14ac:dyDescent="0.25">
      <c r="A3573" s="2" t="s">
        <v>38</v>
      </c>
      <c r="B3573" s="6">
        <v>45450</v>
      </c>
      <c r="C3573" s="2" t="s">
        <v>19</v>
      </c>
      <c r="D3573" s="8">
        <v>-28</v>
      </c>
      <c r="E3573" s="8">
        <f>E3572+(0-28)</f>
        <v>9412831.9199996945</v>
      </c>
    </row>
    <row r="3574" spans="1:5" x14ac:dyDescent="0.25">
      <c r="A3574" s="2" t="s">
        <v>38</v>
      </c>
      <c r="B3574" s="6">
        <v>45450</v>
      </c>
      <c r="C3574" s="2" t="s">
        <v>53</v>
      </c>
      <c r="D3574" s="8">
        <v>-53.75</v>
      </c>
      <c r="E3574" s="8">
        <f>E3573+(0-53.75)</f>
        <v>9412778.1699996945</v>
      </c>
    </row>
    <row r="3575" spans="1:5" x14ac:dyDescent="0.25">
      <c r="A3575" s="2" t="s">
        <v>38</v>
      </c>
      <c r="B3575" s="6">
        <v>45450</v>
      </c>
      <c r="C3575" s="2" t="s">
        <v>53</v>
      </c>
      <c r="D3575" s="8">
        <v>-50</v>
      </c>
      <c r="E3575" s="8">
        <f>E3574+(0-50)</f>
        <v>9412728.1699996945</v>
      </c>
    </row>
    <row r="3576" spans="1:5" x14ac:dyDescent="0.25">
      <c r="A3576" s="2" t="s">
        <v>38</v>
      </c>
      <c r="B3576" s="6">
        <v>45450</v>
      </c>
      <c r="C3576" s="2" t="s">
        <v>53</v>
      </c>
      <c r="D3576" s="8">
        <v>-50</v>
      </c>
      <c r="E3576" s="8">
        <f>E3575+(0-50)</f>
        <v>9412678.1699996945</v>
      </c>
    </row>
    <row r="3577" spans="1:5" x14ac:dyDescent="0.25">
      <c r="A3577" s="2" t="s">
        <v>38</v>
      </c>
      <c r="B3577" s="6">
        <v>45450</v>
      </c>
      <c r="C3577" s="2" t="s">
        <v>53</v>
      </c>
      <c r="D3577" s="8">
        <v>-200</v>
      </c>
      <c r="E3577" s="8">
        <f>E3576+(0-200)</f>
        <v>9412478.1699996945</v>
      </c>
    </row>
    <row r="3578" spans="1:5" x14ac:dyDescent="0.25">
      <c r="A3578" s="2" t="s">
        <v>38</v>
      </c>
      <c r="B3578" s="6">
        <v>45453</v>
      </c>
      <c r="C3578" s="2" t="s">
        <v>19</v>
      </c>
      <c r="D3578" s="8">
        <v>-32</v>
      </c>
      <c r="E3578" s="8">
        <f>E3577+(0-32)</f>
        <v>9412446.1699996945</v>
      </c>
    </row>
    <row r="3579" spans="1:5" x14ac:dyDescent="0.25">
      <c r="A3579" s="2" t="s">
        <v>38</v>
      </c>
      <c r="B3579" s="6">
        <v>45453</v>
      </c>
      <c r="C3579" s="2" t="s">
        <v>19</v>
      </c>
      <c r="D3579" s="8">
        <v>-8</v>
      </c>
      <c r="E3579" s="8">
        <f>E3578+(0-8)</f>
        <v>9412438.1699996945</v>
      </c>
    </row>
    <row r="3580" spans="1:5" x14ac:dyDescent="0.25">
      <c r="A3580" s="2" t="s">
        <v>38</v>
      </c>
      <c r="B3580" s="6">
        <v>45453</v>
      </c>
      <c r="C3580" s="2" t="s">
        <v>53</v>
      </c>
      <c r="D3580" s="8">
        <v>-4</v>
      </c>
      <c r="E3580" s="8">
        <f>E3579+(0-4)</f>
        <v>9412434.1699996945</v>
      </c>
    </row>
    <row r="3581" spans="1:5" x14ac:dyDescent="0.25">
      <c r="A3581" s="2" t="s">
        <v>38</v>
      </c>
      <c r="B3581" s="6">
        <v>45453</v>
      </c>
      <c r="C3581" s="2" t="s">
        <v>53</v>
      </c>
      <c r="D3581" s="8">
        <v>-26.88</v>
      </c>
      <c r="E3581" s="8">
        <f>E3580+(0-26.88)</f>
        <v>9412407.2899996936</v>
      </c>
    </row>
    <row r="3582" spans="1:5" x14ac:dyDescent="0.25">
      <c r="A3582" s="2" t="s">
        <v>38</v>
      </c>
      <c r="B3582" s="6">
        <v>45453</v>
      </c>
      <c r="C3582" s="2" t="s">
        <v>53</v>
      </c>
      <c r="D3582" s="8">
        <v>-50</v>
      </c>
      <c r="E3582" s="8">
        <f>E3581+(0-50)</f>
        <v>9412357.2899996936</v>
      </c>
    </row>
    <row r="3583" spans="1:5" x14ac:dyDescent="0.25">
      <c r="A3583" s="2" t="s">
        <v>38</v>
      </c>
      <c r="B3583" s="6">
        <v>45453</v>
      </c>
      <c r="C3583" s="2" t="s">
        <v>53</v>
      </c>
      <c r="D3583" s="8">
        <v>-550</v>
      </c>
      <c r="E3583" s="8">
        <f>E3582+(0-550)</f>
        <v>9411807.2899996936</v>
      </c>
    </row>
    <row r="3584" spans="1:5" x14ac:dyDescent="0.25">
      <c r="A3584" s="2" t="s">
        <v>38</v>
      </c>
      <c r="B3584" s="6">
        <v>45453</v>
      </c>
      <c r="C3584" s="2" t="s">
        <v>53</v>
      </c>
      <c r="D3584" s="8">
        <v>-50</v>
      </c>
      <c r="E3584" s="8">
        <f>E3583+(0-50)</f>
        <v>9411757.2899996936</v>
      </c>
    </row>
    <row r="3585" spans="1:5" x14ac:dyDescent="0.25">
      <c r="A3585" s="2" t="s">
        <v>38</v>
      </c>
      <c r="B3585" s="6">
        <v>45454</v>
      </c>
      <c r="C3585" s="2" t="s">
        <v>53</v>
      </c>
      <c r="D3585" s="8">
        <v>-53.75</v>
      </c>
      <c r="E3585" s="8">
        <f>E3584+(0-53.75)</f>
        <v>9411703.5399996936</v>
      </c>
    </row>
    <row r="3586" spans="1:5" x14ac:dyDescent="0.25">
      <c r="A3586" s="2" t="s">
        <v>38</v>
      </c>
      <c r="B3586" s="6">
        <v>45454</v>
      </c>
      <c r="C3586" s="2" t="s">
        <v>53</v>
      </c>
      <c r="D3586" s="8">
        <v>-53.75</v>
      </c>
      <c r="E3586" s="8">
        <f>E3585+(0-53.75)</f>
        <v>9411649.7899996936</v>
      </c>
    </row>
    <row r="3587" spans="1:5" x14ac:dyDescent="0.25">
      <c r="A3587" s="2" t="s">
        <v>38</v>
      </c>
      <c r="B3587" s="6">
        <v>45454</v>
      </c>
      <c r="C3587" s="2" t="s">
        <v>53</v>
      </c>
      <c r="D3587" s="8">
        <v>-350</v>
      </c>
      <c r="E3587" s="8">
        <f>E3586+(0-350)</f>
        <v>9411299.7899996936</v>
      </c>
    </row>
    <row r="3588" spans="1:5" x14ac:dyDescent="0.25">
      <c r="A3588" s="2" t="s">
        <v>38</v>
      </c>
      <c r="B3588" s="6">
        <v>45456</v>
      </c>
      <c r="C3588" s="2" t="s">
        <v>19</v>
      </c>
      <c r="D3588" s="8">
        <v>-64</v>
      </c>
      <c r="E3588" s="8">
        <f>E3587+(0-64)</f>
        <v>9411235.7899996936</v>
      </c>
    </row>
    <row r="3589" spans="1:5" x14ac:dyDescent="0.25">
      <c r="A3589" s="2" t="s">
        <v>38</v>
      </c>
      <c r="B3589" s="6">
        <v>45456</v>
      </c>
      <c r="C3589" s="2" t="s">
        <v>19</v>
      </c>
      <c r="D3589" s="8">
        <v>-44</v>
      </c>
      <c r="E3589" s="8">
        <f>E3588+(0-44)</f>
        <v>9411191.7899996936</v>
      </c>
    </row>
    <row r="3590" spans="1:5" x14ac:dyDescent="0.25">
      <c r="A3590" s="2" t="s">
        <v>38</v>
      </c>
      <c r="B3590" s="6">
        <v>45456</v>
      </c>
      <c r="C3590" s="2" t="s">
        <v>53</v>
      </c>
      <c r="D3590" s="8">
        <v>-700</v>
      </c>
      <c r="E3590" s="8">
        <f>E3589+(0-700)</f>
        <v>9410491.7899996936</v>
      </c>
    </row>
    <row r="3591" spans="1:5" x14ac:dyDescent="0.25">
      <c r="A3591" s="2" t="s">
        <v>38</v>
      </c>
      <c r="B3591" s="6">
        <v>45457</v>
      </c>
      <c r="C3591" s="2" t="s">
        <v>19</v>
      </c>
      <c r="D3591" s="8">
        <v>-20</v>
      </c>
      <c r="E3591" s="8">
        <f>E3590+(0-20)</f>
        <v>9410471.7899996936</v>
      </c>
    </row>
    <row r="3592" spans="1:5" x14ac:dyDescent="0.25">
      <c r="A3592" s="2" t="s">
        <v>38</v>
      </c>
      <c r="B3592" s="6">
        <v>45457</v>
      </c>
      <c r="C3592" s="2" t="s">
        <v>19</v>
      </c>
      <c r="D3592" s="8">
        <v>-56</v>
      </c>
      <c r="E3592" s="8">
        <f>E3591+(0-56)</f>
        <v>9410415.7899996936</v>
      </c>
    </row>
    <row r="3593" spans="1:5" x14ac:dyDescent="0.25">
      <c r="A3593" s="2" t="s">
        <v>38</v>
      </c>
      <c r="B3593" s="6">
        <v>45457</v>
      </c>
      <c r="C3593" s="2" t="s">
        <v>53</v>
      </c>
      <c r="D3593" s="8">
        <v>-53.75</v>
      </c>
      <c r="E3593" s="8">
        <f>E3592+(0-53.75)</f>
        <v>9410362.0399996936</v>
      </c>
    </row>
    <row r="3594" spans="1:5" x14ac:dyDescent="0.25">
      <c r="A3594" s="2" t="s">
        <v>38</v>
      </c>
      <c r="B3594" s="6">
        <v>45457</v>
      </c>
      <c r="C3594" s="2" t="s">
        <v>213</v>
      </c>
      <c r="D3594" s="8">
        <v>-2687.5</v>
      </c>
      <c r="E3594" s="8">
        <f>E3593+(0-2687.5)</f>
        <v>9407674.5399996936</v>
      </c>
    </row>
    <row r="3595" spans="1:5" x14ac:dyDescent="0.25">
      <c r="A3595" s="2" t="s">
        <v>38</v>
      </c>
      <c r="B3595" s="6">
        <v>45457</v>
      </c>
      <c r="C3595" s="2" t="s">
        <v>53</v>
      </c>
      <c r="D3595" s="8">
        <v>-50</v>
      </c>
      <c r="E3595" s="8">
        <f>E3594+(0-50)</f>
        <v>9407624.5399996936</v>
      </c>
    </row>
    <row r="3596" spans="1:5" x14ac:dyDescent="0.25">
      <c r="A3596" s="2" t="s">
        <v>38</v>
      </c>
      <c r="B3596" s="6">
        <v>45457</v>
      </c>
      <c r="C3596" s="2" t="s">
        <v>53</v>
      </c>
      <c r="D3596" s="8">
        <v>-50</v>
      </c>
      <c r="E3596" s="8">
        <f>E3595+(0-50)</f>
        <v>9407574.5399996936</v>
      </c>
    </row>
    <row r="3597" spans="1:5" x14ac:dyDescent="0.25">
      <c r="A3597" s="2" t="s">
        <v>38</v>
      </c>
      <c r="B3597" s="6">
        <v>45457</v>
      </c>
      <c r="C3597" s="2" t="s">
        <v>53</v>
      </c>
      <c r="D3597" s="8">
        <v>-750</v>
      </c>
      <c r="E3597" s="8">
        <f>E3596+(0-750)</f>
        <v>9406824.5399996936</v>
      </c>
    </row>
    <row r="3598" spans="1:5" x14ac:dyDescent="0.25">
      <c r="A3598" s="2" t="s">
        <v>38</v>
      </c>
      <c r="B3598" s="6">
        <v>45462</v>
      </c>
      <c r="C3598" s="2" t="s">
        <v>19</v>
      </c>
      <c r="D3598" s="8">
        <v>-80</v>
      </c>
      <c r="E3598" s="8">
        <f>E3597+(0-80)</f>
        <v>9406744.5399996936</v>
      </c>
    </row>
    <row r="3599" spans="1:5" x14ac:dyDescent="0.25">
      <c r="A3599" s="2" t="s">
        <v>38</v>
      </c>
      <c r="B3599" s="6">
        <v>45462</v>
      </c>
      <c r="C3599" s="2" t="s">
        <v>19</v>
      </c>
      <c r="D3599" s="8">
        <v>-16</v>
      </c>
      <c r="E3599" s="8">
        <f>E3598+(0-16)</f>
        <v>9406728.5399996936</v>
      </c>
    </row>
    <row r="3600" spans="1:5" x14ac:dyDescent="0.25">
      <c r="A3600" s="2" t="s">
        <v>38</v>
      </c>
      <c r="B3600" s="6">
        <v>45462</v>
      </c>
      <c r="C3600" s="2" t="s">
        <v>19</v>
      </c>
      <c r="D3600" s="8">
        <v>-344</v>
      </c>
      <c r="E3600" s="8">
        <f>E3599+(0-344)</f>
        <v>9406384.5399996936</v>
      </c>
    </row>
    <row r="3601" spans="1:5" x14ac:dyDescent="0.25">
      <c r="A3601" s="2" t="s">
        <v>38</v>
      </c>
      <c r="B3601" s="6">
        <v>45462</v>
      </c>
      <c r="C3601" s="2" t="s">
        <v>19</v>
      </c>
      <c r="D3601" s="8">
        <v>-8</v>
      </c>
      <c r="E3601" s="8">
        <f>E3600+(0-8)</f>
        <v>9406376.5399996936</v>
      </c>
    </row>
    <row r="3602" spans="1:5" x14ac:dyDescent="0.25">
      <c r="A3602" s="2" t="s">
        <v>38</v>
      </c>
      <c r="B3602" s="6">
        <v>45462</v>
      </c>
      <c r="C3602" s="2" t="s">
        <v>19</v>
      </c>
      <c r="D3602" s="8">
        <v>-44</v>
      </c>
      <c r="E3602" s="8">
        <f>E3601+(0-44)</f>
        <v>9406332.5399996936</v>
      </c>
    </row>
    <row r="3603" spans="1:5" x14ac:dyDescent="0.25">
      <c r="A3603" s="2" t="s">
        <v>38</v>
      </c>
      <c r="B3603" s="6">
        <v>45462</v>
      </c>
      <c r="C3603" s="2" t="s">
        <v>53</v>
      </c>
      <c r="D3603" s="8">
        <v>-53.75</v>
      </c>
      <c r="E3603" s="8">
        <f>E3602+(0-53.75)</f>
        <v>9406278.7899996936</v>
      </c>
    </row>
    <row r="3604" spans="1:5" x14ac:dyDescent="0.25">
      <c r="A3604" s="2" t="s">
        <v>38</v>
      </c>
      <c r="B3604" s="6">
        <v>45462</v>
      </c>
      <c r="C3604" s="2" t="s">
        <v>53</v>
      </c>
      <c r="D3604" s="8">
        <v>-1350</v>
      </c>
      <c r="E3604" s="8">
        <f>E3603+(0-1350)</f>
        <v>9404928.7899996936</v>
      </c>
    </row>
    <row r="3605" spans="1:5" x14ac:dyDescent="0.25">
      <c r="A3605" s="2" t="s">
        <v>38</v>
      </c>
      <c r="B3605" s="6">
        <v>45463</v>
      </c>
      <c r="C3605" s="2" t="s">
        <v>19</v>
      </c>
      <c r="D3605" s="8">
        <v>-52</v>
      </c>
      <c r="E3605" s="8">
        <f>E3604+(0-52)</f>
        <v>9404876.7899996936</v>
      </c>
    </row>
    <row r="3606" spans="1:5" x14ac:dyDescent="0.25">
      <c r="A3606" s="2" t="s">
        <v>38</v>
      </c>
      <c r="B3606" s="6">
        <v>45463</v>
      </c>
      <c r="C3606" s="2" t="s">
        <v>53</v>
      </c>
      <c r="D3606" s="8">
        <v>-53.75</v>
      </c>
      <c r="E3606" s="8">
        <f>E3605+(0-53.75)</f>
        <v>9404823.0399996936</v>
      </c>
    </row>
    <row r="3607" spans="1:5" x14ac:dyDescent="0.25">
      <c r="A3607" s="2" t="s">
        <v>38</v>
      </c>
      <c r="B3607" s="6">
        <v>45467</v>
      </c>
      <c r="C3607" s="2" t="s">
        <v>19</v>
      </c>
      <c r="D3607" s="8">
        <v>-28</v>
      </c>
      <c r="E3607" s="8">
        <f>E3606+(0-28)</f>
        <v>9404795.0399996936</v>
      </c>
    </row>
    <row r="3608" spans="1:5" x14ac:dyDescent="0.25">
      <c r="A3608" s="2" t="s">
        <v>38</v>
      </c>
      <c r="B3608" s="6">
        <v>45467</v>
      </c>
      <c r="C3608" s="2" t="s">
        <v>19</v>
      </c>
      <c r="D3608" s="8">
        <v>-48</v>
      </c>
      <c r="E3608" s="8">
        <f>E3607+(0-48)</f>
        <v>9404747.0399996936</v>
      </c>
    </row>
    <row r="3609" spans="1:5" x14ac:dyDescent="0.25">
      <c r="A3609" s="2" t="s">
        <v>38</v>
      </c>
      <c r="B3609" s="6">
        <v>45467</v>
      </c>
      <c r="C3609" s="2" t="s">
        <v>53</v>
      </c>
      <c r="D3609" s="8">
        <v>-53.75</v>
      </c>
      <c r="E3609" s="8">
        <f>E3608+(0-53.75)</f>
        <v>9404693.2899996936</v>
      </c>
    </row>
    <row r="3610" spans="1:5" x14ac:dyDescent="0.25">
      <c r="A3610" s="2" t="s">
        <v>38</v>
      </c>
      <c r="B3610" s="6">
        <v>45467</v>
      </c>
      <c r="C3610" s="2" t="s">
        <v>53</v>
      </c>
      <c r="D3610" s="8">
        <v>-26.88</v>
      </c>
      <c r="E3610" s="8">
        <f>E3609+(0-26.88)</f>
        <v>9404666.4099996928</v>
      </c>
    </row>
    <row r="3611" spans="1:5" x14ac:dyDescent="0.25">
      <c r="A3611" s="2" t="s">
        <v>38</v>
      </c>
      <c r="B3611" s="6">
        <v>45467</v>
      </c>
      <c r="C3611" s="2" t="s">
        <v>53</v>
      </c>
      <c r="D3611" s="8">
        <v>-53.75</v>
      </c>
      <c r="E3611" s="8">
        <f>E3610+(0-53.75)</f>
        <v>9404612.6599996928</v>
      </c>
    </row>
    <row r="3612" spans="1:5" x14ac:dyDescent="0.25">
      <c r="A3612" s="2" t="s">
        <v>38</v>
      </c>
      <c r="B3612" s="6">
        <v>45467</v>
      </c>
      <c r="C3612" s="2" t="s">
        <v>53</v>
      </c>
      <c r="D3612" s="8">
        <v>-26.88</v>
      </c>
      <c r="E3612" s="8">
        <f>E3611+(0-26.88)</f>
        <v>9404585.779999692</v>
      </c>
    </row>
    <row r="3613" spans="1:5" x14ac:dyDescent="0.25">
      <c r="A3613" s="2" t="s">
        <v>38</v>
      </c>
      <c r="B3613" s="6">
        <v>45467</v>
      </c>
      <c r="C3613" s="2" t="s">
        <v>53</v>
      </c>
      <c r="D3613" s="8">
        <v>-26.88</v>
      </c>
      <c r="E3613" s="8">
        <f>E3612+(0-26.88)</f>
        <v>9404558.8999996912</v>
      </c>
    </row>
    <row r="3614" spans="1:5" x14ac:dyDescent="0.25">
      <c r="A3614" s="2" t="s">
        <v>38</v>
      </c>
      <c r="B3614" s="6">
        <v>45468</v>
      </c>
      <c r="C3614" s="2" t="s">
        <v>19</v>
      </c>
      <c r="D3614" s="8">
        <v>-28</v>
      </c>
      <c r="E3614" s="8">
        <f>E3613+(0-28)</f>
        <v>9404530.8999996912</v>
      </c>
    </row>
    <row r="3615" spans="1:5" x14ac:dyDescent="0.25">
      <c r="A3615" s="2" t="s">
        <v>38</v>
      </c>
      <c r="B3615" s="6">
        <v>45468</v>
      </c>
      <c r="C3615" s="2" t="s">
        <v>53</v>
      </c>
      <c r="D3615" s="8">
        <v>-700</v>
      </c>
      <c r="E3615" s="8">
        <f>E3614+(0-700)</f>
        <v>9403830.8999996912</v>
      </c>
    </row>
    <row r="3616" spans="1:5" x14ac:dyDescent="0.25">
      <c r="A3616" s="2" t="s">
        <v>38</v>
      </c>
      <c r="B3616" s="6">
        <v>45468</v>
      </c>
      <c r="C3616" s="2" t="s">
        <v>53</v>
      </c>
      <c r="D3616" s="8">
        <v>-450</v>
      </c>
      <c r="E3616" s="8">
        <f>E3615+(0-450)</f>
        <v>9403380.8999996912</v>
      </c>
    </row>
    <row r="3617" spans="1:5" x14ac:dyDescent="0.25">
      <c r="A3617" s="2" t="s">
        <v>38</v>
      </c>
      <c r="B3617" s="6">
        <v>45468</v>
      </c>
      <c r="C3617" s="2" t="s">
        <v>53</v>
      </c>
      <c r="D3617" s="8">
        <v>-350</v>
      </c>
      <c r="E3617" s="8">
        <f>E3616+(0-350)</f>
        <v>9403030.8999996912</v>
      </c>
    </row>
    <row r="3618" spans="1:5" x14ac:dyDescent="0.25">
      <c r="A3618" s="2" t="s">
        <v>38</v>
      </c>
      <c r="B3618" s="6">
        <v>45468</v>
      </c>
      <c r="C3618" s="2" t="s">
        <v>53</v>
      </c>
      <c r="D3618" s="8">
        <v>-50</v>
      </c>
      <c r="E3618" s="8">
        <f>E3617+(0-50)</f>
        <v>9402980.8999996912</v>
      </c>
    </row>
    <row r="3619" spans="1:5" x14ac:dyDescent="0.25">
      <c r="A3619" s="2" t="s">
        <v>38</v>
      </c>
      <c r="B3619" s="6">
        <v>45468</v>
      </c>
      <c r="C3619" s="2" t="s">
        <v>53</v>
      </c>
      <c r="D3619" s="8">
        <v>-750</v>
      </c>
      <c r="E3619" s="8">
        <f>E3618+(0-750)</f>
        <v>9402230.8999996912</v>
      </c>
    </row>
    <row r="3620" spans="1:5" x14ac:dyDescent="0.25">
      <c r="A3620" s="2" t="s">
        <v>38</v>
      </c>
      <c r="B3620" s="6">
        <v>45469</v>
      </c>
      <c r="C3620" s="2" t="s">
        <v>19</v>
      </c>
      <c r="D3620" s="8">
        <v>-4</v>
      </c>
      <c r="E3620" s="8">
        <f>E3619+(0-4)</f>
        <v>9402226.8999996912</v>
      </c>
    </row>
    <row r="3621" spans="1:5" x14ac:dyDescent="0.25">
      <c r="A3621" s="2" t="s">
        <v>38</v>
      </c>
      <c r="B3621" s="6">
        <v>45469</v>
      </c>
      <c r="C3621" s="2" t="s">
        <v>19</v>
      </c>
      <c r="D3621" s="8">
        <v>-80</v>
      </c>
      <c r="E3621" s="8">
        <f>E3620+(0-80)</f>
        <v>9402146.8999996912</v>
      </c>
    </row>
    <row r="3622" spans="1:5" x14ac:dyDescent="0.25">
      <c r="A3622" s="2" t="s">
        <v>38</v>
      </c>
      <c r="B3622" s="6">
        <v>45469</v>
      </c>
      <c r="C3622" s="2" t="s">
        <v>19</v>
      </c>
      <c r="D3622" s="8">
        <v>-80</v>
      </c>
      <c r="E3622" s="8">
        <f>E3621+(0-80)</f>
        <v>9402066.8999996912</v>
      </c>
    </row>
    <row r="3623" spans="1:5" x14ac:dyDescent="0.25">
      <c r="A3623" s="2" t="s">
        <v>38</v>
      </c>
      <c r="B3623" s="6">
        <v>45469</v>
      </c>
      <c r="C3623" s="2" t="s">
        <v>53</v>
      </c>
      <c r="D3623" s="8">
        <v>-53.75</v>
      </c>
      <c r="E3623" s="8">
        <f>E3622+(0-53.75)</f>
        <v>9402013.1499996912</v>
      </c>
    </row>
    <row r="3624" spans="1:5" x14ac:dyDescent="0.25">
      <c r="A3624" s="2" t="s">
        <v>38</v>
      </c>
      <c r="B3624" s="6">
        <v>45469</v>
      </c>
      <c r="C3624" s="2" t="s">
        <v>53</v>
      </c>
      <c r="D3624" s="8">
        <v>-26.88</v>
      </c>
      <c r="E3624" s="8">
        <f>E3623+(0-26.88)</f>
        <v>9401986.2699996904</v>
      </c>
    </row>
    <row r="3625" spans="1:5" x14ac:dyDescent="0.25">
      <c r="A3625" s="2" t="s">
        <v>38</v>
      </c>
      <c r="B3625" s="6">
        <v>45469</v>
      </c>
      <c r="C3625" s="2" t="s">
        <v>53</v>
      </c>
      <c r="D3625" s="8">
        <v>-53.75</v>
      </c>
      <c r="E3625" s="8">
        <f>E3624+(0-53.75)</f>
        <v>9401932.5199996904</v>
      </c>
    </row>
    <row r="3626" spans="1:5" x14ac:dyDescent="0.25">
      <c r="A3626" s="2" t="s">
        <v>38</v>
      </c>
      <c r="B3626" s="6">
        <v>45469</v>
      </c>
      <c r="C3626" s="2" t="s">
        <v>53</v>
      </c>
      <c r="D3626" s="8">
        <v>-53.75</v>
      </c>
      <c r="E3626" s="8">
        <f>E3625+(0-53.75)</f>
        <v>9401878.7699996904</v>
      </c>
    </row>
    <row r="3627" spans="1:5" x14ac:dyDescent="0.25">
      <c r="A3627" s="2" t="s">
        <v>38</v>
      </c>
      <c r="B3627" s="6">
        <v>45469</v>
      </c>
      <c r="C3627" s="2" t="s">
        <v>53</v>
      </c>
      <c r="D3627" s="8">
        <v>-53.75</v>
      </c>
      <c r="E3627" s="8">
        <f>E3626+(0-53.75)</f>
        <v>9401825.0199996904</v>
      </c>
    </row>
    <row r="3628" spans="1:5" x14ac:dyDescent="0.25">
      <c r="A3628" s="2" t="s">
        <v>38</v>
      </c>
      <c r="B3628" s="6">
        <v>45469</v>
      </c>
      <c r="C3628" s="2" t="s">
        <v>53</v>
      </c>
      <c r="D3628" s="8">
        <v>-550</v>
      </c>
      <c r="E3628" s="8">
        <f>E3627+(0-550)</f>
        <v>9401275.0199996904</v>
      </c>
    </row>
    <row r="3629" spans="1:5" x14ac:dyDescent="0.25">
      <c r="A3629" s="2" t="s">
        <v>38</v>
      </c>
      <c r="B3629" s="6">
        <v>45470</v>
      </c>
      <c r="C3629" s="2" t="s">
        <v>53</v>
      </c>
      <c r="D3629" s="8">
        <v>-53.75</v>
      </c>
      <c r="E3629" s="8">
        <f>E3628+(0-53.75)</f>
        <v>9401221.2699996904</v>
      </c>
    </row>
    <row r="3630" spans="1:5" x14ac:dyDescent="0.25">
      <c r="A3630" s="2" t="s">
        <v>38</v>
      </c>
      <c r="B3630" s="6">
        <v>45470</v>
      </c>
      <c r="C3630" s="2" t="s">
        <v>53</v>
      </c>
      <c r="D3630" s="8">
        <v>-50</v>
      </c>
      <c r="E3630" s="8">
        <f>E3629+(0-50)</f>
        <v>9401171.2699996904</v>
      </c>
    </row>
    <row r="3631" spans="1:5" x14ac:dyDescent="0.25">
      <c r="A3631" s="2" t="s">
        <v>38</v>
      </c>
      <c r="B3631" s="6">
        <v>45470</v>
      </c>
      <c r="C3631" s="2" t="s">
        <v>53</v>
      </c>
      <c r="D3631" s="8">
        <v>-50</v>
      </c>
      <c r="E3631" s="8">
        <f>E3630+(0-50)</f>
        <v>9401121.2699996904</v>
      </c>
    </row>
    <row r="3632" spans="1:5" x14ac:dyDescent="0.25">
      <c r="A3632" s="2" t="s">
        <v>38</v>
      </c>
      <c r="B3632" s="6">
        <v>45470</v>
      </c>
      <c r="C3632" s="2" t="s">
        <v>53</v>
      </c>
      <c r="D3632" s="8">
        <v>-600</v>
      </c>
      <c r="E3632" s="8">
        <f>E3631+(0-600)</f>
        <v>9400521.2699996904</v>
      </c>
    </row>
    <row r="3633" spans="1:5" x14ac:dyDescent="0.25">
      <c r="A3633" s="2" t="s">
        <v>38</v>
      </c>
      <c r="B3633" s="6">
        <v>45471</v>
      </c>
      <c r="C3633" s="2" t="s">
        <v>19</v>
      </c>
      <c r="D3633" s="8">
        <v>-112</v>
      </c>
      <c r="E3633" s="8">
        <f>E3632+(0-112)</f>
        <v>9400409.2699996904</v>
      </c>
    </row>
    <row r="3634" spans="1:5" x14ac:dyDescent="0.25">
      <c r="A3634" s="2" t="s">
        <v>38</v>
      </c>
      <c r="B3634" s="6">
        <v>45471</v>
      </c>
      <c r="C3634" s="2" t="s">
        <v>53</v>
      </c>
      <c r="D3634" s="8">
        <v>-26.88</v>
      </c>
      <c r="E3634" s="8">
        <f>E3633+(0-26.88)</f>
        <v>9400382.3899996895</v>
      </c>
    </row>
    <row r="3635" spans="1:5" x14ac:dyDescent="0.25">
      <c r="A3635" s="2" t="s">
        <v>38</v>
      </c>
      <c r="B3635" s="6">
        <v>45471</v>
      </c>
      <c r="C3635" s="2" t="s">
        <v>53</v>
      </c>
      <c r="D3635" s="8">
        <v>-26.88</v>
      </c>
      <c r="E3635" s="8">
        <f>E3634+(0-26.88)</f>
        <v>9400355.5099996887</v>
      </c>
    </row>
    <row r="3636" spans="1:5" x14ac:dyDescent="0.25">
      <c r="A3636" s="2" t="s">
        <v>38</v>
      </c>
      <c r="B3636" s="6">
        <v>45471</v>
      </c>
      <c r="C3636" s="2" t="s">
        <v>53</v>
      </c>
      <c r="D3636" s="8">
        <v>-50</v>
      </c>
      <c r="E3636" s="8">
        <f>E3635+(0-50)</f>
        <v>9400305.5099996887</v>
      </c>
    </row>
    <row r="3637" spans="1:5" x14ac:dyDescent="0.25">
      <c r="A3637" s="2" t="s">
        <v>38</v>
      </c>
      <c r="B3637" s="6">
        <v>45471</v>
      </c>
      <c r="C3637" s="2" t="s">
        <v>53</v>
      </c>
      <c r="D3637" s="8">
        <v>-50</v>
      </c>
      <c r="E3637" s="8">
        <f>E3636+(0-50)</f>
        <v>9400255.5099996887</v>
      </c>
    </row>
    <row r="3638" spans="1:5" x14ac:dyDescent="0.25">
      <c r="A3638" s="2" t="s">
        <v>38</v>
      </c>
      <c r="B3638" s="6">
        <v>45471</v>
      </c>
      <c r="C3638" s="2" t="s">
        <v>53</v>
      </c>
      <c r="D3638" s="8">
        <v>-50</v>
      </c>
      <c r="E3638" s="8">
        <f>E3637+(0-50)</f>
        <v>9400205.5099996887</v>
      </c>
    </row>
    <row r="3639" spans="1:5" x14ac:dyDescent="0.25">
      <c r="A3639" s="2" t="s">
        <v>38</v>
      </c>
      <c r="B3639" s="6">
        <v>45471</v>
      </c>
      <c r="C3639" s="2" t="s">
        <v>53</v>
      </c>
      <c r="D3639" s="8">
        <v>-700</v>
      </c>
      <c r="E3639" s="8">
        <f>E3638+(0-700)</f>
        <v>9399505.5099996887</v>
      </c>
    </row>
    <row r="3640" spans="1:5" x14ac:dyDescent="0.25">
      <c r="A3640" s="2" t="s">
        <v>38</v>
      </c>
      <c r="B3640" s="6">
        <v>45474</v>
      </c>
      <c r="C3640" s="2" t="s">
        <v>19</v>
      </c>
      <c r="D3640" s="8">
        <v>-92</v>
      </c>
      <c r="E3640" s="8">
        <f>E3639+(0-92)</f>
        <v>9399413.5099996887</v>
      </c>
    </row>
    <row r="3641" spans="1:5" x14ac:dyDescent="0.25">
      <c r="A3641" s="2" t="s">
        <v>38</v>
      </c>
      <c r="B3641" s="6">
        <v>45474</v>
      </c>
      <c r="C3641" s="2" t="s">
        <v>53</v>
      </c>
      <c r="D3641" s="8">
        <v>-53.75</v>
      </c>
      <c r="E3641" s="8">
        <f>E3640+(0-53.75)</f>
        <v>9399359.7599996887</v>
      </c>
    </row>
    <row r="3642" spans="1:5" x14ac:dyDescent="0.25">
      <c r="A3642" s="2" t="s">
        <v>38</v>
      </c>
      <c r="B3642" s="6">
        <v>45474</v>
      </c>
      <c r="C3642" s="2" t="s">
        <v>53</v>
      </c>
      <c r="D3642" s="8">
        <v>-800</v>
      </c>
      <c r="E3642" s="8">
        <f>E3641+(0-800)</f>
        <v>9398559.7599996887</v>
      </c>
    </row>
    <row r="3643" spans="1:5" x14ac:dyDescent="0.25">
      <c r="A3643" s="2" t="s">
        <v>38</v>
      </c>
      <c r="B3643" s="6">
        <v>45475</v>
      </c>
      <c r="C3643" s="2" t="s">
        <v>19</v>
      </c>
      <c r="D3643" s="8">
        <v>-88</v>
      </c>
      <c r="E3643" s="8">
        <f>E3642+(0-88)</f>
        <v>9398471.7599996887</v>
      </c>
    </row>
    <row r="3644" spans="1:5" x14ac:dyDescent="0.25">
      <c r="A3644" s="2" t="s">
        <v>38</v>
      </c>
      <c r="B3644" s="6">
        <v>45475</v>
      </c>
      <c r="C3644" s="2" t="s">
        <v>19</v>
      </c>
      <c r="D3644" s="8">
        <v>-16</v>
      </c>
      <c r="E3644" s="8">
        <f>E3643+(0-16)</f>
        <v>9398455.7599996887</v>
      </c>
    </row>
    <row r="3645" spans="1:5" x14ac:dyDescent="0.25">
      <c r="A3645" s="2" t="s">
        <v>38</v>
      </c>
      <c r="B3645" s="6">
        <v>45475</v>
      </c>
      <c r="C3645" s="2" t="s">
        <v>53</v>
      </c>
      <c r="D3645" s="8">
        <v>-53.75</v>
      </c>
      <c r="E3645" s="8">
        <f>E3644+(0-53.75)</f>
        <v>9398402.0099996887</v>
      </c>
    </row>
    <row r="3646" spans="1:5" x14ac:dyDescent="0.25">
      <c r="A3646" s="2" t="s">
        <v>38</v>
      </c>
      <c r="B3646" s="6">
        <v>45475</v>
      </c>
      <c r="C3646" s="2" t="s">
        <v>53</v>
      </c>
      <c r="D3646" s="8">
        <v>-53.75</v>
      </c>
      <c r="E3646" s="8">
        <f>E3645+(0-53.75)</f>
        <v>9398348.2599996887</v>
      </c>
    </row>
    <row r="3647" spans="1:5" x14ac:dyDescent="0.25">
      <c r="A3647" s="2" t="s">
        <v>38</v>
      </c>
      <c r="B3647" s="6">
        <v>45475</v>
      </c>
      <c r="C3647" s="2" t="s">
        <v>53</v>
      </c>
      <c r="D3647" s="8">
        <v>-53.75</v>
      </c>
      <c r="E3647" s="8">
        <f>E3646+(0-53.75)</f>
        <v>9398294.5099996887</v>
      </c>
    </row>
    <row r="3648" spans="1:5" x14ac:dyDescent="0.25">
      <c r="A3648" s="2" t="s">
        <v>38</v>
      </c>
      <c r="B3648" s="6">
        <v>45475</v>
      </c>
      <c r="C3648" s="2" t="s">
        <v>19</v>
      </c>
      <c r="D3648" s="8">
        <v>-8</v>
      </c>
      <c r="E3648" s="8">
        <f>E3647+(0-8)</f>
        <v>9398286.5099996887</v>
      </c>
    </row>
    <row r="3649" spans="1:5" x14ac:dyDescent="0.25">
      <c r="A3649" s="2" t="s">
        <v>38</v>
      </c>
      <c r="B3649" s="6">
        <v>45475</v>
      </c>
      <c r="C3649" s="2" t="s">
        <v>215</v>
      </c>
      <c r="D3649" s="8">
        <v>-60</v>
      </c>
      <c r="E3649" s="8">
        <f>E3648+(0-60)</f>
        <v>9398226.5099996887</v>
      </c>
    </row>
    <row r="3650" spans="1:5" x14ac:dyDescent="0.25">
      <c r="A3650" s="2" t="s">
        <v>38</v>
      </c>
      <c r="B3650" s="6">
        <v>45475</v>
      </c>
      <c r="C3650" s="2" t="s">
        <v>53</v>
      </c>
      <c r="D3650" s="8">
        <v>-650</v>
      </c>
      <c r="E3650" s="8">
        <f>E3649+(0-650)</f>
        <v>9397576.5099996887</v>
      </c>
    </row>
    <row r="3651" spans="1:5" x14ac:dyDescent="0.25">
      <c r="A3651" s="2" t="s">
        <v>38</v>
      </c>
      <c r="B3651" s="6">
        <v>45476</v>
      </c>
      <c r="C3651" s="2" t="s">
        <v>19</v>
      </c>
      <c r="D3651" s="8">
        <v>-84</v>
      </c>
      <c r="E3651" s="8">
        <f>E3650+(0-84)</f>
        <v>9397492.5099996887</v>
      </c>
    </row>
    <row r="3652" spans="1:5" x14ac:dyDescent="0.25">
      <c r="A3652" s="2" t="s">
        <v>38</v>
      </c>
      <c r="B3652" s="6">
        <v>45476</v>
      </c>
      <c r="C3652" s="2" t="s">
        <v>53</v>
      </c>
      <c r="D3652" s="8">
        <v>-50</v>
      </c>
      <c r="E3652" s="8">
        <f>E3651+(0-50)</f>
        <v>9397442.5099996887</v>
      </c>
    </row>
    <row r="3653" spans="1:5" x14ac:dyDescent="0.25">
      <c r="A3653" s="2" t="s">
        <v>38</v>
      </c>
      <c r="B3653" s="6">
        <v>45476</v>
      </c>
      <c r="C3653" s="2" t="s">
        <v>53</v>
      </c>
      <c r="D3653" s="8">
        <v>-50</v>
      </c>
      <c r="E3653" s="8">
        <f>E3652+(0-50)</f>
        <v>9397392.5099996887</v>
      </c>
    </row>
    <row r="3654" spans="1:5" x14ac:dyDescent="0.25">
      <c r="A3654" s="2" t="s">
        <v>38</v>
      </c>
      <c r="B3654" s="6">
        <v>45476</v>
      </c>
      <c r="C3654" s="2" t="s">
        <v>53</v>
      </c>
      <c r="D3654" s="8">
        <v>-300</v>
      </c>
      <c r="E3654" s="8">
        <f>E3653+(0-300)</f>
        <v>9397092.5099996887</v>
      </c>
    </row>
    <row r="3655" spans="1:5" x14ac:dyDescent="0.25">
      <c r="A3655" s="2" t="s">
        <v>38</v>
      </c>
      <c r="B3655" s="6">
        <v>45477</v>
      </c>
      <c r="C3655" s="2" t="s">
        <v>53</v>
      </c>
      <c r="D3655" s="8">
        <v>-50</v>
      </c>
      <c r="E3655" s="8">
        <f>E3654+(0-50)</f>
        <v>9397042.5099996887</v>
      </c>
    </row>
    <row r="3656" spans="1:5" x14ac:dyDescent="0.25">
      <c r="A3656" s="2" t="s">
        <v>38</v>
      </c>
      <c r="B3656" s="6">
        <v>45477</v>
      </c>
      <c r="C3656" s="2" t="s">
        <v>19</v>
      </c>
      <c r="D3656" s="8">
        <v>-44</v>
      </c>
      <c r="E3656" s="8">
        <f>E3655+(0-44)</f>
        <v>9396998.5099996887</v>
      </c>
    </row>
    <row r="3657" spans="1:5" x14ac:dyDescent="0.25">
      <c r="A3657" s="2" t="s">
        <v>38</v>
      </c>
      <c r="B3657" s="6">
        <v>45477</v>
      </c>
      <c r="C3657" s="2" t="s">
        <v>53</v>
      </c>
      <c r="D3657" s="8">
        <v>-600</v>
      </c>
      <c r="E3657" s="8">
        <f>E3656+(0-600)</f>
        <v>9396398.5099996887</v>
      </c>
    </row>
    <row r="3658" spans="1:5" x14ac:dyDescent="0.25">
      <c r="A3658" s="2" t="s">
        <v>38</v>
      </c>
      <c r="B3658" s="6">
        <v>45478</v>
      </c>
      <c r="C3658" s="2" t="s">
        <v>53</v>
      </c>
      <c r="D3658" s="8">
        <v>-50</v>
      </c>
      <c r="E3658" s="8">
        <f>E3657+(0-50)</f>
        <v>9396348.5099996887</v>
      </c>
    </row>
    <row r="3659" spans="1:5" x14ac:dyDescent="0.25">
      <c r="A3659" s="2" t="s">
        <v>38</v>
      </c>
      <c r="B3659" s="6">
        <v>45478</v>
      </c>
      <c r="C3659" s="2" t="s">
        <v>53</v>
      </c>
      <c r="D3659" s="8">
        <v>-50</v>
      </c>
      <c r="E3659" s="8">
        <f>E3658+(0-50)</f>
        <v>9396298.5099996887</v>
      </c>
    </row>
    <row r="3660" spans="1:5" x14ac:dyDescent="0.25">
      <c r="A3660" s="2" t="s">
        <v>38</v>
      </c>
      <c r="B3660" s="6">
        <v>45478</v>
      </c>
      <c r="C3660" s="2" t="s">
        <v>53</v>
      </c>
      <c r="D3660" s="8">
        <v>-50</v>
      </c>
      <c r="E3660" s="8">
        <f>E3659+(0-50)</f>
        <v>9396248.5099996887</v>
      </c>
    </row>
    <row r="3661" spans="1:5" x14ac:dyDescent="0.25">
      <c r="A3661" s="2" t="s">
        <v>38</v>
      </c>
      <c r="B3661" s="6">
        <v>45478</v>
      </c>
      <c r="C3661" s="2" t="s">
        <v>53</v>
      </c>
      <c r="D3661" s="8">
        <v>-50</v>
      </c>
      <c r="E3661" s="8">
        <f>E3660+(0-50)</f>
        <v>9396198.5099996887</v>
      </c>
    </row>
    <row r="3662" spans="1:5" x14ac:dyDescent="0.25">
      <c r="A3662" s="2" t="s">
        <v>38</v>
      </c>
      <c r="B3662" s="6">
        <v>45478</v>
      </c>
      <c r="C3662" s="2" t="s">
        <v>53</v>
      </c>
      <c r="D3662" s="8">
        <v>-50</v>
      </c>
      <c r="E3662" s="8">
        <f>E3661+(0-50)</f>
        <v>9396148.5099996887</v>
      </c>
    </row>
    <row r="3663" spans="1:5" x14ac:dyDescent="0.25">
      <c r="A3663" s="2" t="s">
        <v>38</v>
      </c>
      <c r="B3663" s="6">
        <v>45478</v>
      </c>
      <c r="C3663" s="2" t="s">
        <v>53</v>
      </c>
      <c r="D3663" s="8">
        <v>-50</v>
      </c>
      <c r="E3663" s="8">
        <f>E3662+(0-50)</f>
        <v>9396098.5099996887</v>
      </c>
    </row>
    <row r="3664" spans="1:5" x14ac:dyDescent="0.25">
      <c r="A3664" s="2" t="s">
        <v>38</v>
      </c>
      <c r="B3664" s="6">
        <v>45478</v>
      </c>
      <c r="C3664" s="2" t="s">
        <v>53</v>
      </c>
      <c r="D3664" s="8">
        <v>-50</v>
      </c>
      <c r="E3664" s="8">
        <f>E3663+(0-50)</f>
        <v>9396048.5099996887</v>
      </c>
    </row>
    <row r="3665" spans="1:5" x14ac:dyDescent="0.25">
      <c r="A3665" s="2" t="s">
        <v>38</v>
      </c>
      <c r="B3665" s="6">
        <v>45478</v>
      </c>
      <c r="C3665" s="2" t="s">
        <v>53</v>
      </c>
      <c r="D3665" s="8">
        <v>-250</v>
      </c>
      <c r="E3665" s="8">
        <f>E3664+(0-250)</f>
        <v>9395798.5099996887</v>
      </c>
    </row>
    <row r="3666" spans="1:5" x14ac:dyDescent="0.25">
      <c r="A3666" s="2" t="s">
        <v>38</v>
      </c>
      <c r="B3666" s="6">
        <v>45481</v>
      </c>
      <c r="C3666" s="2" t="s">
        <v>53</v>
      </c>
      <c r="D3666" s="8">
        <v>-50</v>
      </c>
      <c r="E3666" s="8">
        <f>E3665+(0-50)</f>
        <v>9395748.5099996887</v>
      </c>
    </row>
    <row r="3667" spans="1:5" x14ac:dyDescent="0.25">
      <c r="A3667" s="2" t="s">
        <v>38</v>
      </c>
      <c r="B3667" s="6">
        <v>45481</v>
      </c>
      <c r="C3667" s="2" t="s">
        <v>53</v>
      </c>
      <c r="D3667" s="8">
        <v>-50</v>
      </c>
      <c r="E3667" s="8">
        <f>E3666+(0-50)</f>
        <v>9395698.5099996887</v>
      </c>
    </row>
    <row r="3668" spans="1:5" x14ac:dyDescent="0.25">
      <c r="A3668" s="2" t="s">
        <v>38</v>
      </c>
      <c r="B3668" s="6">
        <v>45481</v>
      </c>
      <c r="C3668" s="2" t="s">
        <v>53</v>
      </c>
      <c r="D3668" s="8">
        <v>-650</v>
      </c>
      <c r="E3668" s="8">
        <f>E3667+(0-650)</f>
        <v>9395048.5099996887</v>
      </c>
    </row>
    <row r="3669" spans="1:5" x14ac:dyDescent="0.25">
      <c r="A3669" s="2" t="s">
        <v>38</v>
      </c>
      <c r="B3669" s="6">
        <v>45482</v>
      </c>
      <c r="C3669" s="2" t="s">
        <v>53</v>
      </c>
      <c r="D3669" s="8">
        <v>-26.88</v>
      </c>
      <c r="E3669" s="8">
        <f>E3668+(0-26.88)</f>
        <v>9395021.6299996879</v>
      </c>
    </row>
    <row r="3670" spans="1:5" x14ac:dyDescent="0.25">
      <c r="A3670" s="2" t="s">
        <v>38</v>
      </c>
      <c r="B3670" s="6">
        <v>45482</v>
      </c>
      <c r="C3670" s="2" t="s">
        <v>53</v>
      </c>
      <c r="D3670" s="8">
        <v>-500</v>
      </c>
      <c r="E3670" s="8">
        <f>E3669+(0-500)</f>
        <v>9394521.6299996879</v>
      </c>
    </row>
    <row r="3671" spans="1:5" x14ac:dyDescent="0.25">
      <c r="A3671" s="2" t="s">
        <v>38</v>
      </c>
      <c r="B3671" s="6">
        <v>45483</v>
      </c>
      <c r="C3671" s="2" t="s">
        <v>53</v>
      </c>
      <c r="D3671" s="8">
        <v>-26.88</v>
      </c>
      <c r="E3671" s="8">
        <f>E3670+(0-26.88)</f>
        <v>9394494.7499996871</v>
      </c>
    </row>
    <row r="3672" spans="1:5" x14ac:dyDescent="0.25">
      <c r="A3672" s="2" t="s">
        <v>38</v>
      </c>
      <c r="B3672" s="6">
        <v>45483</v>
      </c>
      <c r="C3672" s="2" t="s">
        <v>53</v>
      </c>
      <c r="D3672" s="8">
        <v>-400</v>
      </c>
      <c r="E3672" s="8">
        <f>E3671+(0-400)</f>
        <v>9394094.7499996871</v>
      </c>
    </row>
    <row r="3673" spans="1:5" x14ac:dyDescent="0.25">
      <c r="A3673" s="2" t="s">
        <v>38</v>
      </c>
      <c r="B3673" s="6">
        <v>45483</v>
      </c>
      <c r="C3673" s="2" t="s">
        <v>53</v>
      </c>
      <c r="D3673" s="8">
        <v>-150</v>
      </c>
      <c r="E3673" s="8">
        <f>E3672+(0-150)</f>
        <v>9393944.7499996871</v>
      </c>
    </row>
    <row r="3674" spans="1:5" x14ac:dyDescent="0.25">
      <c r="A3674" s="2" t="s">
        <v>38</v>
      </c>
      <c r="B3674" s="6">
        <v>45483</v>
      </c>
      <c r="C3674" s="2" t="s">
        <v>19</v>
      </c>
      <c r="D3674" s="8">
        <v>-128</v>
      </c>
      <c r="E3674" s="8">
        <f>E3673+(0-128)</f>
        <v>9393816.7499996871</v>
      </c>
    </row>
    <row r="3675" spans="1:5" x14ac:dyDescent="0.25">
      <c r="A3675" s="2" t="s">
        <v>38</v>
      </c>
      <c r="B3675" s="6">
        <v>45484</v>
      </c>
      <c r="C3675" s="2" t="s">
        <v>19</v>
      </c>
      <c r="D3675" s="8">
        <v>-96</v>
      </c>
      <c r="E3675" s="8">
        <f>E3674+(0-96)</f>
        <v>9393720.7499996871</v>
      </c>
    </row>
    <row r="3676" spans="1:5" x14ac:dyDescent="0.25">
      <c r="A3676" s="2" t="s">
        <v>38</v>
      </c>
      <c r="B3676" s="6">
        <v>45484</v>
      </c>
      <c r="C3676" s="2" t="s">
        <v>53</v>
      </c>
      <c r="D3676" s="8">
        <v>-26.88</v>
      </c>
      <c r="E3676" s="8">
        <f>E3675+(0-26.88)</f>
        <v>9393693.8699996863</v>
      </c>
    </row>
    <row r="3677" spans="1:5" x14ac:dyDescent="0.25">
      <c r="A3677" s="2" t="s">
        <v>38</v>
      </c>
      <c r="B3677" s="6">
        <v>45484</v>
      </c>
      <c r="C3677" s="2" t="s">
        <v>53</v>
      </c>
      <c r="D3677" s="8">
        <v>-53.75</v>
      </c>
      <c r="E3677" s="8">
        <f>E3676+(0-53.75)</f>
        <v>9393640.1199996863</v>
      </c>
    </row>
    <row r="3678" spans="1:5" x14ac:dyDescent="0.25">
      <c r="A3678" s="2" t="s">
        <v>38</v>
      </c>
      <c r="B3678" s="6">
        <v>45484</v>
      </c>
      <c r="C3678" s="2" t="s">
        <v>53</v>
      </c>
      <c r="D3678" s="8">
        <v>-500</v>
      </c>
      <c r="E3678" s="8">
        <f>E3677+(0-500)</f>
        <v>9393140.1199996863</v>
      </c>
    </row>
    <row r="3679" spans="1:5" x14ac:dyDescent="0.25">
      <c r="A3679" s="2" t="s">
        <v>38</v>
      </c>
      <c r="B3679" s="6">
        <v>45485</v>
      </c>
      <c r="C3679" s="2" t="s">
        <v>19</v>
      </c>
      <c r="D3679" s="8">
        <v>-16</v>
      </c>
      <c r="E3679" s="8">
        <f>E3678+(0-16)</f>
        <v>9393124.1199996863</v>
      </c>
    </row>
    <row r="3680" spans="1:5" x14ac:dyDescent="0.25">
      <c r="A3680" s="2" t="s">
        <v>38</v>
      </c>
      <c r="B3680" s="6">
        <v>45485</v>
      </c>
      <c r="C3680" s="2" t="s">
        <v>19</v>
      </c>
      <c r="D3680" s="8">
        <v>-24</v>
      </c>
      <c r="E3680" s="8">
        <f>E3679+(0-24)</f>
        <v>9393100.1199996863</v>
      </c>
    </row>
    <row r="3681" spans="1:5" x14ac:dyDescent="0.25">
      <c r="A3681" s="2" t="s">
        <v>38</v>
      </c>
      <c r="B3681" s="6">
        <v>45485</v>
      </c>
      <c r="C3681" s="2" t="s">
        <v>19</v>
      </c>
      <c r="D3681" s="8">
        <v>-112</v>
      </c>
      <c r="E3681" s="8">
        <f>E3680+(0-112)</f>
        <v>9392988.1199996863</v>
      </c>
    </row>
    <row r="3682" spans="1:5" x14ac:dyDescent="0.25">
      <c r="A3682" s="2" t="s">
        <v>38</v>
      </c>
      <c r="B3682" s="6">
        <v>45485</v>
      </c>
      <c r="C3682" s="2" t="s">
        <v>19</v>
      </c>
      <c r="D3682" s="8">
        <v>-120</v>
      </c>
      <c r="E3682" s="8">
        <f>E3681+(0-120)</f>
        <v>9392868.1199996863</v>
      </c>
    </row>
    <row r="3683" spans="1:5" x14ac:dyDescent="0.25">
      <c r="A3683" s="2" t="s">
        <v>38</v>
      </c>
      <c r="B3683" s="6">
        <v>45485</v>
      </c>
      <c r="C3683" s="2" t="s">
        <v>53</v>
      </c>
      <c r="D3683" s="8">
        <v>-750</v>
      </c>
      <c r="E3683" s="8">
        <f>E3682+(0-750)</f>
        <v>9392118.1199996863</v>
      </c>
    </row>
    <row r="3684" spans="1:5" x14ac:dyDescent="0.25">
      <c r="A3684" s="2" t="s">
        <v>38</v>
      </c>
      <c r="B3684" s="6">
        <v>45485</v>
      </c>
      <c r="C3684" s="2" t="s">
        <v>53</v>
      </c>
      <c r="D3684" s="8">
        <v>-26.88</v>
      </c>
      <c r="E3684" s="8">
        <f>E3683+(0-26.88)</f>
        <v>9392091.2399996854</v>
      </c>
    </row>
    <row r="3685" spans="1:5" x14ac:dyDescent="0.25">
      <c r="A3685" s="2" t="s">
        <v>38</v>
      </c>
      <c r="B3685" s="6">
        <v>45488</v>
      </c>
      <c r="C3685" s="2" t="s">
        <v>19</v>
      </c>
      <c r="D3685" s="8">
        <v>-96</v>
      </c>
      <c r="E3685" s="8">
        <f>E3684+(0-96)</f>
        <v>9391995.2399996854</v>
      </c>
    </row>
    <row r="3686" spans="1:5" x14ac:dyDescent="0.25">
      <c r="A3686" s="2" t="s">
        <v>38</v>
      </c>
      <c r="B3686" s="6">
        <v>45488</v>
      </c>
      <c r="C3686" s="2" t="s">
        <v>19</v>
      </c>
      <c r="D3686" s="8">
        <v>-112</v>
      </c>
      <c r="E3686" s="8">
        <f>E3685+(0-112)</f>
        <v>9391883.2399996854</v>
      </c>
    </row>
    <row r="3687" spans="1:5" x14ac:dyDescent="0.25">
      <c r="A3687" s="2" t="s">
        <v>38</v>
      </c>
      <c r="B3687" s="6">
        <v>45488</v>
      </c>
      <c r="C3687" s="2" t="s">
        <v>53</v>
      </c>
      <c r="D3687" s="8">
        <v>-26.88</v>
      </c>
      <c r="E3687" s="8">
        <f>E3686+(0-26.88)</f>
        <v>9391856.3599996846</v>
      </c>
    </row>
    <row r="3688" spans="1:5" x14ac:dyDescent="0.25">
      <c r="A3688" s="2" t="s">
        <v>38</v>
      </c>
      <c r="B3688" s="6">
        <v>45488</v>
      </c>
      <c r="C3688" s="2" t="s">
        <v>53</v>
      </c>
      <c r="D3688" s="8">
        <v>-53.75</v>
      </c>
      <c r="E3688" s="8">
        <f>E3687+(0-53.75)</f>
        <v>9391802.6099996846</v>
      </c>
    </row>
    <row r="3689" spans="1:5" x14ac:dyDescent="0.25">
      <c r="A3689" s="2" t="s">
        <v>38</v>
      </c>
      <c r="B3689" s="6">
        <v>45488</v>
      </c>
      <c r="C3689" s="2" t="s">
        <v>53</v>
      </c>
      <c r="D3689" s="8">
        <v>-550</v>
      </c>
      <c r="E3689" s="8">
        <f>E3688+(0-550)</f>
        <v>9391252.6099996846</v>
      </c>
    </row>
    <row r="3690" spans="1:5" x14ac:dyDescent="0.25">
      <c r="A3690" s="2" t="s">
        <v>38</v>
      </c>
      <c r="B3690" s="6">
        <v>45489</v>
      </c>
      <c r="C3690" s="2" t="s">
        <v>19</v>
      </c>
      <c r="D3690" s="8">
        <v>-464</v>
      </c>
      <c r="E3690" s="8">
        <f>E3689+(0-464)</f>
        <v>9390788.6099996846</v>
      </c>
    </row>
    <row r="3691" spans="1:5" x14ac:dyDescent="0.25">
      <c r="A3691" s="2" t="s">
        <v>38</v>
      </c>
      <c r="B3691" s="6">
        <v>45489</v>
      </c>
      <c r="C3691" s="2" t="s">
        <v>53</v>
      </c>
      <c r="D3691" s="8">
        <v>-26.88</v>
      </c>
      <c r="E3691" s="8">
        <f>E3690+(0-26.88)</f>
        <v>9390761.7299996838</v>
      </c>
    </row>
    <row r="3692" spans="1:5" x14ac:dyDescent="0.25">
      <c r="A3692" s="2" t="s">
        <v>38</v>
      </c>
      <c r="B3692" s="6">
        <v>45489</v>
      </c>
      <c r="C3692" s="2" t="s">
        <v>53</v>
      </c>
      <c r="D3692" s="8">
        <v>-53.75</v>
      </c>
      <c r="E3692" s="8">
        <f>E3691+(0-53.75)</f>
        <v>9390707.9799996838</v>
      </c>
    </row>
    <row r="3693" spans="1:5" x14ac:dyDescent="0.25">
      <c r="A3693" s="2" t="s">
        <v>38</v>
      </c>
      <c r="B3693" s="6">
        <v>45489</v>
      </c>
      <c r="C3693" s="2" t="s">
        <v>19</v>
      </c>
      <c r="D3693" s="8">
        <v>-208</v>
      </c>
      <c r="E3693" s="8">
        <f>E3692+(0-208)</f>
        <v>9390499.9799996838</v>
      </c>
    </row>
    <row r="3694" spans="1:5" x14ac:dyDescent="0.25">
      <c r="A3694" s="2" t="s">
        <v>38</v>
      </c>
      <c r="B3694" s="6">
        <v>45489</v>
      </c>
      <c r="C3694" s="2" t="s">
        <v>19</v>
      </c>
      <c r="D3694" s="8">
        <v>-40</v>
      </c>
      <c r="E3694" s="8">
        <f>E3693+(0-40)</f>
        <v>9390459.9799996838</v>
      </c>
    </row>
    <row r="3695" spans="1:5" x14ac:dyDescent="0.25">
      <c r="A3695" s="2" t="s">
        <v>38</v>
      </c>
      <c r="B3695" s="6">
        <v>45489</v>
      </c>
      <c r="C3695" s="2" t="s">
        <v>19</v>
      </c>
      <c r="D3695" s="8">
        <v>-8</v>
      </c>
      <c r="E3695" s="8">
        <f>E3694+(0-8)</f>
        <v>9390451.9799996838</v>
      </c>
    </row>
    <row r="3696" spans="1:5" x14ac:dyDescent="0.25">
      <c r="A3696" s="2" t="s">
        <v>38</v>
      </c>
      <c r="B3696" s="6">
        <v>45489</v>
      </c>
      <c r="C3696" s="2" t="s">
        <v>53</v>
      </c>
      <c r="D3696" s="8">
        <v>-50</v>
      </c>
      <c r="E3696" s="8">
        <f>E3695+(0-50)</f>
        <v>9390401.9799996838</v>
      </c>
    </row>
    <row r="3697" spans="1:5" x14ac:dyDescent="0.25">
      <c r="A3697" s="2" t="s">
        <v>38</v>
      </c>
      <c r="B3697" s="6">
        <v>45489</v>
      </c>
      <c r="C3697" s="2" t="s">
        <v>53</v>
      </c>
      <c r="D3697" s="8">
        <v>-450</v>
      </c>
      <c r="E3697" s="8">
        <f>E3696+(0-450)</f>
        <v>9389951.9799996838</v>
      </c>
    </row>
    <row r="3698" spans="1:5" x14ac:dyDescent="0.25">
      <c r="A3698" s="2" t="s">
        <v>38</v>
      </c>
      <c r="B3698" s="6">
        <v>45490</v>
      </c>
      <c r="C3698" s="2" t="s">
        <v>53</v>
      </c>
      <c r="D3698" s="8">
        <v>-400</v>
      </c>
      <c r="E3698" s="8">
        <f>E3697+(0-400)</f>
        <v>9389551.9799996838</v>
      </c>
    </row>
    <row r="3699" spans="1:5" x14ac:dyDescent="0.25">
      <c r="A3699" s="2" t="s">
        <v>38</v>
      </c>
      <c r="B3699" s="6">
        <v>45491</v>
      </c>
      <c r="C3699" s="2" t="s">
        <v>53</v>
      </c>
      <c r="D3699" s="8">
        <v>-53.75</v>
      </c>
      <c r="E3699" s="8">
        <f>E3698+(0-53.75)</f>
        <v>9389498.2299996838</v>
      </c>
    </row>
    <row r="3700" spans="1:5" x14ac:dyDescent="0.25">
      <c r="A3700" s="2" t="s">
        <v>38</v>
      </c>
      <c r="B3700" s="6">
        <v>45491</v>
      </c>
      <c r="C3700" s="2" t="s">
        <v>53</v>
      </c>
      <c r="D3700" s="8">
        <v>-700</v>
      </c>
      <c r="E3700" s="8">
        <f>E3699+(0-700)</f>
        <v>9388798.2299996838</v>
      </c>
    </row>
    <row r="3701" spans="1:5" x14ac:dyDescent="0.25">
      <c r="A3701" s="2" t="s">
        <v>38</v>
      </c>
      <c r="B3701" s="6">
        <v>45491</v>
      </c>
      <c r="C3701" s="2" t="s">
        <v>53</v>
      </c>
      <c r="D3701" s="8">
        <v>-100</v>
      </c>
      <c r="E3701" s="8">
        <f>E3700+(0-100)</f>
        <v>9388698.2299996838</v>
      </c>
    </row>
    <row r="3702" spans="1:5" x14ac:dyDescent="0.25">
      <c r="A3702" s="2" t="s">
        <v>38</v>
      </c>
      <c r="B3702" s="6">
        <v>45491</v>
      </c>
      <c r="C3702" s="2" t="s">
        <v>19</v>
      </c>
      <c r="D3702" s="8">
        <v>-96</v>
      </c>
      <c r="E3702" s="8">
        <f>E3701+(0-96)</f>
        <v>9388602.2299996838</v>
      </c>
    </row>
    <row r="3703" spans="1:5" x14ac:dyDescent="0.25">
      <c r="A3703" s="2" t="s">
        <v>38</v>
      </c>
      <c r="B3703" s="6">
        <v>45492</v>
      </c>
      <c r="C3703" s="2" t="s">
        <v>19</v>
      </c>
      <c r="D3703" s="8">
        <v>-104</v>
      </c>
      <c r="E3703" s="8">
        <f>E3702+(0-104)</f>
        <v>9388498.2299996838</v>
      </c>
    </row>
    <row r="3704" spans="1:5" x14ac:dyDescent="0.25">
      <c r="A3704" s="2" t="s">
        <v>38</v>
      </c>
      <c r="B3704" s="6">
        <v>45492</v>
      </c>
      <c r="C3704" s="2" t="s">
        <v>53</v>
      </c>
      <c r="D3704" s="8">
        <v>-50</v>
      </c>
      <c r="E3704" s="8">
        <f>E3703+(0-50)</f>
        <v>9388448.2299996838</v>
      </c>
    </row>
    <row r="3705" spans="1:5" x14ac:dyDescent="0.25">
      <c r="A3705" s="2" t="s">
        <v>38</v>
      </c>
      <c r="B3705" s="6">
        <v>45492</v>
      </c>
      <c r="C3705" s="2" t="s">
        <v>53</v>
      </c>
      <c r="D3705" s="8">
        <v>-53.75</v>
      </c>
      <c r="E3705" s="8">
        <f>E3704+(0-53.75)</f>
        <v>9388394.4799996838</v>
      </c>
    </row>
    <row r="3706" spans="1:5" x14ac:dyDescent="0.25">
      <c r="A3706" s="2" t="s">
        <v>38</v>
      </c>
      <c r="B3706" s="6">
        <v>45492</v>
      </c>
      <c r="C3706" s="2" t="s">
        <v>53</v>
      </c>
      <c r="D3706" s="8">
        <v>-550</v>
      </c>
      <c r="E3706" s="8">
        <f>E3705+(0-550)</f>
        <v>9387844.4799996838</v>
      </c>
    </row>
    <row r="3707" spans="1:5" x14ac:dyDescent="0.25">
      <c r="A3707" s="2" t="s">
        <v>38</v>
      </c>
      <c r="B3707" s="6">
        <v>45492</v>
      </c>
      <c r="C3707" s="2" t="s">
        <v>53</v>
      </c>
      <c r="D3707" s="8">
        <v>-100</v>
      </c>
      <c r="E3707" s="8">
        <f>E3706+(0-100)</f>
        <v>9387744.4799996838</v>
      </c>
    </row>
    <row r="3708" spans="1:5" x14ac:dyDescent="0.25">
      <c r="A3708" s="2" t="s">
        <v>38</v>
      </c>
      <c r="B3708" s="6">
        <v>45492</v>
      </c>
      <c r="C3708" s="2" t="s">
        <v>19</v>
      </c>
      <c r="D3708" s="8">
        <v>-128</v>
      </c>
      <c r="E3708" s="8">
        <f>E3707+(0-128)</f>
        <v>9387616.4799996838</v>
      </c>
    </row>
    <row r="3709" spans="1:5" x14ac:dyDescent="0.25">
      <c r="A3709" s="2" t="s">
        <v>38</v>
      </c>
      <c r="B3709" s="6">
        <v>45495</v>
      </c>
      <c r="C3709" s="2" t="s">
        <v>19</v>
      </c>
      <c r="D3709" s="8">
        <v>-160</v>
      </c>
      <c r="E3709" s="8">
        <f>E3708+(0-160)</f>
        <v>9387456.4799996838</v>
      </c>
    </row>
    <row r="3710" spans="1:5" x14ac:dyDescent="0.25">
      <c r="A3710" s="2" t="s">
        <v>38</v>
      </c>
      <c r="B3710" s="6">
        <v>45495</v>
      </c>
      <c r="C3710" s="2" t="s">
        <v>19</v>
      </c>
      <c r="D3710" s="8">
        <v>-168</v>
      </c>
      <c r="E3710" s="8">
        <f>E3709+(0-168)</f>
        <v>9387288.4799996838</v>
      </c>
    </row>
    <row r="3711" spans="1:5" x14ac:dyDescent="0.25">
      <c r="A3711" s="2" t="s">
        <v>38</v>
      </c>
      <c r="B3711" s="6">
        <v>45495</v>
      </c>
      <c r="C3711" s="2" t="s">
        <v>53</v>
      </c>
      <c r="D3711" s="8">
        <v>-53.75</v>
      </c>
      <c r="E3711" s="8">
        <f>E3710+(0-53.75)</f>
        <v>9387234.7299996838</v>
      </c>
    </row>
    <row r="3712" spans="1:5" x14ac:dyDescent="0.25">
      <c r="A3712" s="2" t="s">
        <v>38</v>
      </c>
      <c r="B3712" s="6">
        <v>45495</v>
      </c>
      <c r="C3712" s="2" t="s">
        <v>19</v>
      </c>
      <c r="D3712" s="8">
        <v>-8</v>
      </c>
      <c r="E3712" s="8">
        <f>E3711+(0-8)</f>
        <v>9387226.7299996838</v>
      </c>
    </row>
    <row r="3713" spans="1:5" x14ac:dyDescent="0.25">
      <c r="A3713" s="2" t="s">
        <v>38</v>
      </c>
      <c r="B3713" s="6">
        <v>45495</v>
      </c>
      <c r="C3713" s="2" t="s">
        <v>53</v>
      </c>
      <c r="D3713" s="8">
        <v>-450</v>
      </c>
      <c r="E3713" s="8">
        <f>E3712+(0-450)</f>
        <v>9386776.7299996838</v>
      </c>
    </row>
    <row r="3714" spans="1:5" x14ac:dyDescent="0.25">
      <c r="A3714" s="2" t="s">
        <v>38</v>
      </c>
      <c r="B3714" s="6">
        <v>45496</v>
      </c>
      <c r="C3714" s="2" t="s">
        <v>19</v>
      </c>
      <c r="D3714" s="8">
        <v>-32</v>
      </c>
      <c r="E3714" s="8">
        <f>E3713+(0-32)</f>
        <v>9386744.7299996838</v>
      </c>
    </row>
    <row r="3715" spans="1:5" x14ac:dyDescent="0.25">
      <c r="A3715" s="2" t="s">
        <v>38</v>
      </c>
      <c r="B3715" s="6">
        <v>45496</v>
      </c>
      <c r="C3715" s="2" t="s">
        <v>53</v>
      </c>
      <c r="D3715" s="8">
        <v>-500</v>
      </c>
      <c r="E3715" s="8">
        <f>E3714+(0-500)</f>
        <v>9386244.7299996838</v>
      </c>
    </row>
    <row r="3716" spans="1:5" x14ac:dyDescent="0.25">
      <c r="A3716" s="2" t="s">
        <v>38</v>
      </c>
      <c r="B3716" s="6">
        <v>45496</v>
      </c>
      <c r="C3716" s="2" t="s">
        <v>53</v>
      </c>
      <c r="D3716" s="8">
        <v>-50</v>
      </c>
      <c r="E3716" s="8">
        <f>E3715+(0-50)</f>
        <v>9386194.7299996838</v>
      </c>
    </row>
    <row r="3717" spans="1:5" x14ac:dyDescent="0.25">
      <c r="A3717" s="2" t="s">
        <v>38</v>
      </c>
      <c r="B3717" s="6">
        <v>45497</v>
      </c>
      <c r="C3717" s="2" t="s">
        <v>53</v>
      </c>
      <c r="D3717" s="8">
        <v>-53.75</v>
      </c>
      <c r="E3717" s="8">
        <f>E3716+(0-53.75)</f>
        <v>9386140.9799996838</v>
      </c>
    </row>
    <row r="3718" spans="1:5" x14ac:dyDescent="0.25">
      <c r="A3718" s="2" t="s">
        <v>38</v>
      </c>
      <c r="B3718" s="6">
        <v>45497</v>
      </c>
      <c r="C3718" s="2" t="s">
        <v>53</v>
      </c>
      <c r="D3718" s="8">
        <v>-50</v>
      </c>
      <c r="E3718" s="8">
        <f>E3717+(0-50)</f>
        <v>9386090.9799996838</v>
      </c>
    </row>
    <row r="3719" spans="1:5" x14ac:dyDescent="0.25">
      <c r="A3719" s="2" t="s">
        <v>38</v>
      </c>
      <c r="B3719" s="6">
        <v>45497</v>
      </c>
      <c r="C3719" s="2" t="s">
        <v>53</v>
      </c>
      <c r="D3719" s="8">
        <v>-450</v>
      </c>
      <c r="E3719" s="8">
        <f>E3718+(0-450)</f>
        <v>9385640.9799996838</v>
      </c>
    </row>
    <row r="3720" spans="1:5" x14ac:dyDescent="0.25">
      <c r="A3720" s="2" t="s">
        <v>38</v>
      </c>
      <c r="B3720" s="6">
        <v>45498</v>
      </c>
      <c r="C3720" s="2" t="s">
        <v>53</v>
      </c>
      <c r="D3720" s="8">
        <v>-200</v>
      </c>
      <c r="E3720" s="8">
        <f>E3719+(0-200)</f>
        <v>9385440.9799996838</v>
      </c>
    </row>
    <row r="3721" spans="1:5" x14ac:dyDescent="0.25">
      <c r="A3721" s="2" t="s">
        <v>38</v>
      </c>
      <c r="B3721" s="6">
        <v>45499</v>
      </c>
      <c r="C3721" s="2" t="s">
        <v>53</v>
      </c>
      <c r="D3721" s="8">
        <v>-53.75</v>
      </c>
      <c r="E3721" s="8">
        <f>E3720+(0-53.75)</f>
        <v>9385387.2299996838</v>
      </c>
    </row>
    <row r="3722" spans="1:5" x14ac:dyDescent="0.25">
      <c r="A3722" s="2" t="s">
        <v>38</v>
      </c>
      <c r="B3722" s="6">
        <v>45499</v>
      </c>
      <c r="C3722" s="2" t="s">
        <v>53</v>
      </c>
      <c r="D3722" s="8">
        <v>-26.88</v>
      </c>
      <c r="E3722" s="8">
        <f>E3721+(0-26.88)</f>
        <v>9385360.349999683</v>
      </c>
    </row>
    <row r="3723" spans="1:5" x14ac:dyDescent="0.25">
      <c r="A3723" s="2" t="s">
        <v>38</v>
      </c>
      <c r="B3723" s="6">
        <v>45499</v>
      </c>
      <c r="C3723" s="2" t="s">
        <v>53</v>
      </c>
      <c r="D3723" s="8">
        <v>-700</v>
      </c>
      <c r="E3723" s="8">
        <f>E3722+(0-700)</f>
        <v>9384660.349999683</v>
      </c>
    </row>
    <row r="3724" spans="1:5" x14ac:dyDescent="0.25">
      <c r="A3724" s="2" t="s">
        <v>38</v>
      </c>
      <c r="B3724" s="6">
        <v>45502</v>
      </c>
      <c r="C3724" s="2" t="s">
        <v>19</v>
      </c>
      <c r="D3724" s="8">
        <v>-72</v>
      </c>
      <c r="E3724" s="8">
        <f>E3723+(0-72)</f>
        <v>9384588.349999683</v>
      </c>
    </row>
    <row r="3725" spans="1:5" x14ac:dyDescent="0.25">
      <c r="A3725" s="2" t="s">
        <v>38</v>
      </c>
      <c r="B3725" s="6">
        <v>45502</v>
      </c>
      <c r="C3725" s="2" t="s">
        <v>19</v>
      </c>
      <c r="D3725" s="8">
        <v>-96</v>
      </c>
      <c r="E3725" s="8">
        <f>E3724+(0-96)</f>
        <v>9384492.349999683</v>
      </c>
    </row>
    <row r="3726" spans="1:5" x14ac:dyDescent="0.25">
      <c r="A3726" s="2" t="s">
        <v>38</v>
      </c>
      <c r="B3726" s="6">
        <v>45502</v>
      </c>
      <c r="C3726" s="2" t="s">
        <v>53</v>
      </c>
      <c r="D3726" s="8">
        <v>-53.75</v>
      </c>
      <c r="E3726" s="8">
        <f>E3725+(0-53.75)</f>
        <v>9384438.599999683</v>
      </c>
    </row>
    <row r="3727" spans="1:5" x14ac:dyDescent="0.25">
      <c r="A3727" s="2" t="s">
        <v>38</v>
      </c>
      <c r="B3727" s="6">
        <v>45502</v>
      </c>
      <c r="C3727" s="2" t="s">
        <v>53</v>
      </c>
      <c r="D3727" s="8">
        <v>-26.88</v>
      </c>
      <c r="E3727" s="8">
        <f>E3726+(0-26.88)</f>
        <v>9384411.7199996822</v>
      </c>
    </row>
    <row r="3728" spans="1:5" x14ac:dyDescent="0.25">
      <c r="A3728" s="2" t="s">
        <v>38</v>
      </c>
      <c r="B3728" s="6">
        <v>45502</v>
      </c>
      <c r="C3728" s="2" t="s">
        <v>53</v>
      </c>
      <c r="D3728" s="8">
        <v>-53.75</v>
      </c>
      <c r="E3728" s="8">
        <f>E3727+(0-53.75)</f>
        <v>9384357.9699996822</v>
      </c>
    </row>
    <row r="3729" spans="1:5" x14ac:dyDescent="0.25">
      <c r="A3729" s="2" t="s">
        <v>38</v>
      </c>
      <c r="B3729" s="6">
        <v>45502</v>
      </c>
      <c r="C3729" s="2" t="s">
        <v>53</v>
      </c>
      <c r="D3729" s="8">
        <v>-26.88</v>
      </c>
      <c r="E3729" s="8">
        <f>E3728+(0-26.88)</f>
        <v>9384331.0899996813</v>
      </c>
    </row>
    <row r="3730" spans="1:5" x14ac:dyDescent="0.25">
      <c r="A3730" s="2" t="s">
        <v>38</v>
      </c>
      <c r="B3730" s="6">
        <v>45502</v>
      </c>
      <c r="C3730" s="2" t="s">
        <v>53</v>
      </c>
      <c r="D3730" s="8">
        <v>-26.88</v>
      </c>
      <c r="E3730" s="8">
        <f>E3729+(0-26.88)</f>
        <v>9384304.2099996805</v>
      </c>
    </row>
    <row r="3731" spans="1:5" x14ac:dyDescent="0.25">
      <c r="A3731" s="2" t="s">
        <v>38</v>
      </c>
      <c r="B3731" s="6">
        <v>45502</v>
      </c>
      <c r="C3731" s="2" t="s">
        <v>53</v>
      </c>
      <c r="D3731" s="8">
        <v>-53.75</v>
      </c>
      <c r="E3731" s="8">
        <f>E3730+(0-53.75)</f>
        <v>9384250.4599996805</v>
      </c>
    </row>
    <row r="3732" spans="1:5" x14ac:dyDescent="0.25">
      <c r="A3732" s="2" t="s">
        <v>38</v>
      </c>
      <c r="B3732" s="6">
        <v>45502</v>
      </c>
      <c r="C3732" s="2" t="s">
        <v>53</v>
      </c>
      <c r="D3732" s="8">
        <v>-850</v>
      </c>
      <c r="E3732" s="8">
        <f>E3731+(0-850)</f>
        <v>9383400.4599996805</v>
      </c>
    </row>
    <row r="3733" spans="1:5" x14ac:dyDescent="0.25">
      <c r="A3733" s="2" t="s">
        <v>38</v>
      </c>
      <c r="B3733" s="6">
        <v>45502</v>
      </c>
      <c r="C3733" s="2" t="s">
        <v>53</v>
      </c>
      <c r="D3733" s="8">
        <v>-50</v>
      </c>
      <c r="E3733" s="8">
        <f>E3732+(0-50)</f>
        <v>9383350.4599996805</v>
      </c>
    </row>
    <row r="3734" spans="1:5" x14ac:dyDescent="0.25">
      <c r="A3734" s="2" t="s">
        <v>38</v>
      </c>
      <c r="B3734" s="6">
        <v>45502</v>
      </c>
      <c r="C3734" s="2" t="s">
        <v>19</v>
      </c>
      <c r="D3734" s="8">
        <v>-104</v>
      </c>
      <c r="E3734" s="8">
        <f>E3733+(0-104)</f>
        <v>9383246.4599996805</v>
      </c>
    </row>
    <row r="3735" spans="1:5" x14ac:dyDescent="0.25">
      <c r="A3735" s="2" t="s">
        <v>38</v>
      </c>
      <c r="B3735" s="6">
        <v>45503</v>
      </c>
      <c r="C3735" s="2" t="s">
        <v>19</v>
      </c>
      <c r="D3735" s="8">
        <v>-40</v>
      </c>
      <c r="E3735" s="8">
        <f>E3734+(0-40)</f>
        <v>9383206.4599996805</v>
      </c>
    </row>
    <row r="3736" spans="1:5" x14ac:dyDescent="0.25">
      <c r="A3736" s="2" t="s">
        <v>38</v>
      </c>
      <c r="B3736" s="6">
        <v>45503</v>
      </c>
      <c r="C3736" s="2" t="s">
        <v>19</v>
      </c>
      <c r="D3736" s="8">
        <v>-184</v>
      </c>
      <c r="E3736" s="8">
        <f>E3735+(0-184)</f>
        <v>9383022.4599996805</v>
      </c>
    </row>
    <row r="3737" spans="1:5" x14ac:dyDescent="0.25">
      <c r="A3737" s="2" t="s">
        <v>38</v>
      </c>
      <c r="B3737" s="6">
        <v>45503</v>
      </c>
      <c r="C3737" s="2" t="s">
        <v>53</v>
      </c>
      <c r="D3737" s="8">
        <v>-53.75</v>
      </c>
      <c r="E3737" s="8">
        <f>E3736+(0-53.75)</f>
        <v>9382968.7099996805</v>
      </c>
    </row>
    <row r="3738" spans="1:5" x14ac:dyDescent="0.25">
      <c r="A3738" s="2" t="s">
        <v>38</v>
      </c>
      <c r="B3738" s="6">
        <v>45503</v>
      </c>
      <c r="C3738" s="2" t="s">
        <v>53</v>
      </c>
      <c r="D3738" s="8">
        <v>-26.88</v>
      </c>
      <c r="E3738" s="8">
        <f>E3737+(0-26.88)</f>
        <v>9382941.8299996797</v>
      </c>
    </row>
    <row r="3739" spans="1:5" x14ac:dyDescent="0.25">
      <c r="A3739" s="2" t="s">
        <v>38</v>
      </c>
      <c r="B3739" s="6">
        <v>45503</v>
      </c>
      <c r="C3739" s="2" t="s">
        <v>53</v>
      </c>
      <c r="D3739" s="8">
        <v>-450</v>
      </c>
      <c r="E3739" s="8">
        <f>E3738+(0-450)</f>
        <v>9382491.8299996797</v>
      </c>
    </row>
    <row r="3740" spans="1:5" x14ac:dyDescent="0.25">
      <c r="A3740" s="2" t="s">
        <v>38</v>
      </c>
      <c r="B3740" s="6">
        <v>45504</v>
      </c>
      <c r="C3740" s="2" t="s">
        <v>53</v>
      </c>
      <c r="D3740" s="8">
        <v>-53.75</v>
      </c>
      <c r="E3740" s="8">
        <f>E3739+(0-53.75)</f>
        <v>9382438.0799996797</v>
      </c>
    </row>
    <row r="3741" spans="1:5" x14ac:dyDescent="0.25">
      <c r="A3741" s="2" t="s">
        <v>38</v>
      </c>
      <c r="B3741" s="6">
        <v>45504</v>
      </c>
      <c r="C3741" s="2" t="s">
        <v>53</v>
      </c>
      <c r="D3741" s="8">
        <v>-50</v>
      </c>
      <c r="E3741" s="8">
        <f>E3740+(0-50)</f>
        <v>9382388.0799996797</v>
      </c>
    </row>
    <row r="3742" spans="1:5" x14ac:dyDescent="0.25">
      <c r="A3742" s="2" t="s">
        <v>38</v>
      </c>
      <c r="B3742" s="6">
        <v>45504</v>
      </c>
      <c r="C3742" s="2" t="s">
        <v>53</v>
      </c>
      <c r="D3742" s="8">
        <v>-200</v>
      </c>
      <c r="E3742" s="8">
        <f>E3741+(0-200)</f>
        <v>9382188.0799996797</v>
      </c>
    </row>
    <row r="3743" spans="1:5" x14ac:dyDescent="0.25">
      <c r="A3743" s="2" t="s">
        <v>38</v>
      </c>
      <c r="B3743" s="6">
        <v>45505</v>
      </c>
      <c r="C3743" s="2" t="s">
        <v>53</v>
      </c>
      <c r="D3743" s="8">
        <v>-100</v>
      </c>
      <c r="E3743" s="8">
        <f>E3742+(0-100)</f>
        <v>9382088.0799996797</v>
      </c>
    </row>
    <row r="3744" spans="1:5" x14ac:dyDescent="0.25">
      <c r="A3744" s="2" t="s">
        <v>38</v>
      </c>
      <c r="B3744" s="6">
        <v>45505</v>
      </c>
      <c r="C3744" s="2" t="s">
        <v>53</v>
      </c>
      <c r="D3744" s="8">
        <v>-50</v>
      </c>
      <c r="E3744" s="8">
        <f>E3743+(0-50)</f>
        <v>9382038.0799996797</v>
      </c>
    </row>
    <row r="3745" spans="1:5" x14ac:dyDescent="0.25">
      <c r="A3745" s="2" t="s">
        <v>38</v>
      </c>
      <c r="B3745" s="6">
        <v>45506</v>
      </c>
      <c r="C3745" s="2" t="s">
        <v>53</v>
      </c>
      <c r="D3745" s="8">
        <v>-53.75</v>
      </c>
      <c r="E3745" s="8">
        <f>E3744+(0-53.75)</f>
        <v>9381984.3299996797</v>
      </c>
    </row>
    <row r="3746" spans="1:5" x14ac:dyDescent="0.25">
      <c r="A3746" s="2" t="s">
        <v>38</v>
      </c>
      <c r="B3746" s="6">
        <v>45506</v>
      </c>
      <c r="C3746" s="2" t="s">
        <v>53</v>
      </c>
      <c r="D3746" s="8">
        <v>-250</v>
      </c>
      <c r="E3746" s="8">
        <f>E3745+(0-250)</f>
        <v>9381734.3299996797</v>
      </c>
    </row>
    <row r="3747" spans="1:5" x14ac:dyDescent="0.25">
      <c r="A3747" s="2" t="s">
        <v>38</v>
      </c>
      <c r="B3747" s="6">
        <v>45509</v>
      </c>
      <c r="C3747" s="2" t="s">
        <v>53</v>
      </c>
      <c r="D3747" s="8">
        <v>-53.75</v>
      </c>
      <c r="E3747" s="8">
        <f>E3746+(0-53.75)</f>
        <v>9381680.5799996797</v>
      </c>
    </row>
    <row r="3748" spans="1:5" x14ac:dyDescent="0.25">
      <c r="A3748" s="2" t="s">
        <v>38</v>
      </c>
      <c r="B3748" s="6">
        <v>45509</v>
      </c>
      <c r="C3748" s="2" t="s">
        <v>53</v>
      </c>
      <c r="D3748" s="8">
        <v>-26.88</v>
      </c>
      <c r="E3748" s="8">
        <f>E3747+(0-26.88)</f>
        <v>9381653.6999996789</v>
      </c>
    </row>
    <row r="3749" spans="1:5" x14ac:dyDescent="0.25">
      <c r="A3749" s="2" t="s">
        <v>38</v>
      </c>
      <c r="B3749" s="6">
        <v>45509</v>
      </c>
      <c r="C3749" s="2" t="s">
        <v>53</v>
      </c>
      <c r="D3749" s="8">
        <v>-600</v>
      </c>
      <c r="E3749" s="8">
        <f>E3748+(0-600)</f>
        <v>9381053.6999996789</v>
      </c>
    </row>
    <row r="3750" spans="1:5" x14ac:dyDescent="0.25">
      <c r="A3750" s="2" t="s">
        <v>38</v>
      </c>
      <c r="B3750" s="6">
        <v>45510</v>
      </c>
      <c r="C3750" s="2" t="s">
        <v>53</v>
      </c>
      <c r="D3750" s="8">
        <v>-600</v>
      </c>
      <c r="E3750" s="8">
        <f>E3749+(0-600)</f>
        <v>9380453.6999996789</v>
      </c>
    </row>
    <row r="3751" spans="1:5" x14ac:dyDescent="0.25">
      <c r="A3751" s="2" t="s">
        <v>38</v>
      </c>
      <c r="B3751" s="6">
        <v>45511</v>
      </c>
      <c r="C3751" s="2" t="s">
        <v>19</v>
      </c>
      <c r="D3751" s="8">
        <v>-8</v>
      </c>
      <c r="E3751" s="8">
        <f>E3750+(0-8)</f>
        <v>9380445.6999996789</v>
      </c>
    </row>
    <row r="3752" spans="1:5" x14ac:dyDescent="0.25">
      <c r="A3752" s="2" t="s">
        <v>38</v>
      </c>
      <c r="B3752" s="6">
        <v>45511</v>
      </c>
      <c r="C3752" s="2" t="s">
        <v>19</v>
      </c>
      <c r="D3752" s="8">
        <v>-16</v>
      </c>
      <c r="E3752" s="8">
        <f>E3751+(0-16)</f>
        <v>9380429.6999996789</v>
      </c>
    </row>
    <row r="3753" spans="1:5" x14ac:dyDescent="0.25">
      <c r="A3753" s="2" t="s">
        <v>38</v>
      </c>
      <c r="B3753" s="6">
        <v>45511</v>
      </c>
      <c r="C3753" s="2" t="s">
        <v>19</v>
      </c>
      <c r="D3753" s="8">
        <v>-224</v>
      </c>
      <c r="E3753" s="8">
        <f>E3752+(0-224)</f>
        <v>9380205.6999996789</v>
      </c>
    </row>
    <row r="3754" spans="1:5" x14ac:dyDescent="0.25">
      <c r="A3754" s="2" t="s">
        <v>38</v>
      </c>
      <c r="B3754" s="6">
        <v>45511</v>
      </c>
      <c r="C3754" s="2" t="s">
        <v>53</v>
      </c>
      <c r="D3754" s="8">
        <v>-53.75</v>
      </c>
      <c r="E3754" s="8">
        <f>E3753+(0-53.75)</f>
        <v>9380151.9499996789</v>
      </c>
    </row>
    <row r="3755" spans="1:5" x14ac:dyDescent="0.25">
      <c r="A3755" s="2" t="s">
        <v>38</v>
      </c>
      <c r="B3755" s="6">
        <v>45511</v>
      </c>
      <c r="C3755" s="2" t="s">
        <v>19</v>
      </c>
      <c r="D3755" s="8">
        <v>-160</v>
      </c>
      <c r="E3755" s="8">
        <f>E3754+(0-160)</f>
        <v>9379991.9499996789</v>
      </c>
    </row>
    <row r="3756" spans="1:5" x14ac:dyDescent="0.25">
      <c r="A3756" s="2" t="s">
        <v>38</v>
      </c>
      <c r="B3756" s="6">
        <v>45511</v>
      </c>
      <c r="C3756" s="2" t="s">
        <v>19</v>
      </c>
      <c r="D3756" s="8">
        <v>-88</v>
      </c>
      <c r="E3756" s="8">
        <f>E3755+(0-88)</f>
        <v>9379903.9499996789</v>
      </c>
    </row>
    <row r="3757" spans="1:5" x14ac:dyDescent="0.25">
      <c r="A3757" s="2" t="s">
        <v>38</v>
      </c>
      <c r="B3757" s="6">
        <v>45511</v>
      </c>
      <c r="C3757" s="2" t="s">
        <v>19</v>
      </c>
      <c r="D3757" s="8">
        <v>-16</v>
      </c>
      <c r="E3757" s="8">
        <f>E3756+(0-16)</f>
        <v>9379887.9499996789</v>
      </c>
    </row>
    <row r="3758" spans="1:5" x14ac:dyDescent="0.25">
      <c r="A3758" s="2" t="s">
        <v>38</v>
      </c>
      <c r="B3758" s="6">
        <v>45511</v>
      </c>
      <c r="C3758" s="2" t="s">
        <v>53</v>
      </c>
      <c r="D3758" s="8">
        <v>-300</v>
      </c>
      <c r="E3758" s="8">
        <f>E3757+(0-300)</f>
        <v>9379587.9499996789</v>
      </c>
    </row>
    <row r="3759" spans="1:5" x14ac:dyDescent="0.25">
      <c r="A3759" s="2" t="s">
        <v>38</v>
      </c>
      <c r="B3759" s="6">
        <v>45511</v>
      </c>
      <c r="C3759" s="2" t="s">
        <v>53</v>
      </c>
      <c r="D3759" s="8">
        <v>-50</v>
      </c>
      <c r="E3759" s="8">
        <f>E3758+(0-50)</f>
        <v>9379537.9499996789</v>
      </c>
    </row>
    <row r="3760" spans="1:5" x14ac:dyDescent="0.25">
      <c r="A3760" s="2" t="s">
        <v>38</v>
      </c>
      <c r="B3760" s="6">
        <v>45511</v>
      </c>
      <c r="C3760" s="2" t="s">
        <v>53</v>
      </c>
      <c r="D3760" s="8">
        <v>-50</v>
      </c>
      <c r="E3760" s="8">
        <f>E3759+(0-50)</f>
        <v>9379487.9499996789</v>
      </c>
    </row>
    <row r="3761" spans="1:5" x14ac:dyDescent="0.25">
      <c r="A3761" s="2" t="s">
        <v>38</v>
      </c>
      <c r="B3761" s="6">
        <v>45512</v>
      </c>
      <c r="C3761" s="2" t="s">
        <v>19</v>
      </c>
      <c r="D3761" s="8">
        <v>-56</v>
      </c>
      <c r="E3761" s="8">
        <f>E3760+(0-56)</f>
        <v>9379431.9499996789</v>
      </c>
    </row>
    <row r="3762" spans="1:5" x14ac:dyDescent="0.25">
      <c r="A3762" s="2" t="s">
        <v>38</v>
      </c>
      <c r="B3762" s="6">
        <v>45512</v>
      </c>
      <c r="C3762" s="2" t="s">
        <v>19</v>
      </c>
      <c r="D3762" s="8">
        <v>-8</v>
      </c>
      <c r="E3762" s="8">
        <f>E3761+(0-8)</f>
        <v>9379423.9499996789</v>
      </c>
    </row>
    <row r="3763" spans="1:5" x14ac:dyDescent="0.25">
      <c r="A3763" s="2" t="s">
        <v>38</v>
      </c>
      <c r="B3763" s="6">
        <v>45512</v>
      </c>
      <c r="C3763" s="2" t="s">
        <v>19</v>
      </c>
      <c r="D3763" s="8">
        <v>-32</v>
      </c>
      <c r="E3763" s="8">
        <f>E3762+(0-32)</f>
        <v>9379391.9499996789</v>
      </c>
    </row>
    <row r="3764" spans="1:5" x14ac:dyDescent="0.25">
      <c r="A3764" s="2" t="s">
        <v>38</v>
      </c>
      <c r="B3764" s="6">
        <v>45512</v>
      </c>
      <c r="C3764" s="2" t="s">
        <v>19</v>
      </c>
      <c r="D3764" s="8">
        <v>-104</v>
      </c>
      <c r="E3764" s="8">
        <f>E3763+(0-104)</f>
        <v>9379287.9499996789</v>
      </c>
    </row>
    <row r="3765" spans="1:5" x14ac:dyDescent="0.25">
      <c r="A3765" s="2" t="s">
        <v>38</v>
      </c>
      <c r="B3765" s="6">
        <v>45512</v>
      </c>
      <c r="C3765" s="2" t="s">
        <v>19</v>
      </c>
      <c r="D3765" s="8">
        <v>-104</v>
      </c>
      <c r="E3765" s="8">
        <f>E3764+(0-104)</f>
        <v>9379183.9499996789</v>
      </c>
    </row>
    <row r="3766" spans="1:5" x14ac:dyDescent="0.25">
      <c r="A3766" s="2" t="s">
        <v>38</v>
      </c>
      <c r="B3766" s="6">
        <v>45512</v>
      </c>
      <c r="C3766" s="2" t="s">
        <v>53</v>
      </c>
      <c r="D3766" s="8">
        <v>-53.75</v>
      </c>
      <c r="E3766" s="8">
        <f>E3765+(0-53.75)</f>
        <v>9379130.1999996789</v>
      </c>
    </row>
    <row r="3767" spans="1:5" x14ac:dyDescent="0.25">
      <c r="A3767" s="2" t="s">
        <v>38</v>
      </c>
      <c r="B3767" s="6">
        <v>45512</v>
      </c>
      <c r="C3767" s="2" t="s">
        <v>19</v>
      </c>
      <c r="D3767" s="8">
        <v>-96</v>
      </c>
      <c r="E3767" s="8">
        <f>E3766+(0-96)</f>
        <v>9379034.1999996789</v>
      </c>
    </row>
    <row r="3768" spans="1:5" x14ac:dyDescent="0.25">
      <c r="A3768" s="2" t="s">
        <v>38</v>
      </c>
      <c r="B3768" s="6">
        <v>45512</v>
      </c>
      <c r="C3768" s="2" t="s">
        <v>53</v>
      </c>
      <c r="D3768" s="8">
        <v>-100</v>
      </c>
      <c r="E3768" s="8">
        <f>E3767+(0-100)</f>
        <v>9378934.1999996789</v>
      </c>
    </row>
    <row r="3769" spans="1:5" x14ac:dyDescent="0.25">
      <c r="A3769" s="2" t="s">
        <v>38</v>
      </c>
      <c r="B3769" s="6">
        <v>45512</v>
      </c>
      <c r="C3769" s="2" t="s">
        <v>53</v>
      </c>
      <c r="D3769" s="8">
        <v>-1000</v>
      </c>
      <c r="E3769" s="8">
        <f>E3768+(0-1000)</f>
        <v>9377934.1999996789</v>
      </c>
    </row>
    <row r="3770" spans="1:5" x14ac:dyDescent="0.25">
      <c r="A3770" s="2" t="s">
        <v>38</v>
      </c>
      <c r="B3770" s="6">
        <v>45513</v>
      </c>
      <c r="C3770" s="2" t="s">
        <v>19</v>
      </c>
      <c r="D3770" s="8">
        <v>-240</v>
      </c>
      <c r="E3770" s="8">
        <f>E3769+(0-240)</f>
        <v>9377694.1999996789</v>
      </c>
    </row>
    <row r="3771" spans="1:5" x14ac:dyDescent="0.25">
      <c r="A3771" s="2" t="s">
        <v>38</v>
      </c>
      <c r="B3771" s="6">
        <v>45513</v>
      </c>
      <c r="C3771" s="2" t="s">
        <v>53</v>
      </c>
      <c r="D3771" s="8">
        <v>-53.75</v>
      </c>
      <c r="E3771" s="8">
        <f>E3770+(0-53.75)</f>
        <v>9377640.4499996789</v>
      </c>
    </row>
    <row r="3772" spans="1:5" x14ac:dyDescent="0.25">
      <c r="A3772" s="2" t="s">
        <v>38</v>
      </c>
      <c r="B3772" s="6">
        <v>45513</v>
      </c>
      <c r="C3772" s="2" t="s">
        <v>53</v>
      </c>
      <c r="D3772" s="8">
        <v>-350</v>
      </c>
      <c r="E3772" s="8">
        <f>E3771+(0-350)</f>
        <v>9377290.4499996789</v>
      </c>
    </row>
    <row r="3773" spans="1:5" x14ac:dyDescent="0.25">
      <c r="A3773" s="2" t="s">
        <v>38</v>
      </c>
      <c r="B3773" s="6">
        <v>45516</v>
      </c>
      <c r="C3773" s="2" t="s">
        <v>19</v>
      </c>
      <c r="D3773" s="8">
        <v>-72</v>
      </c>
      <c r="E3773" s="8">
        <f>E3772+(0-72)</f>
        <v>9377218.4499996789</v>
      </c>
    </row>
    <row r="3774" spans="1:5" x14ac:dyDescent="0.25">
      <c r="A3774" s="2" t="s">
        <v>38</v>
      </c>
      <c r="B3774" s="6">
        <v>45516</v>
      </c>
      <c r="C3774" s="2" t="s">
        <v>19</v>
      </c>
      <c r="D3774" s="8">
        <v>-16</v>
      </c>
      <c r="E3774" s="8">
        <f>E3773+(0-16)</f>
        <v>9377202.4499996789</v>
      </c>
    </row>
    <row r="3775" spans="1:5" x14ac:dyDescent="0.25">
      <c r="A3775" s="2" t="s">
        <v>38</v>
      </c>
      <c r="B3775" s="6">
        <v>45516</v>
      </c>
      <c r="C3775" s="2" t="s">
        <v>53</v>
      </c>
      <c r="D3775" s="8">
        <v>-50</v>
      </c>
      <c r="E3775" s="8">
        <f>E3774+(0-50)</f>
        <v>9377152.4499996789</v>
      </c>
    </row>
    <row r="3776" spans="1:5" x14ac:dyDescent="0.25">
      <c r="A3776" s="2" t="s">
        <v>38</v>
      </c>
      <c r="B3776" s="6">
        <v>45516</v>
      </c>
      <c r="C3776" s="2" t="s">
        <v>53</v>
      </c>
      <c r="D3776" s="8">
        <v>-400</v>
      </c>
      <c r="E3776" s="8">
        <f>E3775+(0-400)</f>
        <v>9376752.4499996789</v>
      </c>
    </row>
    <row r="3777" spans="1:5" x14ac:dyDescent="0.25">
      <c r="A3777" s="2" t="s">
        <v>38</v>
      </c>
      <c r="B3777" s="6">
        <v>45517</v>
      </c>
      <c r="C3777" s="2" t="s">
        <v>19</v>
      </c>
      <c r="D3777" s="8">
        <v>-8</v>
      </c>
      <c r="E3777" s="8">
        <f>E3776+(0-8)</f>
        <v>9376744.4499996789</v>
      </c>
    </row>
    <row r="3778" spans="1:5" x14ac:dyDescent="0.25">
      <c r="A3778" s="2" t="s">
        <v>38</v>
      </c>
      <c r="B3778" s="6">
        <v>45517</v>
      </c>
      <c r="C3778" s="2" t="s">
        <v>19</v>
      </c>
      <c r="D3778" s="8">
        <v>-72</v>
      </c>
      <c r="E3778" s="8">
        <f>E3777+(0-72)</f>
        <v>9376672.4499996789</v>
      </c>
    </row>
    <row r="3779" spans="1:5" x14ac:dyDescent="0.25">
      <c r="A3779" s="2" t="s">
        <v>38</v>
      </c>
      <c r="B3779" s="6">
        <v>45517</v>
      </c>
      <c r="C3779" s="2" t="s">
        <v>53</v>
      </c>
      <c r="D3779" s="8">
        <v>-26.88</v>
      </c>
      <c r="E3779" s="8">
        <f>E3778+(0-26.88)</f>
        <v>9376645.5699996781</v>
      </c>
    </row>
    <row r="3780" spans="1:5" x14ac:dyDescent="0.25">
      <c r="A3780" s="2" t="s">
        <v>38</v>
      </c>
      <c r="B3780" s="6">
        <v>45517</v>
      </c>
      <c r="C3780" s="2" t="s">
        <v>53</v>
      </c>
      <c r="D3780" s="8">
        <v>-200</v>
      </c>
      <c r="E3780" s="8">
        <f>E3779+(0-200)</f>
        <v>9376445.5699996781</v>
      </c>
    </row>
    <row r="3781" spans="1:5" x14ac:dyDescent="0.25">
      <c r="A3781" s="2" t="s">
        <v>38</v>
      </c>
      <c r="B3781" s="6">
        <v>45517</v>
      </c>
      <c r="C3781" s="2" t="s">
        <v>53</v>
      </c>
      <c r="D3781" s="8">
        <v>-50</v>
      </c>
      <c r="E3781" s="8">
        <f>E3780+(0-50)</f>
        <v>9376395.5699996781</v>
      </c>
    </row>
    <row r="3782" spans="1:5" x14ac:dyDescent="0.25">
      <c r="A3782" s="2" t="s">
        <v>38</v>
      </c>
      <c r="B3782" s="6">
        <v>45518</v>
      </c>
      <c r="C3782" s="2" t="s">
        <v>53</v>
      </c>
      <c r="D3782" s="8">
        <v>-650</v>
      </c>
      <c r="E3782" s="8">
        <f>E3781+(0-650)</f>
        <v>9375745.5699996781</v>
      </c>
    </row>
    <row r="3783" spans="1:5" x14ac:dyDescent="0.25">
      <c r="A3783" s="2" t="s">
        <v>38</v>
      </c>
      <c r="B3783" s="6">
        <v>45518</v>
      </c>
      <c r="C3783" s="2" t="s">
        <v>53</v>
      </c>
      <c r="D3783" s="8">
        <v>-50</v>
      </c>
      <c r="E3783" s="8">
        <f>E3782+(0-50)</f>
        <v>9375695.5699996781</v>
      </c>
    </row>
    <row r="3784" spans="1:5" x14ac:dyDescent="0.25">
      <c r="A3784" s="2" t="s">
        <v>38</v>
      </c>
      <c r="B3784" s="6">
        <v>45518</v>
      </c>
      <c r="C3784" s="2" t="s">
        <v>53</v>
      </c>
      <c r="D3784" s="8">
        <v>-50</v>
      </c>
      <c r="E3784" s="8">
        <f>E3783+(0-50)</f>
        <v>9375645.5699996781</v>
      </c>
    </row>
    <row r="3785" spans="1:5" x14ac:dyDescent="0.25">
      <c r="A3785" s="2" t="s">
        <v>38</v>
      </c>
      <c r="B3785" s="6">
        <v>45519</v>
      </c>
      <c r="C3785" s="2" t="s">
        <v>53</v>
      </c>
      <c r="D3785" s="8">
        <v>-26.88</v>
      </c>
      <c r="E3785" s="8">
        <f>E3784+(0-26.88)</f>
        <v>9375618.6899996772</v>
      </c>
    </row>
    <row r="3786" spans="1:5" x14ac:dyDescent="0.25">
      <c r="A3786" s="2" t="s">
        <v>38</v>
      </c>
      <c r="B3786" s="6">
        <v>45519</v>
      </c>
      <c r="C3786" s="2" t="s">
        <v>53</v>
      </c>
      <c r="D3786" s="8">
        <v>-400</v>
      </c>
      <c r="E3786" s="8">
        <f>E3785+(0-400)</f>
        <v>9375218.6899996772</v>
      </c>
    </row>
    <row r="3787" spans="1:5" x14ac:dyDescent="0.25">
      <c r="A3787" s="2" t="s">
        <v>38</v>
      </c>
      <c r="B3787" s="6">
        <v>45520</v>
      </c>
      <c r="C3787" s="2" t="s">
        <v>53</v>
      </c>
      <c r="D3787" s="8">
        <v>-50</v>
      </c>
      <c r="E3787" s="8">
        <f>E3786+(0-50)</f>
        <v>9375168.6899996772</v>
      </c>
    </row>
    <row r="3788" spans="1:5" x14ac:dyDescent="0.25">
      <c r="A3788" s="2" t="s">
        <v>38</v>
      </c>
      <c r="B3788" s="6">
        <v>45520</v>
      </c>
      <c r="C3788" s="2" t="s">
        <v>53</v>
      </c>
      <c r="D3788" s="8">
        <v>-400</v>
      </c>
      <c r="E3788" s="8">
        <f>E3787+(0-400)</f>
        <v>9374768.6899996772</v>
      </c>
    </row>
    <row r="3789" spans="1:5" x14ac:dyDescent="0.25">
      <c r="A3789" s="2" t="s">
        <v>38</v>
      </c>
      <c r="B3789" s="6">
        <v>45523</v>
      </c>
      <c r="C3789" s="2" t="s">
        <v>19</v>
      </c>
      <c r="D3789" s="8">
        <v>-200</v>
      </c>
      <c r="E3789" s="8">
        <f>E3788+(0-200)</f>
        <v>9374568.6899996772</v>
      </c>
    </row>
    <row r="3790" spans="1:5" x14ac:dyDescent="0.25">
      <c r="A3790" s="2" t="s">
        <v>38</v>
      </c>
      <c r="B3790" s="6">
        <v>45523</v>
      </c>
      <c r="C3790" s="2" t="s">
        <v>19</v>
      </c>
      <c r="D3790" s="8">
        <v>-112</v>
      </c>
      <c r="E3790" s="8">
        <f>E3789+(0-112)</f>
        <v>9374456.6899996772</v>
      </c>
    </row>
    <row r="3791" spans="1:5" x14ac:dyDescent="0.25">
      <c r="A3791" s="2" t="s">
        <v>38</v>
      </c>
      <c r="B3791" s="6">
        <v>45523</v>
      </c>
      <c r="C3791" s="2" t="s">
        <v>19</v>
      </c>
      <c r="D3791" s="8">
        <v>-96</v>
      </c>
      <c r="E3791" s="8">
        <f>E3790+(0-96)</f>
        <v>9374360.6899996772</v>
      </c>
    </row>
    <row r="3792" spans="1:5" x14ac:dyDescent="0.25">
      <c r="A3792" s="2" t="s">
        <v>38</v>
      </c>
      <c r="B3792" s="6">
        <v>45523</v>
      </c>
      <c r="C3792" s="2" t="s">
        <v>19</v>
      </c>
      <c r="D3792" s="8">
        <v>-88</v>
      </c>
      <c r="E3792" s="8">
        <f>E3791+(0-88)</f>
        <v>9374272.6899996772</v>
      </c>
    </row>
    <row r="3793" spans="1:5" x14ac:dyDescent="0.25">
      <c r="A3793" s="2" t="s">
        <v>38</v>
      </c>
      <c r="B3793" s="6">
        <v>45523</v>
      </c>
      <c r="C3793" s="2" t="s">
        <v>53</v>
      </c>
      <c r="D3793" s="8">
        <v>-350</v>
      </c>
      <c r="E3793" s="8">
        <f>E3792+(0-350)</f>
        <v>9373922.6899996772</v>
      </c>
    </row>
    <row r="3794" spans="1:5" x14ac:dyDescent="0.25">
      <c r="A3794" s="2" t="s">
        <v>38</v>
      </c>
      <c r="B3794" s="6">
        <v>45523</v>
      </c>
      <c r="C3794" s="2" t="s">
        <v>19</v>
      </c>
      <c r="D3794" s="8">
        <v>-8</v>
      </c>
      <c r="E3794" s="8">
        <f>E3793+(0-8)</f>
        <v>9373914.6899996772</v>
      </c>
    </row>
    <row r="3795" spans="1:5" x14ac:dyDescent="0.25">
      <c r="A3795" s="2" t="s">
        <v>38</v>
      </c>
      <c r="B3795" s="6">
        <v>45524</v>
      </c>
      <c r="C3795" s="2" t="s">
        <v>53</v>
      </c>
      <c r="D3795" s="8">
        <v>-53.75</v>
      </c>
      <c r="E3795" s="8">
        <f>E3794+(0-53.75)</f>
        <v>9373860.9399996772</v>
      </c>
    </row>
    <row r="3796" spans="1:5" x14ac:dyDescent="0.25">
      <c r="A3796" s="2" t="s">
        <v>38</v>
      </c>
      <c r="B3796" s="6">
        <v>45524</v>
      </c>
      <c r="C3796" s="2" t="s">
        <v>53</v>
      </c>
      <c r="D3796" s="8">
        <v>-53.75</v>
      </c>
      <c r="E3796" s="8">
        <f>E3795+(0-53.75)</f>
        <v>9373807.1899996772</v>
      </c>
    </row>
    <row r="3797" spans="1:5" x14ac:dyDescent="0.25">
      <c r="A3797" s="2" t="s">
        <v>38</v>
      </c>
      <c r="B3797" s="6">
        <v>45524</v>
      </c>
      <c r="C3797" s="2" t="s">
        <v>53</v>
      </c>
      <c r="D3797" s="8">
        <v>-500</v>
      </c>
      <c r="E3797" s="8">
        <f>E3796+(0-500)</f>
        <v>9373307.1899996772</v>
      </c>
    </row>
    <row r="3798" spans="1:5" x14ac:dyDescent="0.25">
      <c r="A3798" s="2" t="s">
        <v>38</v>
      </c>
      <c r="B3798" s="6">
        <v>45525</v>
      </c>
      <c r="C3798" s="2" t="s">
        <v>53</v>
      </c>
      <c r="D3798" s="8">
        <v>-26.88</v>
      </c>
      <c r="E3798" s="8">
        <f>E3797+(0-26.88)</f>
        <v>9373280.3099996764</v>
      </c>
    </row>
    <row r="3799" spans="1:5" x14ac:dyDescent="0.25">
      <c r="A3799" s="2" t="s">
        <v>38</v>
      </c>
      <c r="B3799" s="6">
        <v>45525</v>
      </c>
      <c r="C3799" s="2" t="s">
        <v>53</v>
      </c>
      <c r="D3799" s="8">
        <v>-50</v>
      </c>
      <c r="E3799" s="8">
        <f>E3798+(0-50)</f>
        <v>9373230.3099996764</v>
      </c>
    </row>
    <row r="3800" spans="1:5" x14ac:dyDescent="0.25">
      <c r="A3800" s="2" t="s">
        <v>38</v>
      </c>
      <c r="B3800" s="6">
        <v>45525</v>
      </c>
      <c r="C3800" s="2" t="s">
        <v>53</v>
      </c>
      <c r="D3800" s="8">
        <v>-250</v>
      </c>
      <c r="E3800" s="8">
        <f>E3799+(0-250)</f>
        <v>9372980.3099996764</v>
      </c>
    </row>
    <row r="3801" spans="1:5" x14ac:dyDescent="0.25">
      <c r="A3801" s="2" t="s">
        <v>38</v>
      </c>
      <c r="B3801" s="6">
        <v>45525</v>
      </c>
      <c r="C3801" s="2" t="s">
        <v>53</v>
      </c>
      <c r="D3801" s="8">
        <v>-50</v>
      </c>
      <c r="E3801" s="8">
        <f>E3800+(0-50)</f>
        <v>9372930.3099996764</v>
      </c>
    </row>
    <row r="3802" spans="1:5" x14ac:dyDescent="0.25">
      <c r="A3802" s="2" t="s">
        <v>38</v>
      </c>
      <c r="B3802" s="6">
        <v>45526</v>
      </c>
      <c r="C3802" s="2" t="s">
        <v>19</v>
      </c>
      <c r="D3802" s="8">
        <v>-96</v>
      </c>
      <c r="E3802" s="8">
        <f>E3801+(0-96)</f>
        <v>9372834.3099996764</v>
      </c>
    </row>
    <row r="3803" spans="1:5" x14ac:dyDescent="0.25">
      <c r="A3803" s="2" t="s">
        <v>38</v>
      </c>
      <c r="B3803" s="6">
        <v>45526</v>
      </c>
      <c r="C3803" s="2" t="s">
        <v>19</v>
      </c>
      <c r="D3803" s="8">
        <v>-136</v>
      </c>
      <c r="E3803" s="8">
        <f>E3802+(0-136)</f>
        <v>9372698.3099996764</v>
      </c>
    </row>
    <row r="3804" spans="1:5" x14ac:dyDescent="0.25">
      <c r="A3804" s="2" t="s">
        <v>38</v>
      </c>
      <c r="B3804" s="6">
        <v>45526</v>
      </c>
      <c r="C3804" s="2" t="s">
        <v>53</v>
      </c>
      <c r="D3804" s="8">
        <v>-53.75</v>
      </c>
      <c r="E3804" s="8">
        <f>E3803+(0-53.75)</f>
        <v>9372644.5599996764</v>
      </c>
    </row>
    <row r="3805" spans="1:5" x14ac:dyDescent="0.25">
      <c r="A3805" s="2" t="s">
        <v>38</v>
      </c>
      <c r="B3805" s="6">
        <v>45526</v>
      </c>
      <c r="C3805" s="2" t="s">
        <v>19</v>
      </c>
      <c r="D3805" s="8">
        <v>-376</v>
      </c>
      <c r="E3805" s="8">
        <f>E3804+(0-376)</f>
        <v>9372268.5599996764</v>
      </c>
    </row>
    <row r="3806" spans="1:5" x14ac:dyDescent="0.25">
      <c r="A3806" s="2" t="s">
        <v>38</v>
      </c>
      <c r="B3806" s="6">
        <v>45526</v>
      </c>
      <c r="C3806" s="2" t="s">
        <v>53</v>
      </c>
      <c r="D3806" s="8">
        <v>-250</v>
      </c>
      <c r="E3806" s="8">
        <f>E3805+(0-250)</f>
        <v>9372018.5599996764</v>
      </c>
    </row>
    <row r="3807" spans="1:5" x14ac:dyDescent="0.25">
      <c r="A3807" s="2" t="s">
        <v>38</v>
      </c>
      <c r="B3807" s="6">
        <v>45526</v>
      </c>
      <c r="C3807" s="2" t="s">
        <v>53</v>
      </c>
      <c r="D3807" s="8">
        <v>-50</v>
      </c>
      <c r="E3807" s="8">
        <f>E3806+(0-50)</f>
        <v>9371968.5599996764</v>
      </c>
    </row>
    <row r="3808" spans="1:5" x14ac:dyDescent="0.25">
      <c r="A3808" s="2" t="s">
        <v>38</v>
      </c>
      <c r="B3808" s="6">
        <v>45527</v>
      </c>
      <c r="C3808" s="2" t="s">
        <v>53</v>
      </c>
      <c r="D3808" s="8">
        <v>-53.75</v>
      </c>
      <c r="E3808" s="8">
        <f>E3807+(0-53.75)</f>
        <v>9371914.8099996764</v>
      </c>
    </row>
    <row r="3809" spans="1:5" x14ac:dyDescent="0.25">
      <c r="A3809" s="2" t="s">
        <v>38</v>
      </c>
      <c r="B3809" s="6">
        <v>45527</v>
      </c>
      <c r="C3809" s="2" t="s">
        <v>53</v>
      </c>
      <c r="D3809" s="8">
        <v>-26.88</v>
      </c>
      <c r="E3809" s="8">
        <f>E3808+(0-26.88)</f>
        <v>9371887.9299996756</v>
      </c>
    </row>
    <row r="3810" spans="1:5" x14ac:dyDescent="0.25">
      <c r="A3810" s="2" t="s">
        <v>38</v>
      </c>
      <c r="B3810" s="6">
        <v>45527</v>
      </c>
      <c r="C3810" s="2" t="s">
        <v>53</v>
      </c>
      <c r="D3810" s="8">
        <v>-550</v>
      </c>
      <c r="E3810" s="8">
        <f>E3809+(0-550)</f>
        <v>9371337.9299996756</v>
      </c>
    </row>
    <row r="3811" spans="1:5" x14ac:dyDescent="0.25">
      <c r="A3811" s="2" t="s">
        <v>38</v>
      </c>
      <c r="B3811" s="6">
        <v>45530</v>
      </c>
      <c r="C3811" s="2" t="s">
        <v>53</v>
      </c>
      <c r="D3811" s="8">
        <v>-26.88</v>
      </c>
      <c r="E3811" s="8">
        <f>E3810+(0-26.88)</f>
        <v>9371311.0499996748</v>
      </c>
    </row>
    <row r="3812" spans="1:5" x14ac:dyDescent="0.25">
      <c r="A3812" s="2" t="s">
        <v>38</v>
      </c>
      <c r="B3812" s="6">
        <v>45530</v>
      </c>
      <c r="C3812" s="2" t="s">
        <v>19</v>
      </c>
      <c r="D3812" s="8">
        <v>-80</v>
      </c>
      <c r="E3812" s="8">
        <f>E3811+(0-80)</f>
        <v>9371231.0499996748</v>
      </c>
    </row>
    <row r="3813" spans="1:5" x14ac:dyDescent="0.25">
      <c r="A3813" s="2" t="s">
        <v>38</v>
      </c>
      <c r="B3813" s="6">
        <v>45530</v>
      </c>
      <c r="C3813" s="2" t="s">
        <v>53</v>
      </c>
      <c r="D3813" s="8">
        <v>-56</v>
      </c>
      <c r="E3813" s="8">
        <f>E3812+(0-56)</f>
        <v>9371175.0499996748</v>
      </c>
    </row>
    <row r="3814" spans="1:5" x14ac:dyDescent="0.25">
      <c r="A3814" s="2" t="s">
        <v>38</v>
      </c>
      <c r="B3814" s="6">
        <v>45530</v>
      </c>
      <c r="C3814" s="2" t="s">
        <v>19</v>
      </c>
      <c r="D3814" s="8">
        <v>-136</v>
      </c>
      <c r="E3814" s="8">
        <f>E3813+(0-136)</f>
        <v>9371039.0499996748</v>
      </c>
    </row>
    <row r="3815" spans="1:5" x14ac:dyDescent="0.25">
      <c r="A3815" s="2" t="s">
        <v>38</v>
      </c>
      <c r="B3815" s="6">
        <v>45530</v>
      </c>
      <c r="C3815" s="2" t="s">
        <v>19</v>
      </c>
      <c r="D3815" s="8">
        <v>-24</v>
      </c>
      <c r="E3815" s="8">
        <f>E3814+(0-24)</f>
        <v>9371015.0499996748</v>
      </c>
    </row>
    <row r="3816" spans="1:5" x14ac:dyDescent="0.25">
      <c r="A3816" s="2" t="s">
        <v>38</v>
      </c>
      <c r="B3816" s="6">
        <v>45530</v>
      </c>
      <c r="C3816" s="2" t="s">
        <v>53</v>
      </c>
      <c r="D3816" s="8">
        <v>-26.88</v>
      </c>
      <c r="E3816" s="8">
        <f>E3815+(0-26.88)</f>
        <v>9370988.169999674</v>
      </c>
    </row>
    <row r="3817" spans="1:5" x14ac:dyDescent="0.25">
      <c r="A3817" s="2" t="s">
        <v>38</v>
      </c>
      <c r="B3817" s="6">
        <v>45530</v>
      </c>
      <c r="C3817" s="2" t="s">
        <v>53</v>
      </c>
      <c r="D3817" s="8">
        <v>-50</v>
      </c>
      <c r="E3817" s="8">
        <f>E3816+(0-50)</f>
        <v>9370938.169999674</v>
      </c>
    </row>
    <row r="3818" spans="1:5" x14ac:dyDescent="0.25">
      <c r="A3818" s="2" t="s">
        <v>38</v>
      </c>
      <c r="B3818" s="6">
        <v>45530</v>
      </c>
      <c r="C3818" s="2" t="s">
        <v>53</v>
      </c>
      <c r="D3818" s="8">
        <v>-50</v>
      </c>
      <c r="E3818" s="8">
        <f>E3817+(0-50)</f>
        <v>9370888.169999674</v>
      </c>
    </row>
    <row r="3819" spans="1:5" x14ac:dyDescent="0.25">
      <c r="A3819" s="2" t="s">
        <v>38</v>
      </c>
      <c r="B3819" s="6">
        <v>45530</v>
      </c>
      <c r="C3819" s="2" t="s">
        <v>53</v>
      </c>
      <c r="D3819" s="8">
        <v>-50</v>
      </c>
      <c r="E3819" s="8">
        <f>E3818+(0-50)</f>
        <v>9370838.169999674</v>
      </c>
    </row>
    <row r="3820" spans="1:5" x14ac:dyDescent="0.25">
      <c r="A3820" s="2" t="s">
        <v>38</v>
      </c>
      <c r="B3820" s="6">
        <v>45530</v>
      </c>
      <c r="C3820" s="2" t="s">
        <v>53</v>
      </c>
      <c r="D3820" s="8">
        <v>-50</v>
      </c>
      <c r="E3820" s="8">
        <f>E3819+(0-50)</f>
        <v>9370788.169999674</v>
      </c>
    </row>
    <row r="3821" spans="1:5" x14ac:dyDescent="0.25">
      <c r="A3821" s="2" t="s">
        <v>38</v>
      </c>
      <c r="B3821" s="6">
        <v>45530</v>
      </c>
      <c r="C3821" s="2" t="s">
        <v>53</v>
      </c>
      <c r="D3821" s="8">
        <v>-750</v>
      </c>
      <c r="E3821" s="8">
        <f>E3820+(0-750)</f>
        <v>9370038.169999674</v>
      </c>
    </row>
    <row r="3822" spans="1:5" x14ac:dyDescent="0.25">
      <c r="A3822" s="2" t="s">
        <v>38</v>
      </c>
      <c r="B3822" s="6">
        <v>45531</v>
      </c>
      <c r="C3822" s="2" t="s">
        <v>53</v>
      </c>
      <c r="D3822" s="8">
        <v>-53.75</v>
      </c>
      <c r="E3822" s="8">
        <f>E3821+(0-53.75)</f>
        <v>9369984.419999674</v>
      </c>
    </row>
    <row r="3823" spans="1:5" x14ac:dyDescent="0.25">
      <c r="A3823" s="2" t="s">
        <v>38</v>
      </c>
      <c r="B3823" s="6">
        <v>45531</v>
      </c>
      <c r="C3823" s="2" t="s">
        <v>53</v>
      </c>
      <c r="D3823" s="8">
        <v>-26.88</v>
      </c>
      <c r="E3823" s="8">
        <f>E3822+(0-26.88)</f>
        <v>9369957.5399996731</v>
      </c>
    </row>
    <row r="3824" spans="1:5" x14ac:dyDescent="0.25">
      <c r="A3824" s="2" t="s">
        <v>38</v>
      </c>
      <c r="B3824" s="6">
        <v>45531</v>
      </c>
      <c r="C3824" s="2" t="s">
        <v>53</v>
      </c>
      <c r="D3824" s="8">
        <v>-53.75</v>
      </c>
      <c r="E3824" s="8">
        <f>E3823+(0-53.75)</f>
        <v>9369903.7899996731</v>
      </c>
    </row>
    <row r="3825" spans="1:5" x14ac:dyDescent="0.25">
      <c r="A3825" s="2" t="s">
        <v>38</v>
      </c>
      <c r="B3825" s="6">
        <v>45531</v>
      </c>
      <c r="C3825" s="2" t="s">
        <v>53</v>
      </c>
      <c r="D3825" s="8">
        <v>-53.75</v>
      </c>
      <c r="E3825" s="8">
        <f>E3824+(0-53.75)</f>
        <v>9369850.0399996731</v>
      </c>
    </row>
    <row r="3826" spans="1:5" x14ac:dyDescent="0.25">
      <c r="A3826" s="2" t="s">
        <v>38</v>
      </c>
      <c r="B3826" s="6">
        <v>45531</v>
      </c>
      <c r="C3826" s="2" t="s">
        <v>53</v>
      </c>
      <c r="D3826" s="8">
        <v>-26.88</v>
      </c>
      <c r="E3826" s="8">
        <f>E3825+(0-26.88)</f>
        <v>9369823.1599996723</v>
      </c>
    </row>
    <row r="3827" spans="1:5" x14ac:dyDescent="0.25">
      <c r="A3827" s="2" t="s">
        <v>38</v>
      </c>
      <c r="B3827" s="6">
        <v>45531</v>
      </c>
      <c r="C3827" s="2" t="s">
        <v>53</v>
      </c>
      <c r="D3827" s="8">
        <v>-26.88</v>
      </c>
      <c r="E3827" s="8">
        <f>E3826+(0-26.88)</f>
        <v>9369796.2799996715</v>
      </c>
    </row>
    <row r="3828" spans="1:5" x14ac:dyDescent="0.25">
      <c r="A3828" s="2" t="s">
        <v>38</v>
      </c>
      <c r="B3828" s="6">
        <v>45531</v>
      </c>
      <c r="C3828" s="2" t="s">
        <v>53</v>
      </c>
      <c r="D3828" s="8">
        <v>-53.75</v>
      </c>
      <c r="E3828" s="8">
        <f>E3827+(0-53.75)</f>
        <v>9369742.5299996715</v>
      </c>
    </row>
    <row r="3829" spans="1:5" x14ac:dyDescent="0.25">
      <c r="A3829" s="2" t="s">
        <v>38</v>
      </c>
      <c r="B3829" s="6">
        <v>45531</v>
      </c>
      <c r="C3829" s="2" t="s">
        <v>53</v>
      </c>
      <c r="D3829" s="8">
        <v>-600</v>
      </c>
      <c r="E3829" s="8">
        <f>E3828+(0-600)</f>
        <v>9369142.5299996715</v>
      </c>
    </row>
    <row r="3830" spans="1:5" x14ac:dyDescent="0.25">
      <c r="A3830" s="2" t="s">
        <v>38</v>
      </c>
      <c r="B3830" s="6">
        <v>45532</v>
      </c>
      <c r="C3830" s="2" t="s">
        <v>53</v>
      </c>
      <c r="D3830" s="8">
        <v>-53.75</v>
      </c>
      <c r="E3830" s="8">
        <f>E3829+(0-53.75)</f>
        <v>9369088.7799996715</v>
      </c>
    </row>
    <row r="3831" spans="1:5" x14ac:dyDescent="0.25">
      <c r="A3831" s="2" t="s">
        <v>38</v>
      </c>
      <c r="B3831" s="6">
        <v>45532</v>
      </c>
      <c r="C3831" s="2" t="s">
        <v>53</v>
      </c>
      <c r="D3831" s="8">
        <v>-50</v>
      </c>
      <c r="E3831" s="8">
        <f>E3830+(0-50)</f>
        <v>9369038.7799996715</v>
      </c>
    </row>
    <row r="3832" spans="1:5" x14ac:dyDescent="0.25">
      <c r="A3832" s="2" t="s">
        <v>38</v>
      </c>
      <c r="B3832" s="6">
        <v>45532</v>
      </c>
      <c r="C3832" s="2" t="s">
        <v>53</v>
      </c>
      <c r="D3832" s="8">
        <v>-50</v>
      </c>
      <c r="E3832" s="8">
        <f>E3831+(0-50)</f>
        <v>9368988.7799996715</v>
      </c>
    </row>
    <row r="3833" spans="1:5" x14ac:dyDescent="0.25">
      <c r="A3833" s="2" t="s">
        <v>38</v>
      </c>
      <c r="B3833" s="6">
        <v>45532</v>
      </c>
      <c r="C3833" s="2" t="s">
        <v>53</v>
      </c>
      <c r="D3833" s="8">
        <v>-50</v>
      </c>
      <c r="E3833" s="8">
        <f>E3832+(0-50)</f>
        <v>9368938.7799996715</v>
      </c>
    </row>
    <row r="3834" spans="1:5" x14ac:dyDescent="0.25">
      <c r="A3834" s="2" t="s">
        <v>38</v>
      </c>
      <c r="B3834" s="6">
        <v>45532</v>
      </c>
      <c r="C3834" s="2" t="s">
        <v>53</v>
      </c>
      <c r="D3834" s="8">
        <v>-250</v>
      </c>
      <c r="E3834" s="8">
        <f>E3833+(0-250)</f>
        <v>9368688.7799996715</v>
      </c>
    </row>
    <row r="3835" spans="1:5" x14ac:dyDescent="0.25">
      <c r="A3835" s="2" t="s">
        <v>38</v>
      </c>
      <c r="B3835" s="6">
        <v>45533</v>
      </c>
      <c r="C3835" s="2" t="s">
        <v>19</v>
      </c>
      <c r="D3835" s="8">
        <v>-168</v>
      </c>
      <c r="E3835" s="8">
        <f>E3834+(0-168)</f>
        <v>9368520.7799996715</v>
      </c>
    </row>
    <row r="3836" spans="1:5" x14ac:dyDescent="0.25">
      <c r="A3836" s="2" t="s">
        <v>38</v>
      </c>
      <c r="B3836" s="6">
        <v>45533</v>
      </c>
      <c r="C3836" s="2" t="s">
        <v>19</v>
      </c>
      <c r="D3836" s="8">
        <v>-296</v>
      </c>
      <c r="E3836" s="8">
        <f>E3835+(0-296)</f>
        <v>9368224.7799996715</v>
      </c>
    </row>
    <row r="3837" spans="1:5" x14ac:dyDescent="0.25">
      <c r="A3837" s="2" t="s">
        <v>38</v>
      </c>
      <c r="B3837" s="6">
        <v>45533</v>
      </c>
      <c r="C3837" s="2" t="s">
        <v>53</v>
      </c>
      <c r="D3837" s="8">
        <v>-53.75</v>
      </c>
      <c r="E3837" s="8">
        <f>E3836+(0-53.75)</f>
        <v>9368171.0299996715</v>
      </c>
    </row>
    <row r="3838" spans="1:5" x14ac:dyDescent="0.25">
      <c r="A3838" s="2" t="s">
        <v>38</v>
      </c>
      <c r="B3838" s="6">
        <v>45533</v>
      </c>
      <c r="C3838" s="2" t="s">
        <v>53</v>
      </c>
      <c r="D3838" s="8">
        <v>-53.75</v>
      </c>
      <c r="E3838" s="8">
        <f>E3837+(0-53.75)</f>
        <v>9368117.2799996715</v>
      </c>
    </row>
    <row r="3839" spans="1:5" x14ac:dyDescent="0.25">
      <c r="A3839" s="2" t="s">
        <v>38</v>
      </c>
      <c r="B3839" s="6">
        <v>45533</v>
      </c>
      <c r="C3839" s="2" t="s">
        <v>53</v>
      </c>
      <c r="D3839" s="8">
        <v>-100</v>
      </c>
      <c r="E3839" s="8">
        <f>E3838+(0-100)</f>
        <v>9368017.2799996715</v>
      </c>
    </row>
    <row r="3840" spans="1:5" x14ac:dyDescent="0.25">
      <c r="A3840" s="2" t="s">
        <v>38</v>
      </c>
      <c r="B3840" s="6">
        <v>45533</v>
      </c>
      <c r="C3840" s="2" t="s">
        <v>53</v>
      </c>
      <c r="D3840" s="8">
        <v>-550</v>
      </c>
      <c r="E3840" s="8">
        <f>E3839+(0-550)</f>
        <v>9367467.2799996715</v>
      </c>
    </row>
    <row r="3841" spans="1:5" x14ac:dyDescent="0.25">
      <c r="A3841" s="2" t="s">
        <v>38</v>
      </c>
      <c r="B3841" s="6">
        <v>45534</v>
      </c>
      <c r="C3841" s="2" t="s">
        <v>53</v>
      </c>
      <c r="D3841" s="8">
        <v>-150</v>
      </c>
      <c r="E3841" s="8">
        <f>E3840+(0-150)</f>
        <v>9367317.2799996715</v>
      </c>
    </row>
    <row r="3842" spans="1:5" x14ac:dyDescent="0.25">
      <c r="A3842" s="2" t="s">
        <v>38</v>
      </c>
      <c r="B3842" s="6">
        <v>45534</v>
      </c>
      <c r="C3842" s="2" t="s">
        <v>53</v>
      </c>
      <c r="D3842" s="8">
        <v>-250</v>
      </c>
      <c r="E3842" s="8">
        <f>E3841+(0-250)</f>
        <v>9367067.2799996715</v>
      </c>
    </row>
    <row r="3843" spans="1:5" x14ac:dyDescent="0.25">
      <c r="A3843" s="2" t="s">
        <v>38</v>
      </c>
      <c r="B3843" s="6">
        <v>45537</v>
      </c>
      <c r="C3843" s="2" t="s">
        <v>53</v>
      </c>
      <c r="D3843" s="8">
        <v>-53.75</v>
      </c>
      <c r="E3843" s="8">
        <f>E3842+(0-53.75)</f>
        <v>9367013.5299996715</v>
      </c>
    </row>
    <row r="3844" spans="1:5" x14ac:dyDescent="0.25">
      <c r="A3844" s="2" t="s">
        <v>38</v>
      </c>
      <c r="B3844" s="6">
        <v>45537</v>
      </c>
      <c r="C3844" s="2" t="s">
        <v>53</v>
      </c>
      <c r="D3844" s="8">
        <v>-26.88</v>
      </c>
      <c r="E3844" s="8">
        <f>E3843+(0-26.88)</f>
        <v>9366986.6499996707</v>
      </c>
    </row>
    <row r="3845" spans="1:5" x14ac:dyDescent="0.25">
      <c r="A3845" s="2" t="s">
        <v>38</v>
      </c>
      <c r="B3845" s="6">
        <v>45537</v>
      </c>
      <c r="C3845" s="2" t="s">
        <v>53</v>
      </c>
      <c r="D3845" s="8">
        <v>-550</v>
      </c>
      <c r="E3845" s="8">
        <f>E3844+(0-550)</f>
        <v>9366436.6499996707</v>
      </c>
    </row>
    <row r="3846" spans="1:5" x14ac:dyDescent="0.25">
      <c r="A3846" s="2" t="s">
        <v>38</v>
      </c>
      <c r="B3846" s="6">
        <v>45538</v>
      </c>
      <c r="C3846" s="2" t="s">
        <v>53</v>
      </c>
      <c r="D3846" s="8">
        <v>-500</v>
      </c>
      <c r="E3846" s="8">
        <f>E3845+(0-500)</f>
        <v>9365936.6499996707</v>
      </c>
    </row>
    <row r="3847" spans="1:5" x14ac:dyDescent="0.25">
      <c r="A3847" s="2" t="s">
        <v>38</v>
      </c>
      <c r="B3847" s="6">
        <v>45539</v>
      </c>
      <c r="C3847" s="2" t="s">
        <v>53</v>
      </c>
      <c r="D3847" s="8">
        <v>-50</v>
      </c>
      <c r="E3847" s="8">
        <f>E3846+(0-50)</f>
        <v>9365886.6499996707</v>
      </c>
    </row>
    <row r="3848" spans="1:5" x14ac:dyDescent="0.25">
      <c r="A3848" s="2" t="s">
        <v>38</v>
      </c>
      <c r="B3848" s="6">
        <v>45539</v>
      </c>
      <c r="C3848" s="2" t="s">
        <v>53</v>
      </c>
      <c r="D3848" s="8">
        <v>-50</v>
      </c>
      <c r="E3848" s="8">
        <f>E3847+(0-50)</f>
        <v>9365836.6499996707</v>
      </c>
    </row>
    <row r="3849" spans="1:5" x14ac:dyDescent="0.25">
      <c r="A3849" s="2" t="s">
        <v>38</v>
      </c>
      <c r="B3849" s="6">
        <v>45540</v>
      </c>
      <c r="C3849" s="2" t="s">
        <v>53</v>
      </c>
      <c r="D3849" s="8">
        <v>-53.75</v>
      </c>
      <c r="E3849" s="8">
        <f>E3848+(0-53.75)</f>
        <v>9365782.8999996707</v>
      </c>
    </row>
    <row r="3850" spans="1:5" x14ac:dyDescent="0.25">
      <c r="A3850" s="2" t="s">
        <v>38</v>
      </c>
      <c r="B3850" s="6">
        <v>45540</v>
      </c>
      <c r="C3850" s="2" t="s">
        <v>53</v>
      </c>
      <c r="D3850" s="8">
        <v>-550</v>
      </c>
      <c r="E3850" s="8">
        <f>E3849+(0-550)</f>
        <v>9365232.8999996707</v>
      </c>
    </row>
    <row r="3851" spans="1:5" x14ac:dyDescent="0.25">
      <c r="A3851" s="2" t="s">
        <v>38</v>
      </c>
      <c r="B3851" s="6">
        <v>45540</v>
      </c>
      <c r="C3851" s="2" t="s">
        <v>53</v>
      </c>
      <c r="D3851" s="8">
        <v>-300</v>
      </c>
      <c r="E3851" s="8">
        <f>E3850+(0-300)</f>
        <v>9364932.8999996707</v>
      </c>
    </row>
    <row r="3852" spans="1:5" x14ac:dyDescent="0.25">
      <c r="A3852" s="2" t="s">
        <v>38</v>
      </c>
      <c r="B3852" s="6">
        <v>45541</v>
      </c>
      <c r="C3852" s="2" t="s">
        <v>53</v>
      </c>
      <c r="D3852" s="8">
        <v>-53.75</v>
      </c>
      <c r="E3852" s="8">
        <f>E3851+(0-53.75)</f>
        <v>9364879.1499996707</v>
      </c>
    </row>
    <row r="3853" spans="1:5" x14ac:dyDescent="0.25">
      <c r="A3853" s="2" t="s">
        <v>38</v>
      </c>
      <c r="B3853" s="6">
        <v>45541</v>
      </c>
      <c r="C3853" s="2" t="s">
        <v>53</v>
      </c>
      <c r="D3853" s="8">
        <v>-26.88</v>
      </c>
      <c r="E3853" s="8">
        <f>E3852+(0-26.88)</f>
        <v>9364852.2699996699</v>
      </c>
    </row>
    <row r="3854" spans="1:5" x14ac:dyDescent="0.25">
      <c r="A3854" s="2" t="s">
        <v>38</v>
      </c>
      <c r="B3854" s="6">
        <v>45541</v>
      </c>
      <c r="C3854" s="2" t="s">
        <v>53</v>
      </c>
      <c r="D3854" s="8">
        <v>-700</v>
      </c>
      <c r="E3854" s="8">
        <f>E3853+(0-700)</f>
        <v>9364152.2699996699</v>
      </c>
    </row>
    <row r="3855" spans="1:5" x14ac:dyDescent="0.25">
      <c r="A3855" s="2" t="s">
        <v>38</v>
      </c>
      <c r="B3855" s="6">
        <v>45544</v>
      </c>
      <c r="C3855" s="2" t="s">
        <v>53</v>
      </c>
      <c r="D3855" s="8">
        <v>-26.88</v>
      </c>
      <c r="E3855" s="8">
        <f>E3854+(0-26.88)</f>
        <v>9364125.389999669</v>
      </c>
    </row>
    <row r="3856" spans="1:5" x14ac:dyDescent="0.25">
      <c r="A3856" s="2" t="s">
        <v>38</v>
      </c>
      <c r="B3856" s="6">
        <v>45544</v>
      </c>
      <c r="C3856" s="2" t="s">
        <v>53</v>
      </c>
      <c r="D3856" s="8">
        <v>-650</v>
      </c>
      <c r="E3856" s="8">
        <f>E3855+(0-650)</f>
        <v>9363475.389999669</v>
      </c>
    </row>
    <row r="3857" spans="1:5" x14ac:dyDescent="0.25">
      <c r="A3857" s="2" t="s">
        <v>38</v>
      </c>
      <c r="B3857" s="6">
        <v>45545</v>
      </c>
      <c r="C3857" s="2" t="s">
        <v>19</v>
      </c>
      <c r="D3857" s="8">
        <v>-104</v>
      </c>
      <c r="E3857" s="8">
        <f>E3856+(0-104)</f>
        <v>9363371.389999669</v>
      </c>
    </row>
    <row r="3858" spans="1:5" x14ac:dyDescent="0.25">
      <c r="A3858" s="2" t="s">
        <v>38</v>
      </c>
      <c r="B3858" s="6">
        <v>45545</v>
      </c>
      <c r="C3858" s="2" t="s">
        <v>19</v>
      </c>
      <c r="D3858" s="8">
        <v>-160</v>
      </c>
      <c r="E3858" s="8">
        <f>E3857+(0-160)</f>
        <v>9363211.389999669</v>
      </c>
    </row>
    <row r="3859" spans="1:5" x14ac:dyDescent="0.25">
      <c r="A3859" s="2" t="s">
        <v>38</v>
      </c>
      <c r="B3859" s="6">
        <v>45545</v>
      </c>
      <c r="C3859" s="2" t="s">
        <v>19</v>
      </c>
      <c r="D3859" s="8">
        <v>-56</v>
      </c>
      <c r="E3859" s="8">
        <f>E3858+(0-56)</f>
        <v>9363155.389999669</v>
      </c>
    </row>
    <row r="3860" spans="1:5" x14ac:dyDescent="0.25">
      <c r="A3860" s="2" t="s">
        <v>38</v>
      </c>
      <c r="B3860" s="6">
        <v>45545</v>
      </c>
      <c r="C3860" s="2" t="s">
        <v>53</v>
      </c>
      <c r="D3860" s="8">
        <v>-53.75</v>
      </c>
      <c r="E3860" s="8">
        <f>E3859+(0-53.75)</f>
        <v>9363101.639999669</v>
      </c>
    </row>
    <row r="3861" spans="1:5" x14ac:dyDescent="0.25">
      <c r="A3861" s="2" t="s">
        <v>38</v>
      </c>
      <c r="B3861" s="6">
        <v>45545</v>
      </c>
      <c r="C3861" s="2" t="s">
        <v>19</v>
      </c>
      <c r="D3861" s="8">
        <v>-24</v>
      </c>
      <c r="E3861" s="8">
        <f>E3860+(0-24)</f>
        <v>9363077.639999669</v>
      </c>
    </row>
    <row r="3862" spans="1:5" x14ac:dyDescent="0.25">
      <c r="A3862" s="2" t="s">
        <v>38</v>
      </c>
      <c r="B3862" s="6">
        <v>45545</v>
      </c>
      <c r="C3862" s="2" t="s">
        <v>19</v>
      </c>
      <c r="D3862" s="8">
        <v>-24</v>
      </c>
      <c r="E3862" s="8">
        <f>E3861+(0-24)</f>
        <v>9363053.639999669</v>
      </c>
    </row>
    <row r="3863" spans="1:5" x14ac:dyDescent="0.25">
      <c r="A3863" s="2" t="s">
        <v>38</v>
      </c>
      <c r="B3863" s="6">
        <v>45545</v>
      </c>
      <c r="C3863" s="2" t="s">
        <v>53</v>
      </c>
      <c r="D3863" s="8">
        <v>-450</v>
      </c>
      <c r="E3863" s="8">
        <f>E3862+(0-450)</f>
        <v>9362603.639999669</v>
      </c>
    </row>
    <row r="3864" spans="1:5" x14ac:dyDescent="0.25">
      <c r="A3864" s="2" t="s">
        <v>38</v>
      </c>
      <c r="B3864" s="6">
        <v>45545</v>
      </c>
      <c r="C3864" s="2" t="s">
        <v>19</v>
      </c>
      <c r="D3864" s="8">
        <v>-96</v>
      </c>
      <c r="E3864" s="8">
        <f>E3863+(0-96)</f>
        <v>9362507.639999669</v>
      </c>
    </row>
    <row r="3865" spans="1:5" x14ac:dyDescent="0.25">
      <c r="A3865" s="2" t="s">
        <v>38</v>
      </c>
      <c r="B3865" s="6">
        <v>45546</v>
      </c>
      <c r="C3865" s="2" t="s">
        <v>19</v>
      </c>
      <c r="D3865" s="8">
        <v>-80</v>
      </c>
      <c r="E3865" s="8">
        <f>E3864+(0-80)</f>
        <v>9362427.639999669</v>
      </c>
    </row>
    <row r="3866" spans="1:5" x14ac:dyDescent="0.25">
      <c r="A3866" s="2" t="s">
        <v>38</v>
      </c>
      <c r="B3866" s="6">
        <v>45546</v>
      </c>
      <c r="C3866" s="2" t="s">
        <v>19</v>
      </c>
      <c r="D3866" s="8">
        <v>-136</v>
      </c>
      <c r="E3866" s="8">
        <f>E3865+(0-136)</f>
        <v>9362291.639999669</v>
      </c>
    </row>
    <row r="3867" spans="1:5" x14ac:dyDescent="0.25">
      <c r="A3867" s="2" t="s">
        <v>38</v>
      </c>
      <c r="B3867" s="6">
        <v>45546</v>
      </c>
      <c r="C3867" s="2" t="s">
        <v>19</v>
      </c>
      <c r="D3867" s="8">
        <v>-104</v>
      </c>
      <c r="E3867" s="8">
        <f>E3866+(0-104)</f>
        <v>9362187.639999669</v>
      </c>
    </row>
    <row r="3868" spans="1:5" x14ac:dyDescent="0.25">
      <c r="A3868" s="2" t="s">
        <v>38</v>
      </c>
      <c r="B3868" s="6">
        <v>45546</v>
      </c>
      <c r="C3868" s="2" t="s">
        <v>19</v>
      </c>
      <c r="D3868" s="8">
        <v>-144</v>
      </c>
      <c r="E3868" s="8">
        <f>E3867+(0-144)</f>
        <v>9362043.639999669</v>
      </c>
    </row>
    <row r="3869" spans="1:5" x14ac:dyDescent="0.25">
      <c r="A3869" s="2" t="s">
        <v>38</v>
      </c>
      <c r="B3869" s="6">
        <v>45546</v>
      </c>
      <c r="C3869" s="2" t="s">
        <v>53</v>
      </c>
      <c r="D3869" s="8">
        <v>-50</v>
      </c>
      <c r="E3869" s="8">
        <f>E3868+(0-50)</f>
        <v>9361993.639999669</v>
      </c>
    </row>
    <row r="3870" spans="1:5" x14ac:dyDescent="0.25">
      <c r="A3870" s="2" t="s">
        <v>38</v>
      </c>
      <c r="B3870" s="6">
        <v>45546</v>
      </c>
      <c r="C3870" s="2" t="s">
        <v>19</v>
      </c>
      <c r="D3870" s="8">
        <v>-48</v>
      </c>
      <c r="E3870" s="8">
        <f>E3869+(0-48)</f>
        <v>9361945.639999669</v>
      </c>
    </row>
    <row r="3871" spans="1:5" x14ac:dyDescent="0.25">
      <c r="A3871" s="2" t="s">
        <v>38</v>
      </c>
      <c r="B3871" s="6">
        <v>45546</v>
      </c>
      <c r="C3871" s="2" t="s">
        <v>53</v>
      </c>
      <c r="D3871" s="8">
        <v>-500</v>
      </c>
      <c r="E3871" s="8">
        <f>E3870+(0-500)</f>
        <v>9361445.639999669</v>
      </c>
    </row>
    <row r="3872" spans="1:5" x14ac:dyDescent="0.25">
      <c r="A3872" s="2" t="s">
        <v>38</v>
      </c>
      <c r="B3872" s="6">
        <v>45546</v>
      </c>
      <c r="C3872" s="2" t="s">
        <v>53</v>
      </c>
      <c r="D3872" s="8">
        <v>-50</v>
      </c>
      <c r="E3872" s="8">
        <f>E3871+(0-50)</f>
        <v>9361395.639999669</v>
      </c>
    </row>
    <row r="3873" spans="1:5" x14ac:dyDescent="0.25">
      <c r="A3873" s="2" t="s">
        <v>38</v>
      </c>
      <c r="B3873" s="6">
        <v>45547</v>
      </c>
      <c r="C3873" s="2" t="s">
        <v>19</v>
      </c>
      <c r="D3873" s="8">
        <v>-8</v>
      </c>
      <c r="E3873" s="8">
        <f>E3872+(0-8)</f>
        <v>9361387.639999669</v>
      </c>
    </row>
    <row r="3874" spans="1:5" x14ac:dyDescent="0.25">
      <c r="A3874" s="2" t="s">
        <v>38</v>
      </c>
      <c r="B3874" s="6">
        <v>45547</v>
      </c>
      <c r="C3874" s="2" t="s">
        <v>19</v>
      </c>
      <c r="D3874" s="8">
        <v>-96</v>
      </c>
      <c r="E3874" s="8">
        <f>E3873+(0-96)</f>
        <v>9361291.639999669</v>
      </c>
    </row>
    <row r="3875" spans="1:5" x14ac:dyDescent="0.25">
      <c r="A3875" s="2" t="s">
        <v>38</v>
      </c>
      <c r="B3875" s="6">
        <v>45547</v>
      </c>
      <c r="C3875" s="2" t="s">
        <v>19</v>
      </c>
      <c r="D3875" s="8">
        <v>-104</v>
      </c>
      <c r="E3875" s="8">
        <f>E3874+(0-104)</f>
        <v>9361187.639999669</v>
      </c>
    </row>
    <row r="3876" spans="1:5" x14ac:dyDescent="0.25">
      <c r="A3876" s="2" t="s">
        <v>38</v>
      </c>
      <c r="B3876" s="6">
        <v>45547</v>
      </c>
      <c r="C3876" s="2" t="s">
        <v>19</v>
      </c>
      <c r="D3876" s="8">
        <v>-96</v>
      </c>
      <c r="E3876" s="8">
        <f>E3875+(0-96)</f>
        <v>9361091.639999669</v>
      </c>
    </row>
    <row r="3877" spans="1:5" x14ac:dyDescent="0.25">
      <c r="A3877" s="2" t="s">
        <v>38</v>
      </c>
      <c r="B3877" s="6">
        <v>45547</v>
      </c>
      <c r="C3877" s="2" t="s">
        <v>53</v>
      </c>
      <c r="D3877" s="8">
        <v>-53.75</v>
      </c>
      <c r="E3877" s="8">
        <f>E3876+(0-53.75)</f>
        <v>9361037.889999669</v>
      </c>
    </row>
    <row r="3878" spans="1:5" x14ac:dyDescent="0.25">
      <c r="A3878" s="2" t="s">
        <v>38</v>
      </c>
      <c r="B3878" s="6">
        <v>45548</v>
      </c>
      <c r="C3878" s="2" t="s">
        <v>53</v>
      </c>
      <c r="D3878" s="8">
        <v>-300</v>
      </c>
      <c r="E3878" s="8">
        <f>E3877+(0-300)</f>
        <v>9360737.889999669</v>
      </c>
    </row>
    <row r="3879" spans="1:5" x14ac:dyDescent="0.25">
      <c r="A3879" s="2" t="s">
        <v>38</v>
      </c>
      <c r="B3879" s="6">
        <v>45548</v>
      </c>
      <c r="C3879" s="2" t="s">
        <v>53</v>
      </c>
      <c r="D3879" s="8">
        <v>-300</v>
      </c>
      <c r="E3879" s="8">
        <f>E3878+(0-300)</f>
        <v>9360437.889999669</v>
      </c>
    </row>
    <row r="3880" spans="1:5" x14ac:dyDescent="0.25">
      <c r="A3880" s="2" t="s">
        <v>38</v>
      </c>
      <c r="B3880" s="6">
        <v>45552</v>
      </c>
      <c r="C3880" s="2" t="s">
        <v>19</v>
      </c>
      <c r="D3880" s="8">
        <v>-96</v>
      </c>
      <c r="E3880" s="8">
        <f>E3879+(0-96)</f>
        <v>9360341.889999669</v>
      </c>
    </row>
    <row r="3881" spans="1:5" x14ac:dyDescent="0.25">
      <c r="A3881" s="2" t="s">
        <v>38</v>
      </c>
      <c r="B3881" s="6">
        <v>45552</v>
      </c>
      <c r="C3881" s="2" t="s">
        <v>19</v>
      </c>
      <c r="D3881" s="8">
        <v>-72</v>
      </c>
      <c r="E3881" s="8">
        <f>E3880+(0-72)</f>
        <v>9360269.889999669</v>
      </c>
    </row>
    <row r="3882" spans="1:5" x14ac:dyDescent="0.25">
      <c r="A3882" s="2" t="s">
        <v>38</v>
      </c>
      <c r="B3882" s="6">
        <v>45552</v>
      </c>
      <c r="C3882" s="2" t="s">
        <v>19</v>
      </c>
      <c r="D3882" s="8">
        <v>-40</v>
      </c>
      <c r="E3882" s="8">
        <f>E3881+(0-40)</f>
        <v>9360229.889999669</v>
      </c>
    </row>
    <row r="3883" spans="1:5" x14ac:dyDescent="0.25">
      <c r="A3883" s="2" t="s">
        <v>38</v>
      </c>
      <c r="B3883" s="6">
        <v>45552</v>
      </c>
      <c r="C3883" s="2" t="s">
        <v>53</v>
      </c>
      <c r="D3883" s="8">
        <v>-53.75</v>
      </c>
      <c r="E3883" s="8">
        <f>E3882+(0-53.75)</f>
        <v>9360176.139999669</v>
      </c>
    </row>
    <row r="3884" spans="1:5" x14ac:dyDescent="0.25">
      <c r="A3884" s="2" t="s">
        <v>38</v>
      </c>
      <c r="B3884" s="6">
        <v>45552</v>
      </c>
      <c r="C3884" s="2" t="s">
        <v>53</v>
      </c>
      <c r="D3884" s="8">
        <v>-53.75</v>
      </c>
      <c r="E3884" s="8">
        <f>E3883+(0-53.75)</f>
        <v>9360122.389999669</v>
      </c>
    </row>
    <row r="3885" spans="1:5" x14ac:dyDescent="0.25">
      <c r="A3885" s="2" t="s">
        <v>38</v>
      </c>
      <c r="B3885" s="6">
        <v>45552</v>
      </c>
      <c r="C3885" s="2" t="s">
        <v>53</v>
      </c>
      <c r="D3885" s="8">
        <v>-53.75</v>
      </c>
      <c r="E3885" s="8">
        <f>E3884+(0-53.75)</f>
        <v>9360068.639999669</v>
      </c>
    </row>
    <row r="3886" spans="1:5" x14ac:dyDescent="0.25">
      <c r="A3886" s="2" t="s">
        <v>38</v>
      </c>
      <c r="B3886" s="6">
        <v>45552</v>
      </c>
      <c r="C3886" s="2" t="s">
        <v>53</v>
      </c>
      <c r="D3886" s="8">
        <v>-1150</v>
      </c>
      <c r="E3886" s="8">
        <f>E3885+(0-1150)</f>
        <v>9358918.639999669</v>
      </c>
    </row>
    <row r="3887" spans="1:5" x14ac:dyDescent="0.25">
      <c r="A3887" s="2" t="s">
        <v>38</v>
      </c>
      <c r="B3887" s="6">
        <v>45552</v>
      </c>
      <c r="C3887" s="2" t="s">
        <v>53</v>
      </c>
      <c r="D3887" s="8">
        <v>-26.88</v>
      </c>
      <c r="E3887" s="8">
        <f>E3886+(0-26.88)</f>
        <v>9358891.7599996682</v>
      </c>
    </row>
    <row r="3888" spans="1:5" x14ac:dyDescent="0.25">
      <c r="A3888" s="2" t="s">
        <v>38</v>
      </c>
      <c r="B3888" s="6">
        <v>45553</v>
      </c>
      <c r="C3888" s="2" t="s">
        <v>53</v>
      </c>
      <c r="D3888" s="8">
        <v>-50</v>
      </c>
      <c r="E3888" s="8">
        <f>E3887+(0-50)</f>
        <v>9358841.7599996682</v>
      </c>
    </row>
    <row r="3889" spans="1:5" x14ac:dyDescent="0.25">
      <c r="A3889" s="2" t="s">
        <v>38</v>
      </c>
      <c r="B3889" s="6">
        <v>45553</v>
      </c>
      <c r="C3889" s="2" t="s">
        <v>53</v>
      </c>
      <c r="D3889" s="8">
        <v>-50</v>
      </c>
      <c r="E3889" s="8">
        <f>E3888+(0-50)</f>
        <v>9358791.7599996682</v>
      </c>
    </row>
    <row r="3890" spans="1:5" x14ac:dyDescent="0.25">
      <c r="A3890" s="2" t="s">
        <v>38</v>
      </c>
      <c r="B3890" s="6">
        <v>45553</v>
      </c>
      <c r="C3890" s="2" t="s">
        <v>53</v>
      </c>
      <c r="D3890" s="8">
        <v>-50</v>
      </c>
      <c r="E3890" s="8">
        <f>E3889+(0-50)</f>
        <v>9358741.7599996682</v>
      </c>
    </row>
    <row r="3891" spans="1:5" x14ac:dyDescent="0.25">
      <c r="A3891" s="2" t="s">
        <v>38</v>
      </c>
      <c r="B3891" s="6">
        <v>45553</v>
      </c>
      <c r="C3891" s="2" t="s">
        <v>53</v>
      </c>
      <c r="D3891" s="8">
        <v>-300</v>
      </c>
      <c r="E3891" s="8">
        <f>E3890+(0-300)</f>
        <v>9358441.7599996682</v>
      </c>
    </row>
    <row r="3892" spans="1:5" x14ac:dyDescent="0.25">
      <c r="A3892" s="2" t="s">
        <v>38</v>
      </c>
      <c r="B3892" s="6">
        <v>45553</v>
      </c>
      <c r="C3892" s="2" t="s">
        <v>53</v>
      </c>
      <c r="D3892" s="8">
        <v>-50</v>
      </c>
      <c r="E3892" s="8">
        <f>E3891+(0-50)</f>
        <v>9358391.7599996682</v>
      </c>
    </row>
    <row r="3893" spans="1:5" x14ac:dyDescent="0.25">
      <c r="A3893" s="2" t="s">
        <v>38</v>
      </c>
      <c r="B3893" s="6">
        <v>45554</v>
      </c>
      <c r="C3893" s="2" t="s">
        <v>53</v>
      </c>
      <c r="D3893" s="8">
        <v>-53.75</v>
      </c>
      <c r="E3893" s="8">
        <f>E3892+(0-53.75)</f>
        <v>9358338.0099996682</v>
      </c>
    </row>
    <row r="3894" spans="1:5" x14ac:dyDescent="0.25">
      <c r="A3894" s="2" t="s">
        <v>38</v>
      </c>
      <c r="B3894" s="6">
        <v>45554</v>
      </c>
      <c r="C3894" s="2" t="s">
        <v>19</v>
      </c>
      <c r="D3894" s="8">
        <v>-64</v>
      </c>
      <c r="E3894" s="8">
        <f>E3893+(0-64)</f>
        <v>9358274.0099996682</v>
      </c>
    </row>
    <row r="3895" spans="1:5" x14ac:dyDescent="0.25">
      <c r="A3895" s="2" t="s">
        <v>38</v>
      </c>
      <c r="B3895" s="6">
        <v>45554</v>
      </c>
      <c r="C3895" s="2" t="s">
        <v>53</v>
      </c>
      <c r="D3895" s="8">
        <v>-53.75</v>
      </c>
      <c r="E3895" s="8">
        <f>E3894+(0-53.75)</f>
        <v>9358220.2599996682</v>
      </c>
    </row>
    <row r="3896" spans="1:5" x14ac:dyDescent="0.25">
      <c r="A3896" s="2" t="s">
        <v>38</v>
      </c>
      <c r="B3896" s="6">
        <v>45554</v>
      </c>
      <c r="C3896" s="2" t="s">
        <v>53</v>
      </c>
      <c r="D3896" s="8">
        <v>-300</v>
      </c>
      <c r="E3896" s="8">
        <f>E3895+(0-300)</f>
        <v>9357920.2599996682</v>
      </c>
    </row>
    <row r="3897" spans="1:5" x14ac:dyDescent="0.25">
      <c r="A3897" s="2" t="s">
        <v>38</v>
      </c>
      <c r="B3897" s="6">
        <v>45555</v>
      </c>
      <c r="C3897" s="2" t="s">
        <v>19</v>
      </c>
      <c r="D3897" s="8">
        <v>-152</v>
      </c>
      <c r="E3897" s="8">
        <f>E3896+(0-152)</f>
        <v>9357768.2599996682</v>
      </c>
    </row>
    <row r="3898" spans="1:5" x14ac:dyDescent="0.25">
      <c r="A3898" s="2" t="s">
        <v>38</v>
      </c>
      <c r="B3898" s="6">
        <v>45555</v>
      </c>
      <c r="C3898" s="2" t="s">
        <v>53</v>
      </c>
      <c r="D3898" s="8">
        <v>-26.88</v>
      </c>
      <c r="E3898" s="8">
        <f>E3897+(0-26.88)</f>
        <v>9357741.3799996674</v>
      </c>
    </row>
    <row r="3899" spans="1:5" x14ac:dyDescent="0.25">
      <c r="A3899" s="2" t="s">
        <v>38</v>
      </c>
      <c r="B3899" s="6">
        <v>45555</v>
      </c>
      <c r="C3899" s="2" t="s">
        <v>19</v>
      </c>
      <c r="D3899" s="8">
        <v>-112</v>
      </c>
      <c r="E3899" s="8">
        <f>E3898+(0-112)</f>
        <v>9357629.3799996674</v>
      </c>
    </row>
    <row r="3900" spans="1:5" x14ac:dyDescent="0.25">
      <c r="A3900" s="2" t="s">
        <v>38</v>
      </c>
      <c r="B3900" s="6">
        <v>45555</v>
      </c>
      <c r="C3900" s="2" t="s">
        <v>19</v>
      </c>
      <c r="D3900" s="8">
        <v>-80</v>
      </c>
      <c r="E3900" s="8">
        <f>E3899+(0-80)</f>
        <v>9357549.3799996674</v>
      </c>
    </row>
    <row r="3901" spans="1:5" x14ac:dyDescent="0.25">
      <c r="A3901" s="2" t="s">
        <v>38</v>
      </c>
      <c r="B3901" s="6">
        <v>45555</v>
      </c>
      <c r="C3901" s="2" t="s">
        <v>53</v>
      </c>
      <c r="D3901" s="8">
        <v>-26.88</v>
      </c>
      <c r="E3901" s="8">
        <f>E3900+(0-26.88)</f>
        <v>9357522.4999996666</v>
      </c>
    </row>
    <row r="3902" spans="1:5" x14ac:dyDescent="0.25">
      <c r="A3902" s="2" t="s">
        <v>38</v>
      </c>
      <c r="B3902" s="6">
        <v>45555</v>
      </c>
      <c r="C3902" s="2" t="s">
        <v>53</v>
      </c>
      <c r="D3902" s="8">
        <v>-150</v>
      </c>
      <c r="E3902" s="8">
        <f>E3901+(0-150)</f>
        <v>9357372.4999996666</v>
      </c>
    </row>
    <row r="3903" spans="1:5" x14ac:dyDescent="0.25">
      <c r="A3903" s="2" t="s">
        <v>38</v>
      </c>
      <c r="B3903" s="6">
        <v>45558</v>
      </c>
      <c r="C3903" s="2" t="s">
        <v>19</v>
      </c>
      <c r="D3903" s="8">
        <v>-56</v>
      </c>
      <c r="E3903" s="8">
        <f>E3902+(0-56)</f>
        <v>9357316.4999996666</v>
      </c>
    </row>
    <row r="3904" spans="1:5" x14ac:dyDescent="0.25">
      <c r="A3904" s="2" t="s">
        <v>38</v>
      </c>
      <c r="B3904" s="6">
        <v>45558</v>
      </c>
      <c r="C3904" s="2" t="s">
        <v>19</v>
      </c>
      <c r="D3904" s="8">
        <v>-16</v>
      </c>
      <c r="E3904" s="8">
        <f>E3903+(0-16)</f>
        <v>9357300.4999996666</v>
      </c>
    </row>
    <row r="3905" spans="1:5" x14ac:dyDescent="0.25">
      <c r="A3905" s="2" t="s">
        <v>38</v>
      </c>
      <c r="B3905" s="6">
        <v>45558</v>
      </c>
      <c r="C3905" s="2" t="s">
        <v>53</v>
      </c>
      <c r="D3905" s="8">
        <v>-500</v>
      </c>
      <c r="E3905" s="8">
        <f>E3904+(0-500)</f>
        <v>9356800.4999996666</v>
      </c>
    </row>
    <row r="3906" spans="1:5" x14ac:dyDescent="0.25">
      <c r="A3906" s="2" t="s">
        <v>38</v>
      </c>
      <c r="B3906" s="6">
        <v>45559</v>
      </c>
      <c r="C3906" s="2" t="s">
        <v>53</v>
      </c>
      <c r="D3906" s="8">
        <v>-26.88</v>
      </c>
      <c r="E3906" s="8">
        <f>E3905+(0-26.88)</f>
        <v>9356773.6199996658</v>
      </c>
    </row>
    <row r="3907" spans="1:5" x14ac:dyDescent="0.25">
      <c r="A3907" s="2" t="s">
        <v>38</v>
      </c>
      <c r="B3907" s="6">
        <v>45559</v>
      </c>
      <c r="C3907" s="2" t="s">
        <v>53</v>
      </c>
      <c r="D3907" s="8">
        <v>-50</v>
      </c>
      <c r="E3907" s="8">
        <f>E3906+(0-50)</f>
        <v>9356723.6199996658</v>
      </c>
    </row>
    <row r="3908" spans="1:5" x14ac:dyDescent="0.25">
      <c r="A3908" s="2" t="s">
        <v>38</v>
      </c>
      <c r="B3908" s="6">
        <v>45559</v>
      </c>
      <c r="C3908" s="2" t="s">
        <v>53</v>
      </c>
      <c r="D3908" s="8">
        <v>-300</v>
      </c>
      <c r="E3908" s="8">
        <f>E3907+(0-300)</f>
        <v>9356423.6199996658</v>
      </c>
    </row>
    <row r="3909" spans="1:5" x14ac:dyDescent="0.25">
      <c r="A3909" s="2" t="s">
        <v>38</v>
      </c>
      <c r="B3909" s="6">
        <v>45560</v>
      </c>
      <c r="C3909" s="2" t="s">
        <v>19</v>
      </c>
      <c r="D3909" s="8">
        <v>-80</v>
      </c>
      <c r="E3909" s="8">
        <f>E3908+(0-80)</f>
        <v>9356343.6199996658</v>
      </c>
    </row>
    <row r="3910" spans="1:5" x14ac:dyDescent="0.25">
      <c r="A3910" s="2" t="s">
        <v>38</v>
      </c>
      <c r="B3910" s="6">
        <v>45560</v>
      </c>
      <c r="C3910" s="2" t="s">
        <v>19</v>
      </c>
      <c r="D3910" s="8">
        <v>-88</v>
      </c>
      <c r="E3910" s="8">
        <f>E3909+(0-88)</f>
        <v>9356255.6199996658</v>
      </c>
    </row>
    <row r="3911" spans="1:5" x14ac:dyDescent="0.25">
      <c r="A3911" s="2" t="s">
        <v>38</v>
      </c>
      <c r="B3911" s="6">
        <v>45560</v>
      </c>
      <c r="C3911" s="2" t="s">
        <v>53</v>
      </c>
      <c r="D3911" s="8">
        <v>-50</v>
      </c>
      <c r="E3911" s="8">
        <f>E3910+(0-50)</f>
        <v>9356205.6199996658</v>
      </c>
    </row>
    <row r="3912" spans="1:5" x14ac:dyDescent="0.25">
      <c r="A3912" s="2" t="s">
        <v>38</v>
      </c>
      <c r="B3912" s="6">
        <v>45560</v>
      </c>
      <c r="C3912" s="2" t="s">
        <v>53</v>
      </c>
      <c r="D3912" s="8">
        <v>-50</v>
      </c>
      <c r="E3912" s="8">
        <f>E3911+(0-50)</f>
        <v>9356155.6199996658</v>
      </c>
    </row>
    <row r="3913" spans="1:5" x14ac:dyDescent="0.25">
      <c r="A3913" s="2" t="s">
        <v>38</v>
      </c>
      <c r="B3913" s="6">
        <v>45560</v>
      </c>
      <c r="C3913" s="2" t="s">
        <v>53</v>
      </c>
      <c r="D3913" s="8">
        <v>-50</v>
      </c>
      <c r="E3913" s="8">
        <f>E3912+(0-50)</f>
        <v>9356105.6199996658</v>
      </c>
    </row>
    <row r="3914" spans="1:5" x14ac:dyDescent="0.25">
      <c r="A3914" s="2" t="s">
        <v>38</v>
      </c>
      <c r="B3914" s="6">
        <v>45560</v>
      </c>
      <c r="C3914" s="2" t="s">
        <v>53</v>
      </c>
      <c r="D3914" s="8">
        <v>-50</v>
      </c>
      <c r="E3914" s="8">
        <f>E3913+(0-50)</f>
        <v>9356055.6199996658</v>
      </c>
    </row>
    <row r="3915" spans="1:5" x14ac:dyDescent="0.25">
      <c r="A3915" s="2" t="s">
        <v>38</v>
      </c>
      <c r="B3915" s="6">
        <v>45561</v>
      </c>
      <c r="C3915" s="2" t="s">
        <v>53</v>
      </c>
      <c r="D3915" s="8">
        <v>-26.88</v>
      </c>
      <c r="E3915" s="8">
        <f>E3914+(0-26.88)</f>
        <v>9356028.7399996649</v>
      </c>
    </row>
    <row r="3916" spans="1:5" x14ac:dyDescent="0.25">
      <c r="A3916" s="2" t="s">
        <v>38</v>
      </c>
      <c r="B3916" s="6">
        <v>45561</v>
      </c>
      <c r="C3916" s="2" t="s">
        <v>53</v>
      </c>
      <c r="D3916" s="8">
        <v>-53.75</v>
      </c>
      <c r="E3916" s="8">
        <f>E3915+(0-53.75)</f>
        <v>9355974.9899996649</v>
      </c>
    </row>
    <row r="3917" spans="1:5" x14ac:dyDescent="0.25">
      <c r="A3917" s="2" t="s">
        <v>38</v>
      </c>
      <c r="B3917" s="6">
        <v>45561</v>
      </c>
      <c r="C3917" s="2" t="s">
        <v>53</v>
      </c>
      <c r="D3917" s="8">
        <v>-53.75</v>
      </c>
      <c r="E3917" s="8">
        <f>E3916+(0-53.75)</f>
        <v>9355921.2399996649</v>
      </c>
    </row>
    <row r="3918" spans="1:5" x14ac:dyDescent="0.25">
      <c r="A3918" s="2" t="s">
        <v>38</v>
      </c>
      <c r="B3918" s="6">
        <v>45561</v>
      </c>
      <c r="C3918" s="2" t="s">
        <v>53</v>
      </c>
      <c r="D3918" s="8">
        <v>-53.75</v>
      </c>
      <c r="E3918" s="8">
        <f>E3917+(0-53.75)</f>
        <v>9355867.4899996649</v>
      </c>
    </row>
    <row r="3919" spans="1:5" x14ac:dyDescent="0.25">
      <c r="A3919" s="2" t="s">
        <v>38</v>
      </c>
      <c r="B3919" s="6">
        <v>45561</v>
      </c>
      <c r="C3919" s="2" t="s">
        <v>53</v>
      </c>
      <c r="D3919" s="8">
        <v>-53.75</v>
      </c>
      <c r="E3919" s="8">
        <f>E3918+(0-53.75)</f>
        <v>9355813.7399996649</v>
      </c>
    </row>
    <row r="3920" spans="1:5" x14ac:dyDescent="0.25">
      <c r="A3920" s="2" t="s">
        <v>38</v>
      </c>
      <c r="B3920" s="6">
        <v>45561</v>
      </c>
      <c r="C3920" s="2" t="s">
        <v>53</v>
      </c>
      <c r="D3920" s="8">
        <v>-53.75</v>
      </c>
      <c r="E3920" s="8">
        <f>E3919+(0-53.75)</f>
        <v>9355759.9899996649</v>
      </c>
    </row>
    <row r="3921" spans="1:5" x14ac:dyDescent="0.25">
      <c r="A3921" s="2" t="s">
        <v>38</v>
      </c>
      <c r="B3921" s="6">
        <v>45562</v>
      </c>
      <c r="C3921" s="2" t="s">
        <v>53</v>
      </c>
      <c r="D3921" s="8">
        <v>-250</v>
      </c>
      <c r="E3921" s="8">
        <f>E3920+(0-250)</f>
        <v>9355509.9899996649</v>
      </c>
    </row>
    <row r="3922" spans="1:5" x14ac:dyDescent="0.25">
      <c r="A3922" s="2" t="s">
        <v>38</v>
      </c>
      <c r="B3922" s="6">
        <v>45562</v>
      </c>
      <c r="C3922" s="2" t="s">
        <v>53</v>
      </c>
      <c r="D3922" s="8">
        <v>-250</v>
      </c>
      <c r="E3922" s="8">
        <f>E3921+(0-250)</f>
        <v>9355259.9899996649</v>
      </c>
    </row>
    <row r="3923" spans="1:5" x14ac:dyDescent="0.25">
      <c r="A3923" s="2" t="s">
        <v>38</v>
      </c>
      <c r="B3923" s="6">
        <v>45562</v>
      </c>
      <c r="C3923" s="2" t="s">
        <v>53</v>
      </c>
      <c r="D3923" s="8">
        <v>-300</v>
      </c>
      <c r="E3923" s="8">
        <f>E3922+(0-300)</f>
        <v>9354959.9899996649</v>
      </c>
    </row>
    <row r="3924" spans="1:5" x14ac:dyDescent="0.25">
      <c r="A3924" s="2" t="s">
        <v>38</v>
      </c>
      <c r="B3924" s="6">
        <v>45562</v>
      </c>
      <c r="C3924" s="2" t="s">
        <v>53</v>
      </c>
      <c r="D3924" s="8">
        <v>-50</v>
      </c>
      <c r="E3924" s="8">
        <f>E3923+(0-50)</f>
        <v>9354909.9899996649</v>
      </c>
    </row>
    <row r="3925" spans="1:5" x14ac:dyDescent="0.25">
      <c r="A3925" s="2" t="s">
        <v>38</v>
      </c>
      <c r="B3925" s="6">
        <v>45565</v>
      </c>
      <c r="C3925" s="2" t="s">
        <v>19</v>
      </c>
      <c r="D3925" s="8">
        <v>-112</v>
      </c>
      <c r="E3925" s="8">
        <f>E3924+(0-112)</f>
        <v>9354797.9899996649</v>
      </c>
    </row>
    <row r="3926" spans="1:5" x14ac:dyDescent="0.25">
      <c r="A3926" s="2" t="s">
        <v>38</v>
      </c>
      <c r="B3926" s="6">
        <v>45565</v>
      </c>
      <c r="C3926" s="2" t="s">
        <v>53</v>
      </c>
      <c r="D3926" s="8">
        <v>-53.75</v>
      </c>
      <c r="E3926" s="8">
        <f>E3925+(0-53.75)</f>
        <v>9354744.2399996649</v>
      </c>
    </row>
    <row r="3927" spans="1:5" x14ac:dyDescent="0.25">
      <c r="A3927" s="2" t="s">
        <v>38</v>
      </c>
      <c r="B3927" s="6">
        <v>45565</v>
      </c>
      <c r="C3927" s="2" t="s">
        <v>53</v>
      </c>
      <c r="D3927" s="8">
        <v>-500</v>
      </c>
      <c r="E3927" s="8">
        <f>E3926+(0-500)</f>
        <v>9354244.2399996649</v>
      </c>
    </row>
    <row r="3928" spans="1:5" x14ac:dyDescent="0.25">
      <c r="A3928" s="2" t="s">
        <v>38</v>
      </c>
      <c r="B3928" s="6">
        <v>45565</v>
      </c>
      <c r="C3928" s="2" t="s">
        <v>53</v>
      </c>
      <c r="D3928" s="8">
        <v>-50</v>
      </c>
      <c r="E3928" s="8">
        <f>E3927+(0-50)</f>
        <v>9354194.2399996649</v>
      </c>
    </row>
    <row r="3929" spans="1:5" x14ac:dyDescent="0.25">
      <c r="A3929" s="2" t="s">
        <v>38</v>
      </c>
      <c r="B3929" s="6">
        <v>45565</v>
      </c>
      <c r="C3929" s="2" t="s">
        <v>19</v>
      </c>
      <c r="D3929" s="8">
        <v>-136</v>
      </c>
      <c r="E3929" s="8">
        <f>E3928+(0-136)</f>
        <v>9354058.2399996649</v>
      </c>
    </row>
    <row r="3930" spans="1:5" x14ac:dyDescent="0.25">
      <c r="A3930" s="2" t="s">
        <v>38</v>
      </c>
      <c r="B3930" s="6">
        <v>45565</v>
      </c>
      <c r="C3930" s="2" t="s">
        <v>216</v>
      </c>
      <c r="D3930" s="8">
        <v>-48</v>
      </c>
      <c r="E3930" s="8">
        <f>E3929+(0-48)</f>
        <v>9354010.2399996649</v>
      </c>
    </row>
    <row r="3931" spans="1:5" x14ac:dyDescent="0.25">
      <c r="A3931" s="2" t="s">
        <v>38</v>
      </c>
      <c r="B3931" s="6">
        <v>45567</v>
      </c>
      <c r="C3931" s="2" t="s">
        <v>19</v>
      </c>
      <c r="D3931" s="8">
        <v>-8</v>
      </c>
      <c r="E3931" s="8">
        <f>E3930+(0-8)</f>
        <v>9354002.2399996649</v>
      </c>
    </row>
    <row r="3932" spans="1:5" x14ac:dyDescent="0.25">
      <c r="A3932" s="2" t="s">
        <v>38</v>
      </c>
      <c r="B3932" s="6">
        <v>45567</v>
      </c>
      <c r="C3932" s="2" t="s">
        <v>53</v>
      </c>
      <c r="D3932" s="8">
        <v>-53.75</v>
      </c>
      <c r="E3932" s="8">
        <f>E3931+(0-53.75)</f>
        <v>9353948.4899996649</v>
      </c>
    </row>
    <row r="3933" spans="1:5" x14ac:dyDescent="0.25">
      <c r="A3933" s="2" t="s">
        <v>38</v>
      </c>
      <c r="B3933" s="6">
        <v>45567</v>
      </c>
      <c r="C3933" s="2" t="s">
        <v>53</v>
      </c>
      <c r="D3933" s="8">
        <v>-53.75</v>
      </c>
      <c r="E3933" s="8">
        <f>E3932+(0-53.75)</f>
        <v>9353894.7399996649</v>
      </c>
    </row>
    <row r="3934" spans="1:5" x14ac:dyDescent="0.25">
      <c r="A3934" s="2" t="s">
        <v>38</v>
      </c>
      <c r="B3934" s="6">
        <v>45567</v>
      </c>
      <c r="C3934" s="2" t="s">
        <v>53</v>
      </c>
      <c r="D3934" s="8">
        <v>-450</v>
      </c>
      <c r="E3934" s="8">
        <f>E3933+(0-450)</f>
        <v>9353444.7399996649</v>
      </c>
    </row>
    <row r="3935" spans="1:5" x14ac:dyDescent="0.25">
      <c r="A3935" s="2" t="s">
        <v>38</v>
      </c>
      <c r="B3935" s="6">
        <v>45567</v>
      </c>
      <c r="C3935" s="2" t="s">
        <v>53</v>
      </c>
      <c r="D3935" s="8">
        <v>-50</v>
      </c>
      <c r="E3935" s="8">
        <f>E3934+(0-50)</f>
        <v>9353394.7399996649</v>
      </c>
    </row>
    <row r="3936" spans="1:5" x14ac:dyDescent="0.25">
      <c r="A3936" s="2" t="s">
        <v>38</v>
      </c>
      <c r="B3936" s="6">
        <v>45568</v>
      </c>
      <c r="C3936" s="2" t="s">
        <v>19</v>
      </c>
      <c r="D3936" s="8">
        <v>-16</v>
      </c>
      <c r="E3936" s="8">
        <f>E3935+(0-16)</f>
        <v>9353378.7399996649</v>
      </c>
    </row>
    <row r="3937" spans="1:5" x14ac:dyDescent="0.25">
      <c r="A3937" s="2" t="s">
        <v>38</v>
      </c>
      <c r="B3937" s="6">
        <v>45568</v>
      </c>
      <c r="C3937" s="2" t="s">
        <v>19</v>
      </c>
      <c r="D3937" s="8">
        <v>-112</v>
      </c>
      <c r="E3937" s="8">
        <f>E3936+(0-112)</f>
        <v>9353266.7399996649</v>
      </c>
    </row>
    <row r="3938" spans="1:5" x14ac:dyDescent="0.25">
      <c r="A3938" s="2" t="s">
        <v>38</v>
      </c>
      <c r="B3938" s="6">
        <v>45568</v>
      </c>
      <c r="C3938" s="2" t="s">
        <v>19</v>
      </c>
      <c r="D3938" s="8">
        <v>-16</v>
      </c>
      <c r="E3938" s="8">
        <f>E3937+(0-16)</f>
        <v>9353250.7399996649</v>
      </c>
    </row>
    <row r="3939" spans="1:5" x14ac:dyDescent="0.25">
      <c r="A3939" s="2" t="s">
        <v>38</v>
      </c>
      <c r="B3939" s="6">
        <v>45568</v>
      </c>
      <c r="C3939" s="2" t="s">
        <v>53</v>
      </c>
      <c r="D3939" s="8">
        <v>-26.88</v>
      </c>
      <c r="E3939" s="8">
        <f>E3938+(0-26.88)</f>
        <v>9353223.8599996641</v>
      </c>
    </row>
    <row r="3940" spans="1:5" x14ac:dyDescent="0.25">
      <c r="A3940" s="2" t="s">
        <v>38</v>
      </c>
      <c r="B3940" s="6">
        <v>45568</v>
      </c>
      <c r="C3940" s="2" t="s">
        <v>19</v>
      </c>
      <c r="D3940" s="8">
        <v>-144</v>
      </c>
      <c r="E3940" s="8">
        <f>E3939+(0-144)</f>
        <v>9353079.8599996641</v>
      </c>
    </row>
    <row r="3941" spans="1:5" x14ac:dyDescent="0.25">
      <c r="A3941" s="2" t="s">
        <v>38</v>
      </c>
      <c r="B3941" s="6">
        <v>45568</v>
      </c>
      <c r="C3941" s="2" t="s">
        <v>53</v>
      </c>
      <c r="D3941" s="8">
        <v>-300</v>
      </c>
      <c r="E3941" s="8">
        <f>E3940+(0-300)</f>
        <v>9352779.8599996641</v>
      </c>
    </row>
    <row r="3942" spans="1:5" x14ac:dyDescent="0.25">
      <c r="A3942" s="2" t="s">
        <v>38</v>
      </c>
      <c r="B3942" s="6">
        <v>45569</v>
      </c>
      <c r="C3942" s="2" t="s">
        <v>19</v>
      </c>
      <c r="D3942" s="8">
        <v>-64</v>
      </c>
      <c r="E3942" s="8">
        <f>E3941+(0-64)</f>
        <v>9352715.8599996641</v>
      </c>
    </row>
    <row r="3943" spans="1:5" x14ac:dyDescent="0.25">
      <c r="A3943" s="2" t="s">
        <v>38</v>
      </c>
      <c r="B3943" s="6">
        <v>45569</v>
      </c>
      <c r="C3943" s="2" t="s">
        <v>53</v>
      </c>
      <c r="D3943" s="8">
        <v>-53.75</v>
      </c>
      <c r="E3943" s="8">
        <f>E3942+(0-53.75)</f>
        <v>9352662.1099996641</v>
      </c>
    </row>
    <row r="3944" spans="1:5" x14ac:dyDescent="0.25">
      <c r="A3944" s="2" t="s">
        <v>38</v>
      </c>
      <c r="B3944" s="6">
        <v>45569</v>
      </c>
      <c r="C3944" s="2" t="s">
        <v>53</v>
      </c>
      <c r="D3944" s="8">
        <v>-53.75</v>
      </c>
      <c r="E3944" s="8">
        <f>E3943+(0-53.75)</f>
        <v>9352608.3599996641</v>
      </c>
    </row>
    <row r="3945" spans="1:5" x14ac:dyDescent="0.25">
      <c r="A3945" s="2" t="s">
        <v>38</v>
      </c>
      <c r="B3945" s="6">
        <v>45569</v>
      </c>
      <c r="C3945" s="2" t="s">
        <v>53</v>
      </c>
      <c r="D3945" s="8">
        <v>-26.88</v>
      </c>
      <c r="E3945" s="8">
        <f>E3944+(0-26.88)</f>
        <v>9352581.4799996633</v>
      </c>
    </row>
    <row r="3946" spans="1:5" x14ac:dyDescent="0.25">
      <c r="A3946" s="2" t="s">
        <v>38</v>
      </c>
      <c r="B3946" s="6">
        <v>45569</v>
      </c>
      <c r="C3946" s="2" t="s">
        <v>53</v>
      </c>
      <c r="D3946" s="8">
        <v>-53.75</v>
      </c>
      <c r="E3946" s="8">
        <f>E3945+(0-53.75)</f>
        <v>9352527.7299996633</v>
      </c>
    </row>
    <row r="3947" spans="1:5" x14ac:dyDescent="0.25">
      <c r="A3947" s="2" t="s">
        <v>38</v>
      </c>
      <c r="B3947" s="6">
        <v>45569</v>
      </c>
      <c r="C3947" s="2" t="s">
        <v>53</v>
      </c>
      <c r="D3947" s="8">
        <v>-53.75</v>
      </c>
      <c r="E3947" s="8">
        <f>E3946+(0-53.75)</f>
        <v>9352473.9799996633</v>
      </c>
    </row>
    <row r="3948" spans="1:5" x14ac:dyDescent="0.25">
      <c r="A3948" s="2" t="s">
        <v>38</v>
      </c>
      <c r="B3948" s="6">
        <v>45569</v>
      </c>
      <c r="C3948" s="2" t="s">
        <v>53</v>
      </c>
      <c r="D3948" s="8">
        <v>-26.88</v>
      </c>
      <c r="E3948" s="8">
        <f>E3947+(0-26.88)</f>
        <v>9352447.0999996625</v>
      </c>
    </row>
    <row r="3949" spans="1:5" x14ac:dyDescent="0.25">
      <c r="A3949" s="2" t="s">
        <v>38</v>
      </c>
      <c r="B3949" s="6">
        <v>45569</v>
      </c>
      <c r="C3949" s="2" t="s">
        <v>53</v>
      </c>
      <c r="D3949" s="8">
        <v>-50</v>
      </c>
      <c r="E3949" s="8">
        <f>E3948+(0-50)</f>
        <v>9352397.0999996625</v>
      </c>
    </row>
    <row r="3950" spans="1:5" x14ac:dyDescent="0.25">
      <c r="A3950" s="2" t="s">
        <v>38</v>
      </c>
      <c r="B3950" s="6">
        <v>45569</v>
      </c>
      <c r="C3950" s="2" t="s">
        <v>53</v>
      </c>
      <c r="D3950" s="8">
        <v>-500</v>
      </c>
      <c r="E3950" s="8">
        <f>E3949+(0-500)</f>
        <v>9351897.0999996625</v>
      </c>
    </row>
    <row r="3951" spans="1:5" x14ac:dyDescent="0.25">
      <c r="A3951" s="2" t="s">
        <v>38</v>
      </c>
      <c r="B3951" s="6">
        <v>45572</v>
      </c>
      <c r="C3951" s="2" t="s">
        <v>53</v>
      </c>
      <c r="D3951" s="8">
        <v>-26.88</v>
      </c>
      <c r="E3951" s="8">
        <f>E3950+(0-26.88)</f>
        <v>9351870.2199996617</v>
      </c>
    </row>
    <row r="3952" spans="1:5" x14ac:dyDescent="0.25">
      <c r="A3952" s="2" t="s">
        <v>38</v>
      </c>
      <c r="B3952" s="6">
        <v>45572</v>
      </c>
      <c r="C3952" s="2" t="s">
        <v>53</v>
      </c>
      <c r="D3952" s="8">
        <v>-550</v>
      </c>
      <c r="E3952" s="8">
        <f>E3951+(0-550)</f>
        <v>9351320.2199996617</v>
      </c>
    </row>
    <row r="3953" spans="1:5" x14ac:dyDescent="0.25">
      <c r="A3953" s="2" t="s">
        <v>38</v>
      </c>
      <c r="B3953" s="6">
        <v>45573</v>
      </c>
      <c r="C3953" s="2" t="s">
        <v>53</v>
      </c>
      <c r="D3953" s="8">
        <v>-850</v>
      </c>
      <c r="E3953" s="8">
        <f>E3952+(0-850)</f>
        <v>9350470.2199996617</v>
      </c>
    </row>
    <row r="3954" spans="1:5" x14ac:dyDescent="0.25">
      <c r="A3954" s="2" t="s">
        <v>38</v>
      </c>
      <c r="B3954" s="6">
        <v>45573</v>
      </c>
      <c r="C3954" s="2" t="s">
        <v>53</v>
      </c>
      <c r="D3954" s="8">
        <v>-100</v>
      </c>
      <c r="E3954" s="8">
        <f>E3953+(0-100)</f>
        <v>9350370.2199996617</v>
      </c>
    </row>
    <row r="3955" spans="1:5" x14ac:dyDescent="0.25">
      <c r="A3955" s="2" t="s">
        <v>38</v>
      </c>
      <c r="B3955" s="6">
        <v>45574</v>
      </c>
      <c r="C3955" s="2" t="s">
        <v>19</v>
      </c>
      <c r="D3955" s="8">
        <v>-232</v>
      </c>
      <c r="E3955" s="8">
        <f>E3954+(0-232)</f>
        <v>9350138.2199996617</v>
      </c>
    </row>
    <row r="3956" spans="1:5" x14ac:dyDescent="0.25">
      <c r="A3956" s="2" t="s">
        <v>38</v>
      </c>
      <c r="B3956" s="6">
        <v>45574</v>
      </c>
      <c r="C3956" s="2" t="s">
        <v>19</v>
      </c>
      <c r="D3956" s="8">
        <v>-40</v>
      </c>
      <c r="E3956" s="8">
        <f>E3955+(0-40)</f>
        <v>9350098.2199996617</v>
      </c>
    </row>
    <row r="3957" spans="1:5" x14ac:dyDescent="0.25">
      <c r="A3957" s="2" t="s">
        <v>38</v>
      </c>
      <c r="B3957" s="6">
        <v>45574</v>
      </c>
      <c r="C3957" s="2" t="s">
        <v>19</v>
      </c>
      <c r="D3957" s="8">
        <v>-64</v>
      </c>
      <c r="E3957" s="8">
        <f>E3956+(0-64)</f>
        <v>9350034.2199996617</v>
      </c>
    </row>
    <row r="3958" spans="1:5" x14ac:dyDescent="0.25">
      <c r="A3958" s="2" t="s">
        <v>38</v>
      </c>
      <c r="B3958" s="6">
        <v>45574</v>
      </c>
      <c r="C3958" s="2" t="s">
        <v>53</v>
      </c>
      <c r="D3958" s="8">
        <v>-250</v>
      </c>
      <c r="E3958" s="8">
        <f>E3957+(0-250)</f>
        <v>9349784.2199996617</v>
      </c>
    </row>
    <row r="3959" spans="1:5" x14ac:dyDescent="0.25">
      <c r="A3959" s="2" t="s">
        <v>38</v>
      </c>
      <c r="B3959" s="6">
        <v>45575</v>
      </c>
      <c r="C3959" s="2" t="s">
        <v>53</v>
      </c>
      <c r="D3959" s="8">
        <v>-200</v>
      </c>
      <c r="E3959" s="8">
        <f>E3958+(0-200)</f>
        <v>9349584.2199996617</v>
      </c>
    </row>
    <row r="3960" spans="1:5" x14ac:dyDescent="0.25">
      <c r="A3960" s="2" t="s">
        <v>38</v>
      </c>
      <c r="B3960" s="6">
        <v>45576</v>
      </c>
      <c r="C3960" s="2" t="s">
        <v>53</v>
      </c>
      <c r="D3960" s="8">
        <v>-400</v>
      </c>
      <c r="E3960" s="8">
        <f>E3959+(0-400)</f>
        <v>9349184.2199996617</v>
      </c>
    </row>
    <row r="3961" spans="1:5" x14ac:dyDescent="0.25">
      <c r="A3961" s="2" t="s">
        <v>38</v>
      </c>
      <c r="B3961" s="6">
        <v>45576</v>
      </c>
      <c r="C3961" s="2" t="s">
        <v>53</v>
      </c>
      <c r="D3961" s="8">
        <v>-100</v>
      </c>
      <c r="E3961" s="8">
        <f>E3960+(0-100)</f>
        <v>9349084.2199996617</v>
      </c>
    </row>
    <row r="3962" spans="1:5" x14ac:dyDescent="0.25">
      <c r="A3962" s="2" t="s">
        <v>38</v>
      </c>
      <c r="B3962" s="6">
        <v>45579</v>
      </c>
      <c r="C3962" s="2" t="s">
        <v>19</v>
      </c>
      <c r="D3962" s="8">
        <v>-152</v>
      </c>
      <c r="E3962" s="8">
        <f>E3961+(0-152)</f>
        <v>9348932.2199996617</v>
      </c>
    </row>
    <row r="3963" spans="1:5" x14ac:dyDescent="0.25">
      <c r="A3963" s="2" t="s">
        <v>38</v>
      </c>
      <c r="B3963" s="6">
        <v>45579</v>
      </c>
      <c r="C3963" s="2" t="s">
        <v>19</v>
      </c>
      <c r="D3963" s="8">
        <v>-72</v>
      </c>
      <c r="E3963" s="8">
        <f>E3962+(0-72)</f>
        <v>9348860.2199996617</v>
      </c>
    </row>
    <row r="3964" spans="1:5" x14ac:dyDescent="0.25">
      <c r="A3964" s="2" t="s">
        <v>38</v>
      </c>
      <c r="B3964" s="6">
        <v>45579</v>
      </c>
      <c r="C3964" s="2" t="s">
        <v>19</v>
      </c>
      <c r="D3964" s="8">
        <v>-96</v>
      </c>
      <c r="E3964" s="8">
        <f>E3963+(0-96)</f>
        <v>9348764.2199996617</v>
      </c>
    </row>
    <row r="3965" spans="1:5" x14ac:dyDescent="0.25">
      <c r="A3965" s="2" t="s">
        <v>38</v>
      </c>
      <c r="B3965" s="6">
        <v>45579</v>
      </c>
      <c r="C3965" s="2" t="s">
        <v>19</v>
      </c>
      <c r="D3965" s="8">
        <v>-88</v>
      </c>
      <c r="E3965" s="8">
        <f>E3964+(0-88)</f>
        <v>9348676.2199996617</v>
      </c>
    </row>
    <row r="3966" spans="1:5" x14ac:dyDescent="0.25">
      <c r="A3966" s="2" t="s">
        <v>38</v>
      </c>
      <c r="B3966" s="6">
        <v>45579</v>
      </c>
      <c r="C3966" s="2" t="s">
        <v>19</v>
      </c>
      <c r="D3966" s="8">
        <v>-16</v>
      </c>
      <c r="E3966" s="8">
        <f>E3965+(0-16)</f>
        <v>9348660.2199996617</v>
      </c>
    </row>
    <row r="3967" spans="1:5" x14ac:dyDescent="0.25">
      <c r="A3967" s="2" t="s">
        <v>38</v>
      </c>
      <c r="B3967" s="6">
        <v>45579</v>
      </c>
      <c r="C3967" s="2" t="s">
        <v>53</v>
      </c>
      <c r="D3967" s="8">
        <v>-26.88</v>
      </c>
      <c r="E3967" s="8">
        <f>E3966+(0-26.88)</f>
        <v>9348633.3399996608</v>
      </c>
    </row>
    <row r="3968" spans="1:5" x14ac:dyDescent="0.25">
      <c r="A3968" s="2" t="s">
        <v>38</v>
      </c>
      <c r="B3968" s="6">
        <v>45579</v>
      </c>
      <c r="C3968" s="2" t="s">
        <v>53</v>
      </c>
      <c r="D3968" s="8">
        <v>-350</v>
      </c>
      <c r="E3968" s="8">
        <f>E3967+(0-350)</f>
        <v>9348283.3399996608</v>
      </c>
    </row>
    <row r="3969" spans="1:5" x14ac:dyDescent="0.25">
      <c r="A3969" s="2" t="s">
        <v>38</v>
      </c>
      <c r="B3969" s="6">
        <v>45579</v>
      </c>
      <c r="C3969" s="2" t="s">
        <v>53</v>
      </c>
      <c r="D3969" s="8">
        <v>-50</v>
      </c>
      <c r="E3969" s="8">
        <f>E3968+(0-50)</f>
        <v>9348233.3399996608</v>
      </c>
    </row>
    <row r="3970" spans="1:5" x14ac:dyDescent="0.25">
      <c r="A3970" s="2" t="s">
        <v>38</v>
      </c>
      <c r="B3970" s="6">
        <v>45580</v>
      </c>
      <c r="C3970" s="2" t="s">
        <v>19</v>
      </c>
      <c r="D3970" s="8">
        <v>-8</v>
      </c>
      <c r="E3970" s="8">
        <f>E3969+(0-8)</f>
        <v>9348225.3399996608</v>
      </c>
    </row>
    <row r="3971" spans="1:5" x14ac:dyDescent="0.25">
      <c r="A3971" s="2" t="s">
        <v>38</v>
      </c>
      <c r="B3971" s="6">
        <v>45580</v>
      </c>
      <c r="C3971" s="2" t="s">
        <v>53</v>
      </c>
      <c r="D3971" s="8">
        <v>-53.75</v>
      </c>
      <c r="E3971" s="8">
        <f>E3970+(0-53.75)</f>
        <v>9348171.5899996608</v>
      </c>
    </row>
    <row r="3972" spans="1:5" x14ac:dyDescent="0.25">
      <c r="A3972" s="2" t="s">
        <v>38</v>
      </c>
      <c r="B3972" s="6">
        <v>45580</v>
      </c>
      <c r="C3972" s="2" t="s">
        <v>53</v>
      </c>
      <c r="D3972" s="8">
        <v>-500</v>
      </c>
      <c r="E3972" s="8">
        <f>E3971+(0-500)</f>
        <v>9347671.5899996608</v>
      </c>
    </row>
    <row r="3973" spans="1:5" x14ac:dyDescent="0.25">
      <c r="A3973" s="2" t="s">
        <v>38</v>
      </c>
      <c r="B3973" s="6">
        <v>45580</v>
      </c>
      <c r="C3973" s="2" t="s">
        <v>53</v>
      </c>
      <c r="D3973" s="8">
        <v>-50</v>
      </c>
      <c r="E3973" s="8">
        <f>E3972+(0-50)</f>
        <v>9347621.5899996608</v>
      </c>
    </row>
    <row r="3974" spans="1:5" x14ac:dyDescent="0.25">
      <c r="A3974" s="2" t="s">
        <v>38</v>
      </c>
      <c r="B3974" s="6">
        <v>45581</v>
      </c>
      <c r="C3974" s="2" t="s">
        <v>53</v>
      </c>
      <c r="D3974" s="8">
        <v>-26.88</v>
      </c>
      <c r="E3974" s="8">
        <f>E3973+(0-26.88)</f>
        <v>9347594.70999966</v>
      </c>
    </row>
    <row r="3975" spans="1:5" x14ac:dyDescent="0.25">
      <c r="A3975" s="2" t="s">
        <v>38</v>
      </c>
      <c r="B3975" s="6">
        <v>45581</v>
      </c>
      <c r="C3975" s="2" t="s">
        <v>53</v>
      </c>
      <c r="D3975" s="8">
        <v>-53.75</v>
      </c>
      <c r="E3975" s="8">
        <f>E3974+(0-53.75)</f>
        <v>9347540.95999966</v>
      </c>
    </row>
    <row r="3976" spans="1:5" x14ac:dyDescent="0.25">
      <c r="A3976" s="2" t="s">
        <v>38</v>
      </c>
      <c r="B3976" s="6">
        <v>45581</v>
      </c>
      <c r="C3976" s="2" t="s">
        <v>53</v>
      </c>
      <c r="D3976" s="8">
        <v>-53.75</v>
      </c>
      <c r="E3976" s="8">
        <f>E3975+(0-53.75)</f>
        <v>9347487.20999966</v>
      </c>
    </row>
    <row r="3977" spans="1:5" x14ac:dyDescent="0.25">
      <c r="A3977" s="2" t="s">
        <v>38</v>
      </c>
      <c r="B3977" s="6">
        <v>45581</v>
      </c>
      <c r="C3977" s="2" t="s">
        <v>53</v>
      </c>
      <c r="D3977" s="8">
        <v>-26.88</v>
      </c>
      <c r="E3977" s="8">
        <f>E3976+(0-26.88)</f>
        <v>9347460.3299996592</v>
      </c>
    </row>
    <row r="3978" spans="1:5" x14ac:dyDescent="0.25">
      <c r="A3978" s="2" t="s">
        <v>38</v>
      </c>
      <c r="B3978" s="6">
        <v>45581</v>
      </c>
      <c r="C3978" s="2" t="s">
        <v>53</v>
      </c>
      <c r="D3978" s="8">
        <v>-300</v>
      </c>
      <c r="E3978" s="8">
        <f>E3977+(0-300)</f>
        <v>9347160.3299996592</v>
      </c>
    </row>
    <row r="3979" spans="1:5" x14ac:dyDescent="0.25">
      <c r="A3979" s="2" t="s">
        <v>38</v>
      </c>
      <c r="B3979" s="6">
        <v>45582</v>
      </c>
      <c r="C3979" s="2" t="s">
        <v>53</v>
      </c>
      <c r="D3979" s="8">
        <v>-53.75</v>
      </c>
      <c r="E3979" s="8">
        <f>E3978+(0-53.75)</f>
        <v>9347106.5799996592</v>
      </c>
    </row>
    <row r="3980" spans="1:5" x14ac:dyDescent="0.25">
      <c r="A3980" s="2" t="s">
        <v>38</v>
      </c>
      <c r="B3980" s="6">
        <v>45582</v>
      </c>
      <c r="C3980" s="2" t="s">
        <v>53</v>
      </c>
      <c r="D3980" s="8">
        <v>-53.75</v>
      </c>
      <c r="E3980" s="8">
        <f>E3979+(0-53.75)</f>
        <v>9347052.8299996592</v>
      </c>
    </row>
    <row r="3981" spans="1:5" x14ac:dyDescent="0.25">
      <c r="A3981" s="2" t="s">
        <v>38</v>
      </c>
      <c r="B3981" s="6">
        <v>45582</v>
      </c>
      <c r="C3981" s="2" t="s">
        <v>53</v>
      </c>
      <c r="D3981" s="8">
        <v>-26.88</v>
      </c>
      <c r="E3981" s="8">
        <f>E3980+(0-26.88)</f>
        <v>9347025.9499996584</v>
      </c>
    </row>
    <row r="3982" spans="1:5" x14ac:dyDescent="0.25">
      <c r="A3982" s="2" t="s">
        <v>38</v>
      </c>
      <c r="B3982" s="6">
        <v>45582</v>
      </c>
      <c r="C3982" s="2" t="s">
        <v>53</v>
      </c>
      <c r="D3982" s="8">
        <v>-53.75</v>
      </c>
      <c r="E3982" s="8">
        <f>E3981+(0-53.75)</f>
        <v>9346972.1999996584</v>
      </c>
    </row>
    <row r="3983" spans="1:5" x14ac:dyDescent="0.25">
      <c r="A3983" s="2" t="s">
        <v>38</v>
      </c>
      <c r="B3983" s="6">
        <v>45582</v>
      </c>
      <c r="C3983" s="2" t="s">
        <v>53</v>
      </c>
      <c r="D3983" s="8">
        <v>-53.75</v>
      </c>
      <c r="E3983" s="8">
        <f>E3982+(0-53.75)</f>
        <v>9346918.4499996584</v>
      </c>
    </row>
    <row r="3984" spans="1:5" x14ac:dyDescent="0.25">
      <c r="A3984" s="2" t="s">
        <v>38</v>
      </c>
      <c r="B3984" s="6">
        <v>45582</v>
      </c>
      <c r="C3984" s="2" t="s">
        <v>53</v>
      </c>
      <c r="D3984" s="8">
        <v>-650</v>
      </c>
      <c r="E3984" s="8">
        <f>E3983+(0-650)</f>
        <v>9346268.4499996584</v>
      </c>
    </row>
    <row r="3985" spans="1:5" x14ac:dyDescent="0.25">
      <c r="A3985" s="2" t="s">
        <v>38</v>
      </c>
      <c r="B3985" s="6">
        <v>45583</v>
      </c>
      <c r="C3985" s="2" t="s">
        <v>53</v>
      </c>
      <c r="D3985" s="8">
        <v>-53.75</v>
      </c>
      <c r="E3985" s="8">
        <f>E3984+(0-53.75)</f>
        <v>9346214.6999996584</v>
      </c>
    </row>
    <row r="3986" spans="1:5" x14ac:dyDescent="0.25">
      <c r="A3986" s="2" t="s">
        <v>38</v>
      </c>
      <c r="B3986" s="6">
        <v>45583</v>
      </c>
      <c r="C3986" s="2" t="s">
        <v>53</v>
      </c>
      <c r="D3986" s="8">
        <v>-26.88</v>
      </c>
      <c r="E3986" s="8">
        <f>E3985+(0-26.88)</f>
        <v>9346187.8199996576</v>
      </c>
    </row>
    <row r="3987" spans="1:5" x14ac:dyDescent="0.25">
      <c r="A3987" s="2" t="s">
        <v>38</v>
      </c>
      <c r="B3987" s="6">
        <v>45583</v>
      </c>
      <c r="C3987" s="2" t="s">
        <v>53</v>
      </c>
      <c r="D3987" s="8">
        <v>-26.88</v>
      </c>
      <c r="E3987" s="8">
        <f>E3986+(0-26.88)</f>
        <v>9346160.9399996568</v>
      </c>
    </row>
    <row r="3988" spans="1:5" x14ac:dyDescent="0.25">
      <c r="A3988" s="2" t="s">
        <v>38</v>
      </c>
      <c r="B3988" s="6">
        <v>45583</v>
      </c>
      <c r="C3988" s="2" t="s">
        <v>53</v>
      </c>
      <c r="D3988" s="8">
        <v>-50</v>
      </c>
      <c r="E3988" s="8">
        <f>E3987+(0-50)</f>
        <v>9346110.9399996568</v>
      </c>
    </row>
    <row r="3989" spans="1:5" x14ac:dyDescent="0.25">
      <c r="A3989" s="2" t="s">
        <v>38</v>
      </c>
      <c r="B3989" s="6">
        <v>45583</v>
      </c>
      <c r="C3989" s="2" t="s">
        <v>53</v>
      </c>
      <c r="D3989" s="8">
        <v>-150</v>
      </c>
      <c r="E3989" s="8">
        <f>E3988+(0-150)</f>
        <v>9345960.9399996568</v>
      </c>
    </row>
    <row r="3990" spans="1:5" x14ac:dyDescent="0.25">
      <c r="A3990" s="2" t="s">
        <v>38</v>
      </c>
      <c r="B3990" s="6">
        <v>45583</v>
      </c>
      <c r="C3990" s="2" t="s">
        <v>53</v>
      </c>
      <c r="D3990" s="8">
        <v>-600</v>
      </c>
      <c r="E3990" s="8">
        <f>E3989+(0-600)</f>
        <v>9345360.9399996568</v>
      </c>
    </row>
    <row r="3991" spans="1:5" x14ac:dyDescent="0.25">
      <c r="A3991" s="2" t="s">
        <v>38</v>
      </c>
      <c r="B3991" s="6">
        <v>45586</v>
      </c>
      <c r="C3991" s="2" t="s">
        <v>19</v>
      </c>
      <c r="D3991" s="8">
        <v>-168</v>
      </c>
      <c r="E3991" s="8">
        <f>E3990+(0-168)</f>
        <v>9345192.9399996568</v>
      </c>
    </row>
    <row r="3992" spans="1:5" x14ac:dyDescent="0.25">
      <c r="A3992" s="2" t="s">
        <v>38</v>
      </c>
      <c r="B3992" s="6">
        <v>45586</v>
      </c>
      <c r="C3992" s="2" t="s">
        <v>19</v>
      </c>
      <c r="D3992" s="8">
        <v>-160</v>
      </c>
      <c r="E3992" s="8">
        <f>E3991+(0-160)</f>
        <v>9345032.9399996568</v>
      </c>
    </row>
    <row r="3993" spans="1:5" x14ac:dyDescent="0.25">
      <c r="A3993" s="2" t="s">
        <v>38</v>
      </c>
      <c r="B3993" s="6">
        <v>45586</v>
      </c>
      <c r="C3993" s="2" t="s">
        <v>53</v>
      </c>
      <c r="D3993" s="8">
        <v>-112</v>
      </c>
      <c r="E3993" s="8">
        <f>E3992+(0-112)</f>
        <v>9344920.9399996568</v>
      </c>
    </row>
    <row r="3994" spans="1:5" x14ac:dyDescent="0.25">
      <c r="A3994" s="2" t="s">
        <v>38</v>
      </c>
      <c r="B3994" s="6">
        <v>45586</v>
      </c>
      <c r="C3994" s="2" t="s">
        <v>19</v>
      </c>
      <c r="D3994" s="8">
        <v>-208</v>
      </c>
      <c r="E3994" s="8">
        <f>E3993+(0-208)</f>
        <v>9344712.9399996568</v>
      </c>
    </row>
    <row r="3995" spans="1:5" x14ac:dyDescent="0.25">
      <c r="A3995" s="2" t="s">
        <v>38</v>
      </c>
      <c r="B3995" s="6">
        <v>45586</v>
      </c>
      <c r="C3995" s="2" t="s">
        <v>19</v>
      </c>
      <c r="D3995" s="8">
        <v>-168</v>
      </c>
      <c r="E3995" s="8">
        <f>E3994+(0-168)</f>
        <v>9344544.9399996568</v>
      </c>
    </row>
    <row r="3996" spans="1:5" x14ac:dyDescent="0.25">
      <c r="A3996" s="2" t="s">
        <v>38</v>
      </c>
      <c r="B3996" s="6">
        <v>45586</v>
      </c>
      <c r="C3996" s="2" t="s">
        <v>19</v>
      </c>
      <c r="D3996" s="8">
        <v>-8</v>
      </c>
      <c r="E3996" s="8">
        <f>E3995+(0-8)</f>
        <v>9344536.9399996568</v>
      </c>
    </row>
    <row r="3997" spans="1:5" x14ac:dyDescent="0.25">
      <c r="A3997" s="2" t="s">
        <v>38</v>
      </c>
      <c r="B3997" s="6">
        <v>45586</v>
      </c>
      <c r="C3997" s="2" t="s">
        <v>53</v>
      </c>
      <c r="D3997" s="8">
        <v>-550</v>
      </c>
      <c r="E3997" s="8">
        <f>E3996+(0-550)</f>
        <v>9343986.9399996568</v>
      </c>
    </row>
    <row r="3998" spans="1:5" x14ac:dyDescent="0.25">
      <c r="A3998" s="2" t="s">
        <v>38</v>
      </c>
      <c r="B3998" s="6">
        <v>45586</v>
      </c>
      <c r="C3998" s="2" t="s">
        <v>53</v>
      </c>
      <c r="D3998" s="8">
        <v>-50</v>
      </c>
      <c r="E3998" s="8">
        <f>E3997+(0-50)</f>
        <v>9343936.9399996568</v>
      </c>
    </row>
    <row r="3999" spans="1:5" x14ac:dyDescent="0.25">
      <c r="A3999" s="2" t="s">
        <v>38</v>
      </c>
      <c r="B3999" s="6">
        <v>45587</v>
      </c>
      <c r="C3999" s="2" t="s">
        <v>53</v>
      </c>
      <c r="D3999" s="8">
        <v>-26.88</v>
      </c>
      <c r="E3999" s="8">
        <f>E3998+(0-26.88)</f>
        <v>9343910.0599996559</v>
      </c>
    </row>
    <row r="4000" spans="1:5" x14ac:dyDescent="0.25">
      <c r="A4000" s="2" t="s">
        <v>38</v>
      </c>
      <c r="B4000" s="6">
        <v>45587</v>
      </c>
      <c r="C4000" s="2" t="s">
        <v>53</v>
      </c>
      <c r="D4000" s="8">
        <v>-26.88</v>
      </c>
      <c r="E4000" s="8">
        <f>E3999+(0-26.88)</f>
        <v>9343883.1799996551</v>
      </c>
    </row>
    <row r="4001" spans="1:5" x14ac:dyDescent="0.25">
      <c r="A4001" s="2" t="s">
        <v>38</v>
      </c>
      <c r="B4001" s="6">
        <v>45587</v>
      </c>
      <c r="C4001" s="2" t="s">
        <v>53</v>
      </c>
      <c r="D4001" s="8">
        <v>-250</v>
      </c>
      <c r="E4001" s="8">
        <f>E4000+(0-250)</f>
        <v>9343633.1799996551</v>
      </c>
    </row>
    <row r="4002" spans="1:5" x14ac:dyDescent="0.25">
      <c r="A4002" s="2" t="s">
        <v>38</v>
      </c>
      <c r="B4002" s="6">
        <v>45588</v>
      </c>
      <c r="C4002" s="2" t="s">
        <v>19</v>
      </c>
      <c r="D4002" s="8">
        <v>-8</v>
      </c>
      <c r="E4002" s="8">
        <f>E4001+(0-8)</f>
        <v>9343625.1799996551</v>
      </c>
    </row>
    <row r="4003" spans="1:5" x14ac:dyDescent="0.25">
      <c r="A4003" s="2" t="s">
        <v>38</v>
      </c>
      <c r="B4003" s="6">
        <v>45588</v>
      </c>
      <c r="C4003" s="2" t="s">
        <v>53</v>
      </c>
      <c r="D4003" s="8">
        <v>-26.88</v>
      </c>
      <c r="E4003" s="8">
        <f>E4002+(0-26.88)</f>
        <v>9343598.2999996543</v>
      </c>
    </row>
    <row r="4004" spans="1:5" x14ac:dyDescent="0.25">
      <c r="A4004" s="2" t="s">
        <v>38</v>
      </c>
      <c r="B4004" s="6">
        <v>45588</v>
      </c>
      <c r="C4004" s="2" t="s">
        <v>53</v>
      </c>
      <c r="D4004" s="8">
        <v>-53.75</v>
      </c>
      <c r="E4004" s="8">
        <f>E4003+(0-53.75)</f>
        <v>9343544.5499996543</v>
      </c>
    </row>
    <row r="4005" spans="1:5" x14ac:dyDescent="0.25">
      <c r="A4005" s="2" t="s">
        <v>38</v>
      </c>
      <c r="B4005" s="6">
        <v>45588</v>
      </c>
      <c r="C4005" s="2" t="s">
        <v>53</v>
      </c>
      <c r="D4005" s="8">
        <v>-200</v>
      </c>
      <c r="E4005" s="8">
        <f>E4004+(0-200)</f>
        <v>9343344.5499996543</v>
      </c>
    </row>
    <row r="4006" spans="1:5" x14ac:dyDescent="0.25">
      <c r="A4006" s="2" t="s">
        <v>38</v>
      </c>
      <c r="B4006" s="6">
        <v>45589</v>
      </c>
      <c r="C4006" s="2" t="s">
        <v>53</v>
      </c>
      <c r="D4006" s="8">
        <v>-400</v>
      </c>
      <c r="E4006" s="8">
        <f>E4005+(0-400)</f>
        <v>9342944.5499996543</v>
      </c>
    </row>
    <row r="4007" spans="1:5" x14ac:dyDescent="0.25">
      <c r="A4007" s="2" t="s">
        <v>38</v>
      </c>
      <c r="B4007" s="6">
        <v>45590</v>
      </c>
      <c r="C4007" s="2" t="s">
        <v>19</v>
      </c>
      <c r="D4007" s="8">
        <v>-88</v>
      </c>
      <c r="E4007" s="8">
        <f>E4006+(0-88)</f>
        <v>9342856.5499996543</v>
      </c>
    </row>
    <row r="4008" spans="1:5" x14ac:dyDescent="0.25">
      <c r="A4008" s="2" t="s">
        <v>38</v>
      </c>
      <c r="B4008" s="6">
        <v>45590</v>
      </c>
      <c r="C4008" s="2" t="s">
        <v>19</v>
      </c>
      <c r="D4008" s="8">
        <v>-80</v>
      </c>
      <c r="E4008" s="8">
        <f>E4007+(0-80)</f>
        <v>9342776.5499996543</v>
      </c>
    </row>
    <row r="4009" spans="1:5" x14ac:dyDescent="0.25">
      <c r="A4009" s="2" t="s">
        <v>38</v>
      </c>
      <c r="B4009" s="6">
        <v>45590</v>
      </c>
      <c r="C4009" s="2" t="s">
        <v>53</v>
      </c>
      <c r="D4009" s="8">
        <v>-53.75</v>
      </c>
      <c r="E4009" s="8">
        <f>E4008+(0-53.75)</f>
        <v>9342722.7999996543</v>
      </c>
    </row>
    <row r="4010" spans="1:5" x14ac:dyDescent="0.25">
      <c r="A4010" s="2" t="s">
        <v>38</v>
      </c>
      <c r="B4010" s="6">
        <v>45590</v>
      </c>
      <c r="C4010" s="2" t="s">
        <v>19</v>
      </c>
      <c r="D4010" s="8">
        <v>-64</v>
      </c>
      <c r="E4010" s="8">
        <f>E4009+(0-64)</f>
        <v>9342658.7999996543</v>
      </c>
    </row>
    <row r="4011" spans="1:5" x14ac:dyDescent="0.25">
      <c r="A4011" s="2" t="s">
        <v>38</v>
      </c>
      <c r="B4011" s="6">
        <v>45590</v>
      </c>
      <c r="C4011" s="2" t="s">
        <v>19</v>
      </c>
      <c r="D4011" s="8">
        <v>-80</v>
      </c>
      <c r="E4011" s="8">
        <f>E4010+(0-80)</f>
        <v>9342578.7999996543</v>
      </c>
    </row>
    <row r="4012" spans="1:5" x14ac:dyDescent="0.25">
      <c r="A4012" s="2" t="s">
        <v>38</v>
      </c>
      <c r="B4012" s="6">
        <v>45590</v>
      </c>
      <c r="C4012" s="2" t="s">
        <v>207</v>
      </c>
      <c r="D4012" s="8">
        <v>-414295</v>
      </c>
      <c r="E4012" s="8">
        <f>E4011+(0-414295)</f>
        <v>8928283.7999996543</v>
      </c>
    </row>
    <row r="4013" spans="1:5" x14ac:dyDescent="0.25">
      <c r="A4013" s="2" t="s">
        <v>38</v>
      </c>
      <c r="B4013" s="6">
        <v>45590</v>
      </c>
      <c r="C4013" s="2" t="s">
        <v>217</v>
      </c>
      <c r="D4013" s="8">
        <v>-41429.5</v>
      </c>
      <c r="E4013" s="8">
        <f>E4012+(0-41429.5)</f>
        <v>8886854.2999996543</v>
      </c>
    </row>
    <row r="4014" spans="1:5" x14ac:dyDescent="0.25">
      <c r="A4014" s="2" t="s">
        <v>38</v>
      </c>
      <c r="B4014" s="6">
        <v>45590</v>
      </c>
      <c r="C4014" s="2" t="s">
        <v>218</v>
      </c>
      <c r="D4014" s="8">
        <v>-82859</v>
      </c>
      <c r="E4014" s="8">
        <f>E4013+(0-82859)</f>
        <v>8803995.2999996543</v>
      </c>
    </row>
    <row r="4015" spans="1:5" x14ac:dyDescent="0.25">
      <c r="A4015" s="2" t="s">
        <v>38</v>
      </c>
      <c r="B4015" s="6">
        <v>45590</v>
      </c>
      <c r="C4015" s="2" t="s">
        <v>219</v>
      </c>
      <c r="D4015" s="8">
        <v>-31072.13</v>
      </c>
      <c r="E4015" s="8">
        <f>E4014+(0-31072.13)</f>
        <v>8772923.1699996535</v>
      </c>
    </row>
    <row r="4016" spans="1:5" x14ac:dyDescent="0.25">
      <c r="A4016" s="2" t="s">
        <v>38</v>
      </c>
      <c r="B4016" s="6">
        <v>45590</v>
      </c>
      <c r="C4016" s="2" t="s">
        <v>53</v>
      </c>
      <c r="D4016" s="8">
        <v>-450</v>
      </c>
      <c r="E4016" s="8">
        <f>E4015+(0-450)</f>
        <v>8772473.1699996535</v>
      </c>
    </row>
    <row r="4017" spans="1:5" x14ac:dyDescent="0.25">
      <c r="A4017" s="2" t="s">
        <v>38</v>
      </c>
      <c r="B4017" s="6">
        <v>45593</v>
      </c>
      <c r="C4017" s="2" t="s">
        <v>19</v>
      </c>
      <c r="D4017" s="8">
        <v>-136</v>
      </c>
      <c r="E4017" s="8">
        <f>E4016+(0-136)</f>
        <v>8772337.1699996535</v>
      </c>
    </row>
    <row r="4018" spans="1:5" x14ac:dyDescent="0.25">
      <c r="A4018" s="2" t="s">
        <v>38</v>
      </c>
      <c r="B4018" s="6">
        <v>45593</v>
      </c>
      <c r="C4018" s="2" t="s">
        <v>19</v>
      </c>
      <c r="D4018" s="8">
        <v>-24</v>
      </c>
      <c r="E4018" s="8">
        <f>E4017+(0-24)</f>
        <v>8772313.1699996535</v>
      </c>
    </row>
    <row r="4019" spans="1:5" x14ac:dyDescent="0.25">
      <c r="A4019" s="2" t="s">
        <v>38</v>
      </c>
      <c r="B4019" s="6">
        <v>45593</v>
      </c>
      <c r="C4019" s="2" t="s">
        <v>53</v>
      </c>
      <c r="D4019" s="8">
        <v>-10.75</v>
      </c>
      <c r="E4019" s="8">
        <f>E4018+(0-10.75)</f>
        <v>8772302.4199996535</v>
      </c>
    </row>
    <row r="4020" spans="1:5" x14ac:dyDescent="0.25">
      <c r="A4020" s="2" t="s">
        <v>38</v>
      </c>
      <c r="B4020" s="6">
        <v>45593</v>
      </c>
      <c r="C4020" s="2" t="s">
        <v>53</v>
      </c>
      <c r="D4020" s="8">
        <v>-53.75</v>
      </c>
      <c r="E4020" s="8">
        <f>E4019+(0-53.75)</f>
        <v>8772248.6699996535</v>
      </c>
    </row>
    <row r="4021" spans="1:5" x14ac:dyDescent="0.25">
      <c r="A4021" s="2" t="s">
        <v>38</v>
      </c>
      <c r="B4021" s="6">
        <v>45593</v>
      </c>
      <c r="C4021" s="2" t="s">
        <v>53</v>
      </c>
      <c r="D4021" s="8">
        <v>-53.75</v>
      </c>
      <c r="E4021" s="8">
        <f>E4020+(0-53.75)</f>
        <v>8772194.9199996535</v>
      </c>
    </row>
    <row r="4022" spans="1:5" x14ac:dyDescent="0.25">
      <c r="A4022" s="2" t="s">
        <v>38</v>
      </c>
      <c r="B4022" s="6">
        <v>45593</v>
      </c>
      <c r="C4022" s="2" t="s">
        <v>53</v>
      </c>
      <c r="D4022" s="8">
        <v>-53.75</v>
      </c>
      <c r="E4022" s="8">
        <f>E4021+(0-53.75)</f>
        <v>8772141.1699996535</v>
      </c>
    </row>
    <row r="4023" spans="1:5" x14ac:dyDescent="0.25">
      <c r="A4023" s="2" t="s">
        <v>38</v>
      </c>
      <c r="B4023" s="6">
        <v>45593</v>
      </c>
      <c r="C4023" s="2" t="s">
        <v>53</v>
      </c>
      <c r="D4023" s="8">
        <v>-53.75</v>
      </c>
      <c r="E4023" s="8">
        <f>E4022+(0-53.75)</f>
        <v>8772087.4199996535</v>
      </c>
    </row>
    <row r="4024" spans="1:5" x14ac:dyDescent="0.25">
      <c r="A4024" s="2" t="s">
        <v>38</v>
      </c>
      <c r="B4024" s="6">
        <v>45593</v>
      </c>
      <c r="C4024" s="2" t="s">
        <v>53</v>
      </c>
      <c r="D4024" s="8">
        <v>-53.75</v>
      </c>
      <c r="E4024" s="8">
        <f>E4023+(0-53.75)</f>
        <v>8772033.6699996535</v>
      </c>
    </row>
    <row r="4025" spans="1:5" x14ac:dyDescent="0.25">
      <c r="A4025" s="2" t="s">
        <v>38</v>
      </c>
      <c r="B4025" s="6">
        <v>45593</v>
      </c>
      <c r="C4025" s="2" t="s">
        <v>53</v>
      </c>
      <c r="D4025" s="8">
        <v>-950</v>
      </c>
      <c r="E4025" s="8">
        <f>E4024+(0-950)</f>
        <v>8771083.6699996535</v>
      </c>
    </row>
    <row r="4026" spans="1:5" x14ac:dyDescent="0.25">
      <c r="A4026" s="2" t="s">
        <v>38</v>
      </c>
      <c r="B4026" s="6">
        <v>45594</v>
      </c>
      <c r="C4026" s="2" t="s">
        <v>53</v>
      </c>
      <c r="D4026" s="8">
        <v>-53.75</v>
      </c>
      <c r="E4026" s="8">
        <f>E4025+(0-53.75)</f>
        <v>8771029.9199996535</v>
      </c>
    </row>
    <row r="4027" spans="1:5" x14ac:dyDescent="0.25">
      <c r="A4027" s="2" t="s">
        <v>38</v>
      </c>
      <c r="B4027" s="6">
        <v>45594</v>
      </c>
      <c r="C4027" s="2" t="s">
        <v>53</v>
      </c>
      <c r="D4027" s="8">
        <v>-53.75</v>
      </c>
      <c r="E4027" s="8">
        <f>E4026+(0-53.75)</f>
        <v>8770976.1699996535</v>
      </c>
    </row>
    <row r="4028" spans="1:5" x14ac:dyDescent="0.25">
      <c r="A4028" s="2" t="s">
        <v>38</v>
      </c>
      <c r="B4028" s="6">
        <v>45594</v>
      </c>
      <c r="C4028" s="2" t="s">
        <v>53</v>
      </c>
      <c r="D4028" s="8">
        <v>-53.75</v>
      </c>
      <c r="E4028" s="8">
        <f>E4027+(0-53.75)</f>
        <v>8770922.4199996535</v>
      </c>
    </row>
    <row r="4029" spans="1:5" x14ac:dyDescent="0.25">
      <c r="A4029" s="2" t="s">
        <v>38</v>
      </c>
      <c r="B4029" s="6">
        <v>45594</v>
      </c>
      <c r="C4029" s="2" t="s">
        <v>53</v>
      </c>
      <c r="D4029" s="8">
        <v>-400</v>
      </c>
      <c r="E4029" s="8">
        <f>E4028+(0-400)</f>
        <v>8770522.4199996535</v>
      </c>
    </row>
    <row r="4030" spans="1:5" x14ac:dyDescent="0.25">
      <c r="A4030" s="2" t="s">
        <v>38</v>
      </c>
      <c r="B4030" s="6">
        <v>45594</v>
      </c>
      <c r="C4030" s="2" t="s">
        <v>53</v>
      </c>
      <c r="D4030" s="8">
        <v>-50</v>
      </c>
      <c r="E4030" s="8">
        <f>E4029+(0-50)</f>
        <v>8770472.4199996535</v>
      </c>
    </row>
    <row r="4031" spans="1:5" x14ac:dyDescent="0.25">
      <c r="A4031" s="2" t="s">
        <v>38</v>
      </c>
      <c r="B4031" s="6">
        <v>45595</v>
      </c>
      <c r="C4031" s="2" t="s">
        <v>53</v>
      </c>
      <c r="D4031" s="8">
        <v>-53.75</v>
      </c>
      <c r="E4031" s="8">
        <f>E4030+(0-53.75)</f>
        <v>8770418.6699996535</v>
      </c>
    </row>
    <row r="4032" spans="1:5" x14ac:dyDescent="0.25">
      <c r="A4032" s="2" t="s">
        <v>38</v>
      </c>
      <c r="B4032" s="6">
        <v>45595</v>
      </c>
      <c r="C4032" s="2" t="s">
        <v>53</v>
      </c>
      <c r="D4032" s="8">
        <v>-53.75</v>
      </c>
      <c r="E4032" s="8">
        <f>E4031+(0-53.75)</f>
        <v>8770364.9199996535</v>
      </c>
    </row>
    <row r="4033" spans="1:5" x14ac:dyDescent="0.25">
      <c r="A4033" s="2" t="s">
        <v>38</v>
      </c>
      <c r="B4033" s="6">
        <v>45595</v>
      </c>
      <c r="C4033" s="2" t="s">
        <v>53</v>
      </c>
      <c r="D4033" s="8">
        <v>-26.88</v>
      </c>
      <c r="E4033" s="8">
        <f>E4032+(0-26.88)</f>
        <v>8770338.0399996527</v>
      </c>
    </row>
    <row r="4034" spans="1:5" x14ac:dyDescent="0.25">
      <c r="A4034" s="2" t="s">
        <v>38</v>
      </c>
      <c r="B4034" s="6">
        <v>45595</v>
      </c>
      <c r="C4034" s="2" t="s">
        <v>53</v>
      </c>
      <c r="D4034" s="8">
        <v>-450</v>
      </c>
      <c r="E4034" s="8">
        <f>E4033+(0-450)</f>
        <v>8769888.0399996527</v>
      </c>
    </row>
    <row r="4035" spans="1:5" x14ac:dyDescent="0.25">
      <c r="A4035" s="2" t="s">
        <v>38</v>
      </c>
      <c r="B4035" s="6">
        <v>45596</v>
      </c>
      <c r="C4035" s="2" t="s">
        <v>214</v>
      </c>
      <c r="D4035" s="8">
        <v>-336</v>
      </c>
      <c r="E4035" s="8">
        <f>E4034+(0-336)</f>
        <v>8769552.0399996527</v>
      </c>
    </row>
    <row r="4036" spans="1:5" x14ac:dyDescent="0.25">
      <c r="A4036" s="2" t="s">
        <v>38</v>
      </c>
      <c r="B4036" s="6">
        <v>45596</v>
      </c>
      <c r="C4036" s="2" t="s">
        <v>53</v>
      </c>
      <c r="D4036" s="8">
        <v>-160</v>
      </c>
      <c r="E4036" s="8">
        <f>E4035+(0-160)</f>
        <v>8769392.0399996527</v>
      </c>
    </row>
    <row r="4037" spans="1:5" x14ac:dyDescent="0.25">
      <c r="A4037" s="2" t="s">
        <v>38</v>
      </c>
      <c r="B4037" s="6">
        <v>45596</v>
      </c>
      <c r="C4037" s="2" t="s">
        <v>53</v>
      </c>
      <c r="D4037" s="8">
        <v>-50</v>
      </c>
      <c r="E4037" s="8">
        <f>E4036+(0-50)</f>
        <v>8769342.0399996527</v>
      </c>
    </row>
    <row r="4038" spans="1:5" x14ac:dyDescent="0.25">
      <c r="A4038" s="2" t="s">
        <v>38</v>
      </c>
      <c r="B4038" s="6">
        <v>45597</v>
      </c>
      <c r="C4038" s="2" t="s">
        <v>53</v>
      </c>
      <c r="D4038" s="8">
        <v>-50</v>
      </c>
      <c r="E4038" s="8">
        <f>E4037+(0-50)</f>
        <v>8769292.0399996527</v>
      </c>
    </row>
    <row r="4039" spans="1:5" x14ac:dyDescent="0.25">
      <c r="A4039" s="2" t="s">
        <v>38</v>
      </c>
      <c r="B4039" s="6">
        <v>45597</v>
      </c>
      <c r="C4039" s="2" t="s">
        <v>53</v>
      </c>
      <c r="D4039" s="8">
        <v>-650</v>
      </c>
      <c r="E4039" s="8">
        <f>E4038+(0-650)</f>
        <v>8768642.0399996527</v>
      </c>
    </row>
    <row r="4040" spans="1:5" x14ac:dyDescent="0.25">
      <c r="A4040" s="2" t="s">
        <v>38</v>
      </c>
      <c r="B4040" s="6">
        <v>45600</v>
      </c>
      <c r="C4040" s="2" t="s">
        <v>19</v>
      </c>
      <c r="D4040" s="8">
        <v>-120</v>
      </c>
      <c r="E4040" s="8">
        <f>E4039+(0-120)</f>
        <v>8768522.0399996527</v>
      </c>
    </row>
    <row r="4041" spans="1:5" x14ac:dyDescent="0.25">
      <c r="A4041" s="2" t="s">
        <v>38</v>
      </c>
      <c r="B4041" s="6">
        <v>45600</v>
      </c>
      <c r="C4041" s="2" t="s">
        <v>53</v>
      </c>
      <c r="D4041" s="8">
        <v>-53.75</v>
      </c>
      <c r="E4041" s="8">
        <f>E4040+(0-53.75)</f>
        <v>8768468.2899996527</v>
      </c>
    </row>
    <row r="4042" spans="1:5" x14ac:dyDescent="0.25">
      <c r="A4042" s="2" t="s">
        <v>38</v>
      </c>
      <c r="B4042" s="6">
        <v>45600</v>
      </c>
      <c r="C4042" s="2" t="s">
        <v>19</v>
      </c>
      <c r="D4042" s="8">
        <v>-24</v>
      </c>
      <c r="E4042" s="8">
        <f>E4041+(0-24)</f>
        <v>8768444.2899996527</v>
      </c>
    </row>
    <row r="4043" spans="1:5" x14ac:dyDescent="0.25">
      <c r="A4043" s="2" t="s">
        <v>38</v>
      </c>
      <c r="B4043" s="6">
        <v>45600</v>
      </c>
      <c r="C4043" s="2" t="s">
        <v>19</v>
      </c>
      <c r="D4043" s="8">
        <v>-120</v>
      </c>
      <c r="E4043" s="8">
        <f>E4042+(0-120)</f>
        <v>8768324.2899996527</v>
      </c>
    </row>
    <row r="4044" spans="1:5" x14ac:dyDescent="0.25">
      <c r="A4044" s="2" t="s">
        <v>38</v>
      </c>
      <c r="B4044" s="6">
        <v>45600</v>
      </c>
      <c r="C4044" s="2" t="s">
        <v>19</v>
      </c>
      <c r="D4044" s="8">
        <v>-32</v>
      </c>
      <c r="E4044" s="8">
        <f>E4043+(0-32)</f>
        <v>8768292.2899996527</v>
      </c>
    </row>
    <row r="4045" spans="1:5" x14ac:dyDescent="0.25">
      <c r="A4045" s="2" t="s">
        <v>38</v>
      </c>
      <c r="B4045" s="6">
        <v>45600</v>
      </c>
      <c r="C4045" s="2" t="s">
        <v>53</v>
      </c>
      <c r="D4045" s="8">
        <v>-500</v>
      </c>
      <c r="E4045" s="8">
        <f>E4044+(0-500)</f>
        <v>8767792.2899996527</v>
      </c>
    </row>
    <row r="4046" spans="1:5" x14ac:dyDescent="0.25">
      <c r="A4046" s="2" t="s">
        <v>38</v>
      </c>
      <c r="B4046" s="6">
        <v>45601</v>
      </c>
      <c r="C4046" s="2" t="s">
        <v>19</v>
      </c>
      <c r="D4046" s="8">
        <v>-88</v>
      </c>
      <c r="E4046" s="8">
        <f>E4045+(0-88)</f>
        <v>8767704.2899996527</v>
      </c>
    </row>
    <row r="4047" spans="1:5" x14ac:dyDescent="0.25">
      <c r="A4047" s="2" t="s">
        <v>38</v>
      </c>
      <c r="B4047" s="6">
        <v>45601</v>
      </c>
      <c r="C4047" s="2" t="s">
        <v>53</v>
      </c>
      <c r="D4047" s="8">
        <v>-53.75</v>
      </c>
      <c r="E4047" s="8">
        <f>E4046+(0-53.75)</f>
        <v>8767650.5399996527</v>
      </c>
    </row>
    <row r="4048" spans="1:5" x14ac:dyDescent="0.25">
      <c r="A4048" s="2" t="s">
        <v>38</v>
      </c>
      <c r="B4048" s="6">
        <v>45601</v>
      </c>
      <c r="C4048" s="2" t="s">
        <v>53</v>
      </c>
      <c r="D4048" s="8">
        <v>-350</v>
      </c>
      <c r="E4048" s="8">
        <f>E4047+(0-350)</f>
        <v>8767300.5399996527</v>
      </c>
    </row>
    <row r="4049" spans="1:5" x14ac:dyDescent="0.25">
      <c r="A4049" s="2" t="s">
        <v>38</v>
      </c>
      <c r="B4049" s="6">
        <v>45601</v>
      </c>
      <c r="C4049" s="2" t="s">
        <v>53</v>
      </c>
      <c r="D4049" s="8">
        <v>-50</v>
      </c>
      <c r="E4049" s="8">
        <f>E4048+(0-50)</f>
        <v>8767250.5399996527</v>
      </c>
    </row>
    <row r="4050" spans="1:5" x14ac:dyDescent="0.25">
      <c r="A4050" s="2" t="s">
        <v>38</v>
      </c>
      <c r="B4050" s="6">
        <v>45602</v>
      </c>
      <c r="C4050" s="2" t="s">
        <v>53</v>
      </c>
      <c r="D4050" s="8">
        <v>-50</v>
      </c>
      <c r="E4050" s="8">
        <f>E4049+(0-50)</f>
        <v>8767200.5399996527</v>
      </c>
    </row>
    <row r="4051" spans="1:5" x14ac:dyDescent="0.25">
      <c r="A4051" s="2" t="s">
        <v>38</v>
      </c>
      <c r="B4051" s="6">
        <v>45602</v>
      </c>
      <c r="C4051" s="2" t="s">
        <v>53</v>
      </c>
      <c r="D4051" s="8">
        <v>-53.75</v>
      </c>
      <c r="E4051" s="8">
        <f>E4050+(0-53.75)</f>
        <v>8767146.7899996527</v>
      </c>
    </row>
    <row r="4052" spans="1:5" x14ac:dyDescent="0.25">
      <c r="A4052" s="2" t="s">
        <v>38</v>
      </c>
      <c r="B4052" s="6">
        <v>45602</v>
      </c>
      <c r="C4052" s="2" t="s">
        <v>53</v>
      </c>
      <c r="D4052" s="8">
        <v>-53.75</v>
      </c>
      <c r="E4052" s="8">
        <f>E4051+(0-53.75)</f>
        <v>8767093.0399996527</v>
      </c>
    </row>
    <row r="4053" spans="1:5" x14ac:dyDescent="0.25">
      <c r="A4053" s="2" t="s">
        <v>38</v>
      </c>
      <c r="B4053" s="6">
        <v>45602</v>
      </c>
      <c r="C4053" s="2" t="s">
        <v>53</v>
      </c>
      <c r="D4053" s="8">
        <v>-400</v>
      </c>
      <c r="E4053" s="8">
        <f>E4052+(0-400)</f>
        <v>8766693.0399996527</v>
      </c>
    </row>
    <row r="4054" spans="1:5" x14ac:dyDescent="0.25">
      <c r="A4054" s="2" t="s">
        <v>38</v>
      </c>
      <c r="B4054" s="6">
        <v>45603</v>
      </c>
      <c r="C4054" s="2" t="s">
        <v>19</v>
      </c>
      <c r="D4054" s="8">
        <v>-72</v>
      </c>
      <c r="E4054" s="8">
        <f>E4053+(0-72)</f>
        <v>8766621.0399996527</v>
      </c>
    </row>
    <row r="4055" spans="1:5" x14ac:dyDescent="0.25">
      <c r="A4055" s="2" t="s">
        <v>38</v>
      </c>
      <c r="B4055" s="6">
        <v>45603</v>
      </c>
      <c r="C4055" s="2" t="s">
        <v>53</v>
      </c>
      <c r="D4055" s="8">
        <v>-450</v>
      </c>
      <c r="E4055" s="8">
        <f>E4054+(0-450)</f>
        <v>8766171.0399996527</v>
      </c>
    </row>
    <row r="4056" spans="1:5" x14ac:dyDescent="0.25">
      <c r="A4056" s="2" t="s">
        <v>38</v>
      </c>
      <c r="B4056" s="6">
        <v>45604</v>
      </c>
      <c r="C4056" s="2" t="s">
        <v>53</v>
      </c>
      <c r="D4056" s="8">
        <v>-750</v>
      </c>
      <c r="E4056" s="8">
        <f>E4055+(0-750)</f>
        <v>8765421.0399996527</v>
      </c>
    </row>
    <row r="4057" spans="1:5" x14ac:dyDescent="0.25">
      <c r="A4057" s="2" t="s">
        <v>38</v>
      </c>
      <c r="B4057" s="6">
        <v>45607</v>
      </c>
      <c r="C4057" s="2" t="s">
        <v>53</v>
      </c>
      <c r="D4057" s="8">
        <v>-450</v>
      </c>
      <c r="E4057" s="8">
        <f>E4056+(0-450)</f>
        <v>8764971.0399996527</v>
      </c>
    </row>
    <row r="4058" spans="1:5" x14ac:dyDescent="0.25">
      <c r="A4058" s="2" t="s">
        <v>38</v>
      </c>
      <c r="B4058" s="6">
        <v>45607</v>
      </c>
      <c r="C4058" s="2" t="s">
        <v>53</v>
      </c>
      <c r="D4058" s="8">
        <v>-53.75</v>
      </c>
      <c r="E4058" s="8">
        <f>E4057+(0-53.75)</f>
        <v>8764917.2899996527</v>
      </c>
    </row>
    <row r="4059" spans="1:5" x14ac:dyDescent="0.25">
      <c r="A4059" s="2" t="s">
        <v>38</v>
      </c>
      <c r="B4059" s="6">
        <v>45608</v>
      </c>
      <c r="C4059" s="2" t="s">
        <v>53</v>
      </c>
      <c r="D4059" s="8">
        <v>-53.75</v>
      </c>
      <c r="E4059" s="8">
        <f>E4058+(0-53.75)</f>
        <v>8764863.5399996527</v>
      </c>
    </row>
    <row r="4060" spans="1:5" x14ac:dyDescent="0.25">
      <c r="A4060" s="2" t="s">
        <v>38</v>
      </c>
      <c r="B4060" s="6">
        <v>45608</v>
      </c>
      <c r="C4060" s="2" t="s">
        <v>53</v>
      </c>
      <c r="D4060" s="8">
        <v>-53.75</v>
      </c>
      <c r="E4060" s="8">
        <f>E4059+(0-53.75)</f>
        <v>8764809.7899996527</v>
      </c>
    </row>
    <row r="4061" spans="1:5" x14ac:dyDescent="0.25">
      <c r="A4061" s="2" t="s">
        <v>38</v>
      </c>
      <c r="B4061" s="6">
        <v>45608</v>
      </c>
      <c r="C4061" s="2" t="s">
        <v>53</v>
      </c>
      <c r="D4061" s="8">
        <v>-53.75</v>
      </c>
      <c r="E4061" s="8">
        <f>E4060+(0-53.75)</f>
        <v>8764756.0399996527</v>
      </c>
    </row>
    <row r="4062" spans="1:5" x14ac:dyDescent="0.25">
      <c r="A4062" s="2" t="s">
        <v>38</v>
      </c>
      <c r="B4062" s="6">
        <v>45608</v>
      </c>
      <c r="C4062" s="2" t="s">
        <v>53</v>
      </c>
      <c r="D4062" s="8">
        <v>-26.88</v>
      </c>
      <c r="E4062" s="8">
        <f>E4061+(0-26.88)</f>
        <v>8764729.1599996518</v>
      </c>
    </row>
    <row r="4063" spans="1:5" x14ac:dyDescent="0.25">
      <c r="A4063" s="2" t="s">
        <v>38</v>
      </c>
      <c r="B4063" s="6">
        <v>45608</v>
      </c>
      <c r="C4063" s="2" t="s">
        <v>53</v>
      </c>
      <c r="D4063" s="8">
        <v>-53.75</v>
      </c>
      <c r="E4063" s="8">
        <f>E4062+(0-53.75)</f>
        <v>8764675.4099996518</v>
      </c>
    </row>
    <row r="4064" spans="1:5" x14ac:dyDescent="0.25">
      <c r="A4064" s="2" t="s">
        <v>38</v>
      </c>
      <c r="B4064" s="6">
        <v>45608</v>
      </c>
      <c r="C4064" s="2" t="s">
        <v>53</v>
      </c>
      <c r="D4064" s="8">
        <v>-50</v>
      </c>
      <c r="E4064" s="8">
        <f>E4063+(0-50)</f>
        <v>8764625.4099996518</v>
      </c>
    </row>
    <row r="4065" spans="1:5" x14ac:dyDescent="0.25">
      <c r="A4065" s="2" t="s">
        <v>38</v>
      </c>
      <c r="B4065" s="6">
        <v>45608</v>
      </c>
      <c r="C4065" s="2" t="s">
        <v>53</v>
      </c>
      <c r="D4065" s="8">
        <v>-500</v>
      </c>
      <c r="E4065" s="8">
        <f>E4064+(0-500)</f>
        <v>8764125.4099996518</v>
      </c>
    </row>
    <row r="4066" spans="1:5" x14ac:dyDescent="0.25">
      <c r="A4066" s="2" t="s">
        <v>38</v>
      </c>
      <c r="B4066" s="6">
        <v>45608</v>
      </c>
      <c r="C4066" s="2" t="s">
        <v>53</v>
      </c>
      <c r="D4066" s="8">
        <v>-150</v>
      </c>
      <c r="E4066" s="8">
        <f>E4065+(0-150)</f>
        <v>8763975.4099996518</v>
      </c>
    </row>
    <row r="4067" spans="1:5" x14ac:dyDescent="0.25">
      <c r="A4067" s="2" t="s">
        <v>38</v>
      </c>
      <c r="B4067" s="6">
        <v>45609</v>
      </c>
      <c r="C4067" s="2" t="s">
        <v>53</v>
      </c>
      <c r="D4067" s="8">
        <v>-300</v>
      </c>
      <c r="E4067" s="8">
        <f>E4066+(0-300)</f>
        <v>8763675.4099996518</v>
      </c>
    </row>
    <row r="4068" spans="1:5" x14ac:dyDescent="0.25">
      <c r="A4068" s="2" t="s">
        <v>38</v>
      </c>
      <c r="B4068" s="6">
        <v>45609</v>
      </c>
      <c r="C4068" s="2" t="s">
        <v>53</v>
      </c>
      <c r="D4068" s="8">
        <v>-26.88</v>
      </c>
      <c r="E4068" s="8">
        <f>E4067+(0-26.88)</f>
        <v>8763648.529999651</v>
      </c>
    </row>
    <row r="4069" spans="1:5" x14ac:dyDescent="0.25">
      <c r="A4069" s="2" t="s">
        <v>38</v>
      </c>
      <c r="B4069" s="6">
        <v>45609</v>
      </c>
      <c r="C4069" s="2" t="s">
        <v>53</v>
      </c>
      <c r="D4069" s="8">
        <v>-26.88</v>
      </c>
      <c r="E4069" s="8">
        <f>E4068+(0-26.88)</f>
        <v>8763621.6499996502</v>
      </c>
    </row>
    <row r="4070" spans="1:5" x14ac:dyDescent="0.25">
      <c r="A4070" s="2" t="s">
        <v>38</v>
      </c>
      <c r="B4070" s="6">
        <v>45609</v>
      </c>
      <c r="C4070" s="2" t="s">
        <v>53</v>
      </c>
      <c r="D4070" s="8">
        <v>-26.88</v>
      </c>
      <c r="E4070" s="8">
        <f>E4069+(0-26.88)</f>
        <v>8763594.7699996494</v>
      </c>
    </row>
    <row r="4071" spans="1:5" x14ac:dyDescent="0.25">
      <c r="A4071" s="2" t="s">
        <v>38</v>
      </c>
      <c r="B4071" s="6">
        <v>45610</v>
      </c>
      <c r="C4071" s="2" t="s">
        <v>53</v>
      </c>
      <c r="D4071" s="8">
        <v>-150</v>
      </c>
      <c r="E4071" s="8">
        <f>E4070+(0-150)</f>
        <v>8763444.7699996494</v>
      </c>
    </row>
    <row r="4072" spans="1:5" x14ac:dyDescent="0.25">
      <c r="A4072" s="2" t="s">
        <v>38</v>
      </c>
      <c r="B4072" s="6">
        <v>45610</v>
      </c>
      <c r="C4072" s="2" t="s">
        <v>53</v>
      </c>
      <c r="D4072" s="8">
        <v>-53.75</v>
      </c>
      <c r="E4072" s="8">
        <f>E4071+(0-53.75)</f>
        <v>8763391.0199996494</v>
      </c>
    </row>
    <row r="4073" spans="1:5" x14ac:dyDescent="0.25">
      <c r="A4073" s="2" t="s">
        <v>38</v>
      </c>
      <c r="B4073" s="6">
        <v>45611</v>
      </c>
      <c r="C4073" s="2" t="s">
        <v>53</v>
      </c>
      <c r="D4073" s="8">
        <v>-26.88</v>
      </c>
      <c r="E4073" s="8">
        <f>E4072+(0-26.88)</f>
        <v>8763364.1399996486</v>
      </c>
    </row>
    <row r="4074" spans="1:5" x14ac:dyDescent="0.25">
      <c r="A4074" s="2" t="s">
        <v>38</v>
      </c>
      <c r="B4074" s="6">
        <v>45611</v>
      </c>
      <c r="C4074" s="2" t="s">
        <v>53</v>
      </c>
      <c r="D4074" s="8">
        <v>-50</v>
      </c>
      <c r="E4074" s="8">
        <f>E4073+(0-50)</f>
        <v>8763314.1399996486</v>
      </c>
    </row>
    <row r="4075" spans="1:5" x14ac:dyDescent="0.25">
      <c r="A4075" s="2" t="s">
        <v>38</v>
      </c>
      <c r="B4075" s="6">
        <v>45611</v>
      </c>
      <c r="C4075" s="2" t="s">
        <v>53</v>
      </c>
      <c r="D4075" s="8">
        <v>-200</v>
      </c>
      <c r="E4075" s="8">
        <f>E4074+(0-200)</f>
        <v>8763114.1399996486</v>
      </c>
    </row>
    <row r="4076" spans="1:5" x14ac:dyDescent="0.25">
      <c r="A4076" s="2" t="s">
        <v>38</v>
      </c>
      <c r="B4076" s="6">
        <v>45614</v>
      </c>
      <c r="C4076" s="2" t="s">
        <v>174</v>
      </c>
      <c r="D4076" s="8">
        <v>-26.88</v>
      </c>
      <c r="E4076" s="8">
        <f>E4075+(0-26.88)</f>
        <v>8763087.2599996477</v>
      </c>
    </row>
    <row r="4077" spans="1:5" x14ac:dyDescent="0.25">
      <c r="A4077" s="2" t="s">
        <v>38</v>
      </c>
      <c r="B4077" s="6">
        <v>45614</v>
      </c>
      <c r="C4077" s="2" t="s">
        <v>174</v>
      </c>
      <c r="D4077" s="8">
        <v>-26.88</v>
      </c>
      <c r="E4077" s="8">
        <f>E4076+(0-26.88)</f>
        <v>8763060.3799996469</v>
      </c>
    </row>
    <row r="4078" spans="1:5" x14ac:dyDescent="0.25">
      <c r="A4078" s="2" t="s">
        <v>38</v>
      </c>
      <c r="B4078" s="6">
        <v>45614</v>
      </c>
      <c r="C4078" s="2" t="s">
        <v>174</v>
      </c>
      <c r="D4078" s="8">
        <v>-350</v>
      </c>
      <c r="E4078" s="8">
        <f>E4077+(0-350)</f>
        <v>8762710.3799996469</v>
      </c>
    </row>
    <row r="4079" spans="1:5" x14ac:dyDescent="0.25">
      <c r="A4079" s="2" t="s">
        <v>38</v>
      </c>
      <c r="B4079" s="6">
        <v>45615</v>
      </c>
      <c r="C4079" s="2" t="s">
        <v>174</v>
      </c>
      <c r="D4079" s="8">
        <v>-53.75</v>
      </c>
      <c r="E4079" s="8">
        <f>E4078+(0-53.75)</f>
        <v>8762656.6299996469</v>
      </c>
    </row>
    <row r="4080" spans="1:5" x14ac:dyDescent="0.25">
      <c r="A4080" s="2" t="s">
        <v>38</v>
      </c>
      <c r="B4080" s="6">
        <v>45615</v>
      </c>
      <c r="C4080" s="2" t="s">
        <v>174</v>
      </c>
      <c r="D4080" s="8">
        <v>-26.88</v>
      </c>
      <c r="E4080" s="8">
        <f>E4079+(0-26.88)</f>
        <v>8762629.7499996461</v>
      </c>
    </row>
    <row r="4081" spans="1:5" x14ac:dyDescent="0.25">
      <c r="A4081" s="2" t="s">
        <v>38</v>
      </c>
      <c r="B4081" s="6">
        <v>45615</v>
      </c>
      <c r="C4081" s="2" t="s">
        <v>174</v>
      </c>
      <c r="D4081" s="8">
        <v>-200</v>
      </c>
      <c r="E4081" s="8">
        <f>E4080+(0-200)</f>
        <v>8762429.7499996461</v>
      </c>
    </row>
    <row r="4082" spans="1:5" x14ac:dyDescent="0.25">
      <c r="A4082" s="2" t="s">
        <v>38</v>
      </c>
      <c r="B4082" s="6">
        <v>45616</v>
      </c>
      <c r="C4082" s="2" t="s">
        <v>174</v>
      </c>
      <c r="D4082" s="8">
        <v>-53.75</v>
      </c>
      <c r="E4082" s="8">
        <f>E4081+(0-53.75)</f>
        <v>8762375.9999996461</v>
      </c>
    </row>
    <row r="4083" spans="1:5" x14ac:dyDescent="0.25">
      <c r="A4083" s="2" t="s">
        <v>38</v>
      </c>
      <c r="B4083" s="6">
        <v>45616</v>
      </c>
      <c r="C4083" s="2" t="s">
        <v>174</v>
      </c>
      <c r="D4083" s="8">
        <v>-53.75</v>
      </c>
      <c r="E4083" s="8">
        <f>E4082+(0-53.75)</f>
        <v>8762322.2499996461</v>
      </c>
    </row>
    <row r="4084" spans="1:5" x14ac:dyDescent="0.25">
      <c r="A4084" s="2" t="s">
        <v>38</v>
      </c>
      <c r="B4084" s="6">
        <v>45616</v>
      </c>
      <c r="C4084" s="2" t="s">
        <v>174</v>
      </c>
      <c r="D4084" s="8">
        <v>-550</v>
      </c>
      <c r="E4084" s="8">
        <f>E4083+(0-550)</f>
        <v>8761772.2499996461</v>
      </c>
    </row>
    <row r="4085" spans="1:5" x14ac:dyDescent="0.25">
      <c r="A4085" s="2" t="s">
        <v>38</v>
      </c>
      <c r="B4085" s="6">
        <v>45617</v>
      </c>
      <c r="C4085" s="2" t="s">
        <v>19</v>
      </c>
      <c r="D4085" s="8">
        <v>-150</v>
      </c>
      <c r="E4085" s="8">
        <f>E4084+(0-150)</f>
        <v>8761622.2499996461</v>
      </c>
    </row>
    <row r="4086" spans="1:5" x14ac:dyDescent="0.25">
      <c r="A4086" s="2" t="s">
        <v>38</v>
      </c>
      <c r="B4086" s="6">
        <v>45617</v>
      </c>
      <c r="C4086" s="2" t="s">
        <v>19</v>
      </c>
      <c r="D4086" s="8">
        <v>-100</v>
      </c>
      <c r="E4086" s="8">
        <f>E4085+(0-100)</f>
        <v>8761522.2499996461</v>
      </c>
    </row>
    <row r="4087" spans="1:5" x14ac:dyDescent="0.25">
      <c r="A4087" s="2" t="s">
        <v>38</v>
      </c>
      <c r="B4087" s="6">
        <v>45617</v>
      </c>
      <c r="C4087" s="2" t="s">
        <v>174</v>
      </c>
      <c r="D4087" s="8">
        <v>-100</v>
      </c>
      <c r="E4087" s="8">
        <f>E4086+(0-100)</f>
        <v>8761422.2499996461</v>
      </c>
    </row>
    <row r="4088" spans="1:5" x14ac:dyDescent="0.25">
      <c r="A4088" s="2" t="s">
        <v>38</v>
      </c>
      <c r="B4088" s="6">
        <v>45617</v>
      </c>
      <c r="C4088" s="2" t="s">
        <v>174</v>
      </c>
      <c r="D4088" s="8">
        <v>-26.88</v>
      </c>
      <c r="E4088" s="8">
        <f>E4087+(0-26.88)</f>
        <v>8761395.3699996453</v>
      </c>
    </row>
    <row r="4089" spans="1:5" x14ac:dyDescent="0.25">
      <c r="A4089" s="2" t="s">
        <v>38</v>
      </c>
      <c r="B4089" s="6">
        <v>45617</v>
      </c>
      <c r="C4089" s="2" t="s">
        <v>174</v>
      </c>
      <c r="D4089" s="8">
        <v>-50</v>
      </c>
      <c r="E4089" s="8">
        <f>E4088+(0-50)</f>
        <v>8761345.3699996453</v>
      </c>
    </row>
    <row r="4090" spans="1:5" x14ac:dyDescent="0.25">
      <c r="A4090" s="2" t="s">
        <v>38</v>
      </c>
      <c r="B4090" s="6">
        <v>45618</v>
      </c>
      <c r="C4090" s="2" t="s">
        <v>174</v>
      </c>
      <c r="D4090" s="8">
        <v>-53.75</v>
      </c>
      <c r="E4090" s="8">
        <f>E4089+(0-53.75)</f>
        <v>8761291.6199996453</v>
      </c>
    </row>
    <row r="4091" spans="1:5" x14ac:dyDescent="0.25">
      <c r="A4091" s="2" t="s">
        <v>38</v>
      </c>
      <c r="B4091" s="6">
        <v>45618</v>
      </c>
      <c r="C4091" s="2" t="s">
        <v>174</v>
      </c>
      <c r="D4091" s="8">
        <v>-50</v>
      </c>
      <c r="E4091" s="8">
        <f>E4090+(0-50)</f>
        <v>8761241.6199996453</v>
      </c>
    </row>
    <row r="4092" spans="1:5" x14ac:dyDescent="0.25">
      <c r="A4092" s="2" t="s">
        <v>38</v>
      </c>
      <c r="B4092" s="6">
        <v>45618</v>
      </c>
      <c r="C4092" s="2" t="s">
        <v>174</v>
      </c>
      <c r="D4092" s="8">
        <v>-350</v>
      </c>
      <c r="E4092" s="8">
        <f>E4091+(0-350)</f>
        <v>8760891.6199996453</v>
      </c>
    </row>
    <row r="4093" spans="1:5" x14ac:dyDescent="0.25">
      <c r="A4093" s="2" t="s">
        <v>38</v>
      </c>
      <c r="B4093" s="6">
        <v>45621</v>
      </c>
      <c r="C4093" s="2" t="s">
        <v>19</v>
      </c>
      <c r="D4093" s="8">
        <v>-180</v>
      </c>
      <c r="E4093" s="8">
        <f>E4092+(0-180)</f>
        <v>8760711.6199996453</v>
      </c>
    </row>
    <row r="4094" spans="1:5" x14ac:dyDescent="0.25">
      <c r="A4094" s="2" t="s">
        <v>38</v>
      </c>
      <c r="B4094" s="6">
        <v>45621</v>
      </c>
      <c r="C4094" s="2" t="s">
        <v>53</v>
      </c>
      <c r="D4094" s="8">
        <v>-26.88</v>
      </c>
      <c r="E4094" s="8">
        <f>E4093+(0-26.88)</f>
        <v>8760684.7399996445</v>
      </c>
    </row>
    <row r="4095" spans="1:5" x14ac:dyDescent="0.25">
      <c r="A4095" s="2" t="s">
        <v>38</v>
      </c>
      <c r="B4095" s="6">
        <v>45621</v>
      </c>
      <c r="C4095" s="2" t="s">
        <v>19</v>
      </c>
      <c r="D4095" s="8">
        <v>-10</v>
      </c>
      <c r="E4095" s="8">
        <f>E4094+(0-10)</f>
        <v>8760674.7399996445</v>
      </c>
    </row>
    <row r="4096" spans="1:5" x14ac:dyDescent="0.25">
      <c r="A4096" s="2" t="s">
        <v>38</v>
      </c>
      <c r="B4096" s="6">
        <v>45621</v>
      </c>
      <c r="C4096" s="2" t="s">
        <v>53</v>
      </c>
      <c r="D4096" s="8">
        <v>-26.88</v>
      </c>
      <c r="E4096" s="8">
        <f>E4095+(0-26.88)</f>
        <v>8760647.8599996436</v>
      </c>
    </row>
    <row r="4097" spans="1:5" x14ac:dyDescent="0.25">
      <c r="A4097" s="2" t="s">
        <v>38</v>
      </c>
      <c r="B4097" s="6">
        <v>45621</v>
      </c>
      <c r="C4097" s="2" t="s">
        <v>53</v>
      </c>
      <c r="D4097" s="8">
        <v>-26.88</v>
      </c>
      <c r="E4097" s="8">
        <f>E4096+(0-26.88)</f>
        <v>8760620.9799996428</v>
      </c>
    </row>
    <row r="4098" spans="1:5" x14ac:dyDescent="0.25">
      <c r="A4098" s="2" t="s">
        <v>38</v>
      </c>
      <c r="B4098" s="6">
        <v>45621</v>
      </c>
      <c r="C4098" s="2" t="s">
        <v>19</v>
      </c>
      <c r="D4098" s="8">
        <v>-120</v>
      </c>
      <c r="E4098" s="8">
        <f>E4097+(0-120)</f>
        <v>8760500.9799996428</v>
      </c>
    </row>
    <row r="4099" spans="1:5" x14ac:dyDescent="0.25">
      <c r="A4099" s="2" t="s">
        <v>38</v>
      </c>
      <c r="B4099" s="6">
        <v>45621</v>
      </c>
      <c r="C4099" s="2" t="s">
        <v>19</v>
      </c>
      <c r="D4099" s="8">
        <v>-160</v>
      </c>
      <c r="E4099" s="8">
        <f>E4098+(0-160)</f>
        <v>8760340.9799996428</v>
      </c>
    </row>
    <row r="4100" spans="1:5" x14ac:dyDescent="0.25">
      <c r="A4100" s="2" t="s">
        <v>38</v>
      </c>
      <c r="B4100" s="6">
        <v>45621</v>
      </c>
      <c r="C4100" s="2" t="s">
        <v>19</v>
      </c>
      <c r="D4100" s="8">
        <v>-120</v>
      </c>
      <c r="E4100" s="8">
        <f>E4099+(0-120)</f>
        <v>8760220.9799996428</v>
      </c>
    </row>
    <row r="4101" spans="1:5" x14ac:dyDescent="0.25">
      <c r="A4101" s="2" t="s">
        <v>38</v>
      </c>
      <c r="B4101" s="6">
        <v>45621</v>
      </c>
      <c r="C4101" s="2" t="s">
        <v>19</v>
      </c>
      <c r="D4101" s="8">
        <v>-90</v>
      </c>
      <c r="E4101" s="8">
        <f>E4100+(0-90)</f>
        <v>8760130.9799996428</v>
      </c>
    </row>
    <row r="4102" spans="1:5" x14ac:dyDescent="0.25">
      <c r="A4102" s="2" t="s">
        <v>38</v>
      </c>
      <c r="B4102" s="6">
        <v>45621</v>
      </c>
      <c r="C4102" s="2" t="s">
        <v>53</v>
      </c>
      <c r="D4102" s="8">
        <v>-26.88</v>
      </c>
      <c r="E4102" s="8">
        <f>E4101+(0-26.88)</f>
        <v>8760104.099999642</v>
      </c>
    </row>
    <row r="4103" spans="1:5" x14ac:dyDescent="0.25">
      <c r="A4103" s="2" t="s">
        <v>38</v>
      </c>
      <c r="B4103" s="6">
        <v>45621</v>
      </c>
      <c r="C4103" s="2" t="s">
        <v>53</v>
      </c>
      <c r="D4103" s="8">
        <v>-53.75</v>
      </c>
      <c r="E4103" s="8">
        <f>E4102+(0-53.75)</f>
        <v>8760050.349999642</v>
      </c>
    </row>
    <row r="4104" spans="1:5" x14ac:dyDescent="0.25">
      <c r="A4104" s="2" t="s">
        <v>38</v>
      </c>
      <c r="B4104" s="6">
        <v>45621</v>
      </c>
      <c r="C4104" s="2" t="s">
        <v>53</v>
      </c>
      <c r="D4104" s="8">
        <v>-53.75</v>
      </c>
      <c r="E4104" s="8">
        <f>E4103+(0-53.75)</f>
        <v>8759996.599999642</v>
      </c>
    </row>
    <row r="4105" spans="1:5" x14ac:dyDescent="0.25">
      <c r="A4105" s="2" t="s">
        <v>38</v>
      </c>
      <c r="B4105" s="6">
        <v>45621</v>
      </c>
      <c r="C4105" s="2" t="s">
        <v>19</v>
      </c>
      <c r="D4105" s="8">
        <v>-80</v>
      </c>
      <c r="E4105" s="8">
        <f>E4104+(0-80)</f>
        <v>8759916.599999642</v>
      </c>
    </row>
    <row r="4106" spans="1:5" x14ac:dyDescent="0.25">
      <c r="A4106" s="2" t="s">
        <v>38</v>
      </c>
      <c r="B4106" s="6">
        <v>45621</v>
      </c>
      <c r="C4106" s="2" t="s">
        <v>53</v>
      </c>
      <c r="D4106" s="8">
        <v>-53.75</v>
      </c>
      <c r="E4106" s="8">
        <f>E4105+(0-53.75)</f>
        <v>8759862.849999642</v>
      </c>
    </row>
    <row r="4107" spans="1:5" x14ac:dyDescent="0.25">
      <c r="A4107" s="2" t="s">
        <v>38</v>
      </c>
      <c r="B4107" s="6">
        <v>45621</v>
      </c>
      <c r="C4107" s="2" t="s">
        <v>53</v>
      </c>
      <c r="D4107" s="8">
        <v>-450</v>
      </c>
      <c r="E4107" s="8">
        <f>E4106+(0-450)</f>
        <v>8759412.849999642</v>
      </c>
    </row>
    <row r="4108" spans="1:5" x14ac:dyDescent="0.25">
      <c r="A4108" s="2" t="s">
        <v>38</v>
      </c>
      <c r="B4108" s="6">
        <v>45622</v>
      </c>
      <c r="C4108" s="2" t="s">
        <v>19</v>
      </c>
      <c r="D4108" s="8">
        <v>-80</v>
      </c>
      <c r="E4108" s="8">
        <f>E4107+(0-80)</f>
        <v>8759332.849999642</v>
      </c>
    </row>
    <row r="4109" spans="1:5" x14ac:dyDescent="0.25">
      <c r="A4109" s="2" t="s">
        <v>38</v>
      </c>
      <c r="B4109" s="6">
        <v>45622</v>
      </c>
      <c r="C4109" s="2" t="s">
        <v>19</v>
      </c>
      <c r="D4109" s="8">
        <v>-90</v>
      </c>
      <c r="E4109" s="8">
        <f>E4108+(0-90)</f>
        <v>8759242.849999642</v>
      </c>
    </row>
    <row r="4110" spans="1:5" x14ac:dyDescent="0.25">
      <c r="A4110" s="2" t="s">
        <v>38</v>
      </c>
      <c r="B4110" s="6">
        <v>45622</v>
      </c>
      <c r="C4110" s="2" t="s">
        <v>53</v>
      </c>
      <c r="D4110" s="8">
        <v>-200</v>
      </c>
      <c r="E4110" s="8">
        <f>E4109+(0-200)</f>
        <v>8759042.849999642</v>
      </c>
    </row>
    <row r="4111" spans="1:5" x14ac:dyDescent="0.25">
      <c r="A4111" s="2" t="s">
        <v>38</v>
      </c>
      <c r="B4111" s="6">
        <v>45623</v>
      </c>
      <c r="C4111" s="2" t="s">
        <v>53</v>
      </c>
      <c r="D4111" s="8">
        <v>-26.88</v>
      </c>
      <c r="E4111" s="8">
        <f>E4110+(0-26.88)</f>
        <v>8759015.9699996412</v>
      </c>
    </row>
    <row r="4112" spans="1:5" x14ac:dyDescent="0.25">
      <c r="A4112" s="2" t="s">
        <v>38</v>
      </c>
      <c r="B4112" s="6">
        <v>45623</v>
      </c>
      <c r="C4112" s="2" t="s">
        <v>53</v>
      </c>
      <c r="D4112" s="8">
        <v>-53.75</v>
      </c>
      <c r="E4112" s="8">
        <f>E4111+(0-53.75)</f>
        <v>8758962.2199996412</v>
      </c>
    </row>
    <row r="4113" spans="1:5" x14ac:dyDescent="0.25">
      <c r="A4113" s="2" t="s">
        <v>38</v>
      </c>
      <c r="B4113" s="6">
        <v>45623</v>
      </c>
      <c r="C4113" s="2" t="s">
        <v>53</v>
      </c>
      <c r="D4113" s="8">
        <v>-53.75</v>
      </c>
      <c r="E4113" s="8">
        <f>E4112+(0-53.75)</f>
        <v>8758908.4699996412</v>
      </c>
    </row>
    <row r="4114" spans="1:5" x14ac:dyDescent="0.25">
      <c r="A4114" s="2" t="s">
        <v>38</v>
      </c>
      <c r="B4114" s="6">
        <v>45623</v>
      </c>
      <c r="C4114" s="2" t="s">
        <v>53</v>
      </c>
      <c r="D4114" s="8">
        <v>-26.88</v>
      </c>
      <c r="E4114" s="8">
        <f>E4113+(0-26.88)</f>
        <v>8758881.5899996404</v>
      </c>
    </row>
    <row r="4115" spans="1:5" x14ac:dyDescent="0.25">
      <c r="A4115" s="2" t="s">
        <v>38</v>
      </c>
      <c r="B4115" s="6">
        <v>45623</v>
      </c>
      <c r="C4115" s="2" t="s">
        <v>53</v>
      </c>
      <c r="D4115" s="8">
        <v>-26.88</v>
      </c>
      <c r="E4115" s="8">
        <f>E4114+(0-26.88)</f>
        <v>8758854.7099996395</v>
      </c>
    </row>
    <row r="4116" spans="1:5" x14ac:dyDescent="0.25">
      <c r="A4116" s="2" t="s">
        <v>38</v>
      </c>
      <c r="B4116" s="6">
        <v>45623</v>
      </c>
      <c r="C4116" s="2" t="s">
        <v>53</v>
      </c>
      <c r="D4116" s="8">
        <v>-450</v>
      </c>
      <c r="E4116" s="8">
        <f>E4115+(0-450)</f>
        <v>8758404.7099996395</v>
      </c>
    </row>
    <row r="4117" spans="1:5" x14ac:dyDescent="0.25">
      <c r="A4117" s="2" t="s">
        <v>38</v>
      </c>
      <c r="B4117" s="6">
        <v>45624</v>
      </c>
      <c r="C4117" s="2" t="s">
        <v>19</v>
      </c>
      <c r="D4117" s="8">
        <v>-40</v>
      </c>
      <c r="E4117" s="8">
        <f>E4116+(0-40)</f>
        <v>8758364.7099996395</v>
      </c>
    </row>
    <row r="4118" spans="1:5" x14ac:dyDescent="0.25">
      <c r="A4118" s="2" t="s">
        <v>38</v>
      </c>
      <c r="B4118" s="6">
        <v>45624</v>
      </c>
      <c r="C4118" s="2" t="s">
        <v>19</v>
      </c>
      <c r="D4118" s="8">
        <v>-270</v>
      </c>
      <c r="E4118" s="8">
        <f>E4117+(0-270)</f>
        <v>8758094.7099996395</v>
      </c>
    </row>
    <row r="4119" spans="1:5" x14ac:dyDescent="0.25">
      <c r="A4119" s="2" t="s">
        <v>38</v>
      </c>
      <c r="B4119" s="6">
        <v>45624</v>
      </c>
      <c r="C4119" s="2" t="s">
        <v>53</v>
      </c>
      <c r="D4119" s="8">
        <v>-26.88</v>
      </c>
      <c r="E4119" s="8">
        <f>E4118+(0-26.88)</f>
        <v>8758067.8299996387</v>
      </c>
    </row>
    <row r="4120" spans="1:5" x14ac:dyDescent="0.25">
      <c r="A4120" s="2" t="s">
        <v>38</v>
      </c>
      <c r="B4120" s="6">
        <v>45624</v>
      </c>
      <c r="C4120" s="2" t="s">
        <v>53</v>
      </c>
      <c r="D4120" s="8">
        <v>-400</v>
      </c>
      <c r="E4120" s="8">
        <f>E4119+(0-400)</f>
        <v>8757667.8299996387</v>
      </c>
    </row>
    <row r="4121" spans="1:5" x14ac:dyDescent="0.25">
      <c r="A4121" s="2" t="s">
        <v>38</v>
      </c>
      <c r="B4121" s="6">
        <v>45624</v>
      </c>
      <c r="C4121" s="2" t="s">
        <v>53</v>
      </c>
      <c r="D4121" s="8">
        <v>-50</v>
      </c>
      <c r="E4121" s="8">
        <f>E4120+(0-50)</f>
        <v>8757617.8299996387</v>
      </c>
    </row>
    <row r="4122" spans="1:5" x14ac:dyDescent="0.25">
      <c r="A4122" s="2" t="s">
        <v>38</v>
      </c>
      <c r="B4122" s="6">
        <v>45625</v>
      </c>
      <c r="C4122" s="2" t="s">
        <v>53</v>
      </c>
      <c r="D4122" s="8">
        <v>-26.88</v>
      </c>
      <c r="E4122" s="8">
        <f>E4121+(0-26.88)</f>
        <v>8757590.9499996379</v>
      </c>
    </row>
    <row r="4123" spans="1:5" x14ac:dyDescent="0.25">
      <c r="A4123" s="2" t="s">
        <v>38</v>
      </c>
      <c r="B4123" s="6">
        <v>45625</v>
      </c>
      <c r="C4123" s="2" t="s">
        <v>53</v>
      </c>
      <c r="D4123" s="8">
        <v>-50</v>
      </c>
      <c r="E4123" s="8">
        <f>E4122+(0-50)</f>
        <v>8757540.9499996379</v>
      </c>
    </row>
    <row r="4124" spans="1:5" x14ac:dyDescent="0.25">
      <c r="A4124" s="2" t="s">
        <v>38</v>
      </c>
      <c r="B4124" s="6">
        <v>45625</v>
      </c>
      <c r="C4124" s="2" t="s">
        <v>53</v>
      </c>
      <c r="D4124" s="8">
        <v>-600</v>
      </c>
      <c r="E4124" s="8">
        <f>E4123+(0-600)</f>
        <v>8756940.9499996379</v>
      </c>
    </row>
    <row r="4125" spans="1:5" x14ac:dyDescent="0.25">
      <c r="A4125" s="2" t="s">
        <v>38</v>
      </c>
      <c r="B4125" s="6">
        <v>45628</v>
      </c>
      <c r="C4125" s="2" t="s">
        <v>19</v>
      </c>
      <c r="D4125" s="8">
        <v>-170</v>
      </c>
      <c r="E4125" s="8">
        <f>E4124+(0-170)</f>
        <v>8756770.9499996379</v>
      </c>
    </row>
    <row r="4126" spans="1:5" x14ac:dyDescent="0.25">
      <c r="A4126" s="2" t="s">
        <v>38</v>
      </c>
      <c r="B4126" s="6">
        <v>45628</v>
      </c>
      <c r="C4126" s="2" t="s">
        <v>53</v>
      </c>
      <c r="D4126" s="8">
        <v>-26.88</v>
      </c>
      <c r="E4126" s="8">
        <f>E4125+(0-26.88)</f>
        <v>8756744.0699996371</v>
      </c>
    </row>
    <row r="4127" spans="1:5" x14ac:dyDescent="0.25">
      <c r="A4127" s="2" t="s">
        <v>38</v>
      </c>
      <c r="B4127" s="6">
        <v>45628</v>
      </c>
      <c r="C4127" s="2" t="s">
        <v>53</v>
      </c>
      <c r="D4127" s="8">
        <v>-53.75</v>
      </c>
      <c r="E4127" s="8">
        <f>E4126+(0-53.75)</f>
        <v>8756690.3199996371</v>
      </c>
    </row>
    <row r="4128" spans="1:5" x14ac:dyDescent="0.25">
      <c r="A4128" s="2" t="s">
        <v>38</v>
      </c>
      <c r="B4128" s="6">
        <v>45628</v>
      </c>
      <c r="C4128" s="2" t="s">
        <v>53</v>
      </c>
      <c r="D4128" s="8">
        <v>-300</v>
      </c>
      <c r="E4128" s="8">
        <f>E4127+(0-300)</f>
        <v>8756390.3199996371</v>
      </c>
    </row>
    <row r="4129" spans="1:5" x14ac:dyDescent="0.25">
      <c r="A4129" s="2" t="s">
        <v>38</v>
      </c>
      <c r="B4129" s="6">
        <v>45629</v>
      </c>
      <c r="C4129" s="2" t="s">
        <v>53</v>
      </c>
      <c r="D4129" s="8">
        <v>-26.88</v>
      </c>
      <c r="E4129" s="8">
        <f>E4128+(0-26.88)</f>
        <v>8756363.4399996363</v>
      </c>
    </row>
    <row r="4130" spans="1:5" x14ac:dyDescent="0.25">
      <c r="A4130" s="2" t="s">
        <v>38</v>
      </c>
      <c r="B4130" s="6">
        <v>45629</v>
      </c>
      <c r="C4130" s="2" t="s">
        <v>53</v>
      </c>
      <c r="D4130" s="8">
        <v>-350</v>
      </c>
      <c r="E4130" s="8">
        <f>E4129+(0-350)</f>
        <v>8756013.4399996363</v>
      </c>
    </row>
    <row r="4131" spans="1:5" x14ac:dyDescent="0.25">
      <c r="A4131" s="2" t="s">
        <v>38</v>
      </c>
      <c r="B4131" s="6">
        <v>45629</v>
      </c>
      <c r="C4131" s="2" t="s">
        <v>53</v>
      </c>
      <c r="D4131" s="8">
        <v>-100</v>
      </c>
      <c r="E4131" s="8">
        <f>E4130+(0-100)</f>
        <v>8755913.4399996363</v>
      </c>
    </row>
    <row r="4132" spans="1:5" x14ac:dyDescent="0.25">
      <c r="A4132" s="2" t="s">
        <v>38</v>
      </c>
      <c r="B4132" s="6">
        <v>45631</v>
      </c>
      <c r="C4132" s="2" t="s">
        <v>53</v>
      </c>
      <c r="D4132" s="8">
        <v>-53.75</v>
      </c>
      <c r="E4132" s="8">
        <f>E4131+(0-53.75)</f>
        <v>8755859.6899996363</v>
      </c>
    </row>
    <row r="4133" spans="1:5" x14ac:dyDescent="0.25">
      <c r="A4133" s="2" t="s">
        <v>38</v>
      </c>
      <c r="B4133" s="6">
        <v>45631</v>
      </c>
      <c r="C4133" s="2" t="s">
        <v>53</v>
      </c>
      <c r="D4133" s="8">
        <v>-26.88</v>
      </c>
      <c r="E4133" s="8">
        <f>E4132+(0-26.88)</f>
        <v>8755832.8099996354</v>
      </c>
    </row>
    <row r="4134" spans="1:5" x14ac:dyDescent="0.25">
      <c r="A4134" s="2" t="s">
        <v>38</v>
      </c>
      <c r="B4134" s="6">
        <v>45631</v>
      </c>
      <c r="C4134" s="2" t="s">
        <v>53</v>
      </c>
      <c r="D4134" s="8">
        <v>-50</v>
      </c>
      <c r="E4134" s="8">
        <f>E4133+(0-50)</f>
        <v>8755782.8099996354</v>
      </c>
    </row>
    <row r="4135" spans="1:5" x14ac:dyDescent="0.25">
      <c r="A4135" s="2" t="s">
        <v>38</v>
      </c>
      <c r="B4135" s="6">
        <v>45631</v>
      </c>
      <c r="C4135" s="2" t="s">
        <v>53</v>
      </c>
      <c r="D4135" s="8">
        <v>-450</v>
      </c>
      <c r="E4135" s="8">
        <f>E4134+(0-450)</f>
        <v>8755332.8099996354</v>
      </c>
    </row>
    <row r="4136" spans="1:5" x14ac:dyDescent="0.25">
      <c r="A4136" s="2" t="s">
        <v>38</v>
      </c>
      <c r="B4136" s="6">
        <v>45631</v>
      </c>
      <c r="C4136" s="2" t="s">
        <v>53</v>
      </c>
      <c r="D4136" s="8">
        <v>-200</v>
      </c>
      <c r="E4136" s="8">
        <f>E4135+(0-200)</f>
        <v>8755132.8099996354</v>
      </c>
    </row>
    <row r="4137" spans="1:5" x14ac:dyDescent="0.25">
      <c r="A4137" s="2" t="s">
        <v>38</v>
      </c>
      <c r="B4137" s="6">
        <v>45632</v>
      </c>
      <c r="C4137" s="2" t="s">
        <v>19</v>
      </c>
      <c r="D4137" s="8">
        <v>-190</v>
      </c>
      <c r="E4137" s="8">
        <f>E4136+(0-190)</f>
        <v>8754942.8099996354</v>
      </c>
    </row>
    <row r="4138" spans="1:5" x14ac:dyDescent="0.25">
      <c r="A4138" s="2" t="s">
        <v>38</v>
      </c>
      <c r="B4138" s="6">
        <v>45632</v>
      </c>
      <c r="C4138" s="2" t="s">
        <v>53</v>
      </c>
      <c r="D4138" s="8">
        <v>-26.88</v>
      </c>
      <c r="E4138" s="8">
        <f>E4137+(0-26.88)</f>
        <v>8754915.9299996346</v>
      </c>
    </row>
    <row r="4139" spans="1:5" x14ac:dyDescent="0.25">
      <c r="A4139" s="2" t="s">
        <v>38</v>
      </c>
      <c r="B4139" s="6">
        <v>45632</v>
      </c>
      <c r="C4139" s="2" t="s">
        <v>53</v>
      </c>
      <c r="D4139" s="8">
        <v>-350</v>
      </c>
      <c r="E4139" s="8">
        <f>E4138+(0-350)</f>
        <v>8754565.9299996346</v>
      </c>
    </row>
    <row r="4140" spans="1:5" x14ac:dyDescent="0.25">
      <c r="A4140" s="2" t="s">
        <v>38</v>
      </c>
      <c r="B4140" s="6">
        <v>45635</v>
      </c>
      <c r="C4140" s="2" t="s">
        <v>53</v>
      </c>
      <c r="D4140" s="8">
        <v>-600</v>
      </c>
      <c r="E4140" s="8">
        <f>E4139+(0-600)</f>
        <v>8753965.9299996346</v>
      </c>
    </row>
    <row r="4141" spans="1:5" x14ac:dyDescent="0.25">
      <c r="A4141" s="2" t="s">
        <v>38</v>
      </c>
      <c r="B4141" s="6">
        <v>45635</v>
      </c>
      <c r="C4141" s="2" t="s">
        <v>53</v>
      </c>
      <c r="D4141" s="8">
        <v>-100</v>
      </c>
      <c r="E4141" s="8">
        <f>E4140+(0-100)</f>
        <v>8753865.9299996346</v>
      </c>
    </row>
    <row r="4142" spans="1:5" x14ac:dyDescent="0.25">
      <c r="A4142" s="2" t="s">
        <v>38</v>
      </c>
      <c r="B4142" s="6">
        <v>45636</v>
      </c>
      <c r="C4142" s="2" t="s">
        <v>53</v>
      </c>
      <c r="D4142" s="8">
        <v>-50</v>
      </c>
      <c r="E4142" s="8">
        <f>E4141+(0-50)</f>
        <v>8753815.9299996346</v>
      </c>
    </row>
    <row r="4143" spans="1:5" x14ac:dyDescent="0.25">
      <c r="A4143" s="2" t="s">
        <v>38</v>
      </c>
      <c r="B4143" s="6">
        <v>45636</v>
      </c>
      <c r="C4143" s="2" t="s">
        <v>53</v>
      </c>
      <c r="D4143" s="8">
        <v>-100</v>
      </c>
      <c r="E4143" s="8">
        <f>E4142+(0-100)</f>
        <v>8753715.9299996346</v>
      </c>
    </row>
    <row r="4144" spans="1:5" x14ac:dyDescent="0.25">
      <c r="A4144" s="2" t="s">
        <v>38</v>
      </c>
      <c r="B4144" s="6">
        <v>45636</v>
      </c>
      <c r="C4144" s="2" t="s">
        <v>53</v>
      </c>
      <c r="D4144" s="8">
        <v>-300</v>
      </c>
      <c r="E4144" s="8">
        <f>E4143+(0-300)</f>
        <v>8753415.9299996346</v>
      </c>
    </row>
    <row r="4145" spans="1:5" x14ac:dyDescent="0.25">
      <c r="A4145" s="2" t="s">
        <v>38</v>
      </c>
      <c r="B4145" s="6">
        <v>45637</v>
      </c>
      <c r="C4145" s="2" t="s">
        <v>53</v>
      </c>
      <c r="D4145" s="8">
        <v>-500</v>
      </c>
      <c r="E4145" s="8">
        <f>E4144+(0-500)</f>
        <v>8752915.9299996346</v>
      </c>
    </row>
    <row r="4146" spans="1:5" x14ac:dyDescent="0.25">
      <c r="A4146" s="2" t="s">
        <v>38</v>
      </c>
      <c r="B4146" s="6">
        <v>45638</v>
      </c>
      <c r="C4146" s="2" t="s">
        <v>53</v>
      </c>
      <c r="D4146" s="8">
        <v>-53.75</v>
      </c>
      <c r="E4146" s="8">
        <f>E4145+(0-53.75)</f>
        <v>8752862.1799996346</v>
      </c>
    </row>
    <row r="4147" spans="1:5" x14ac:dyDescent="0.25">
      <c r="A4147" s="2" t="s">
        <v>38</v>
      </c>
      <c r="B4147" s="6">
        <v>45638</v>
      </c>
      <c r="C4147" s="2" t="s">
        <v>53</v>
      </c>
      <c r="D4147" s="8">
        <v>-500</v>
      </c>
      <c r="E4147" s="8">
        <f>E4146+(0-500)</f>
        <v>8752362.1799996346</v>
      </c>
    </row>
    <row r="4148" spans="1:5" x14ac:dyDescent="0.25">
      <c r="A4148" s="2" t="s">
        <v>38</v>
      </c>
      <c r="B4148" s="6">
        <v>45639</v>
      </c>
      <c r="C4148" s="2" t="s">
        <v>197</v>
      </c>
      <c r="D4148" s="8">
        <v>-50</v>
      </c>
      <c r="E4148" s="8">
        <f>E4147+(0-50)</f>
        <v>8752312.1799996346</v>
      </c>
    </row>
    <row r="4149" spans="1:5" x14ac:dyDescent="0.25">
      <c r="A4149" s="2" t="s">
        <v>38</v>
      </c>
      <c r="B4149" s="6">
        <v>45639</v>
      </c>
      <c r="C4149" s="2" t="s">
        <v>53</v>
      </c>
      <c r="D4149" s="8">
        <v>-53.75</v>
      </c>
      <c r="E4149" s="8">
        <f>E4148+(0-53.75)</f>
        <v>8752258.4299996346</v>
      </c>
    </row>
    <row r="4150" spans="1:5" x14ac:dyDescent="0.25">
      <c r="A4150" s="2" t="s">
        <v>38</v>
      </c>
      <c r="B4150" s="6">
        <v>45639</v>
      </c>
      <c r="C4150" s="2" t="s">
        <v>53</v>
      </c>
      <c r="D4150" s="8">
        <v>-100</v>
      </c>
      <c r="E4150" s="8">
        <f>E4149+(0-100)</f>
        <v>8752158.4299996346</v>
      </c>
    </row>
    <row r="4151" spans="1:5" x14ac:dyDescent="0.25">
      <c r="A4151" s="2" t="s">
        <v>38</v>
      </c>
      <c r="B4151" s="6">
        <v>45639</v>
      </c>
      <c r="C4151" s="2" t="s">
        <v>53</v>
      </c>
      <c r="D4151" s="8">
        <v>-550</v>
      </c>
      <c r="E4151" s="8">
        <f>E4150+(0-550)</f>
        <v>8751608.4299996346</v>
      </c>
    </row>
    <row r="4152" spans="1:5" x14ac:dyDescent="0.25">
      <c r="A4152" s="2" t="s">
        <v>38</v>
      </c>
      <c r="B4152" s="6">
        <v>45642</v>
      </c>
      <c r="C4152" s="2" t="s">
        <v>53</v>
      </c>
      <c r="D4152" s="8">
        <v>-53.75</v>
      </c>
      <c r="E4152" s="8">
        <f>E4151+(0-53.75)</f>
        <v>8751554.6799996346</v>
      </c>
    </row>
    <row r="4153" spans="1:5" x14ac:dyDescent="0.25">
      <c r="A4153" s="2" t="s">
        <v>38</v>
      </c>
      <c r="B4153" s="6">
        <v>45642</v>
      </c>
      <c r="C4153" s="2" t="s">
        <v>19</v>
      </c>
      <c r="D4153" s="8">
        <v>-290</v>
      </c>
      <c r="E4153" s="8">
        <f>E4152+(0-290)</f>
        <v>8751264.6799996346</v>
      </c>
    </row>
    <row r="4154" spans="1:5" x14ac:dyDescent="0.25">
      <c r="A4154" s="2" t="s">
        <v>38</v>
      </c>
      <c r="B4154" s="6">
        <v>45642</v>
      </c>
      <c r="C4154" s="2" t="s">
        <v>53</v>
      </c>
      <c r="D4154" s="8">
        <v>-26.88</v>
      </c>
      <c r="E4154" s="8">
        <f>E4153+(0-26.88)</f>
        <v>8751237.7999996338</v>
      </c>
    </row>
    <row r="4155" spans="1:5" x14ac:dyDescent="0.25">
      <c r="A4155" s="2" t="s">
        <v>38</v>
      </c>
      <c r="B4155" s="6">
        <v>45642</v>
      </c>
      <c r="C4155" s="2" t="s">
        <v>19</v>
      </c>
      <c r="D4155" s="8">
        <v>-75</v>
      </c>
      <c r="E4155" s="8">
        <f>E4154+(0-75)</f>
        <v>8751162.7999996338</v>
      </c>
    </row>
    <row r="4156" spans="1:5" x14ac:dyDescent="0.25">
      <c r="A4156" s="2" t="s">
        <v>38</v>
      </c>
      <c r="B4156" s="6">
        <v>45642</v>
      </c>
      <c r="C4156" s="2" t="s">
        <v>53</v>
      </c>
      <c r="D4156" s="8">
        <v>-850</v>
      </c>
      <c r="E4156" s="8">
        <f>E4155+(0-850)</f>
        <v>8750312.7999996338</v>
      </c>
    </row>
    <row r="4157" spans="1:5" x14ac:dyDescent="0.25">
      <c r="A4157" s="2" t="s">
        <v>38</v>
      </c>
      <c r="B4157" s="6">
        <v>45642</v>
      </c>
      <c r="C4157" s="2" t="s">
        <v>53</v>
      </c>
      <c r="D4157" s="8">
        <v>-50</v>
      </c>
      <c r="E4157" s="8">
        <f>E4156+(0-50)</f>
        <v>8750262.7999996338</v>
      </c>
    </row>
    <row r="4158" spans="1:5" x14ac:dyDescent="0.25">
      <c r="A4158" s="2" t="s">
        <v>38</v>
      </c>
      <c r="B4158" s="6">
        <v>45642</v>
      </c>
      <c r="C4158" s="2" t="s">
        <v>19</v>
      </c>
      <c r="D4158" s="8">
        <v>-50</v>
      </c>
      <c r="E4158" s="8">
        <f>E4157+(0-50)</f>
        <v>8750212.7999996338</v>
      </c>
    </row>
    <row r="4159" spans="1:5" x14ac:dyDescent="0.25">
      <c r="A4159" s="2" t="s">
        <v>38</v>
      </c>
      <c r="B4159" s="6">
        <v>45643</v>
      </c>
      <c r="C4159" s="2" t="s">
        <v>19</v>
      </c>
      <c r="D4159" s="8">
        <v>-72</v>
      </c>
      <c r="E4159" s="8">
        <f>E4158+(0-72)</f>
        <v>8750140.7999996338</v>
      </c>
    </row>
    <row r="4160" spans="1:5" x14ac:dyDescent="0.25">
      <c r="A4160" s="2" t="s">
        <v>38</v>
      </c>
      <c r="B4160" s="6">
        <v>45643</v>
      </c>
      <c r="C4160" s="2" t="s">
        <v>19</v>
      </c>
      <c r="D4160" s="8">
        <v>-180</v>
      </c>
      <c r="E4160" s="8">
        <f>E4159+(0-180)</f>
        <v>8749960.7999996338</v>
      </c>
    </row>
    <row r="4161" spans="1:5" x14ac:dyDescent="0.25">
      <c r="A4161" s="2" t="s">
        <v>38</v>
      </c>
      <c r="B4161" s="6">
        <v>45643</v>
      </c>
      <c r="C4161" s="2" t="s">
        <v>53</v>
      </c>
      <c r="D4161" s="8">
        <v>-26.88</v>
      </c>
      <c r="E4161" s="8">
        <f>E4160+(0-26.88)</f>
        <v>8749933.919999633</v>
      </c>
    </row>
    <row r="4162" spans="1:5" x14ac:dyDescent="0.25">
      <c r="A4162" s="2" t="s">
        <v>38</v>
      </c>
      <c r="B4162" s="6">
        <v>45643</v>
      </c>
      <c r="C4162" s="2" t="s">
        <v>53</v>
      </c>
      <c r="D4162" s="8">
        <v>-200</v>
      </c>
      <c r="E4162" s="8">
        <f>E4161+(0-200)</f>
        <v>8749733.919999633</v>
      </c>
    </row>
    <row r="4163" spans="1:5" x14ac:dyDescent="0.25">
      <c r="A4163" s="2" t="s">
        <v>38</v>
      </c>
      <c r="B4163" s="6">
        <v>45643</v>
      </c>
      <c r="C4163" s="2" t="s">
        <v>53</v>
      </c>
      <c r="D4163" s="8">
        <v>-50</v>
      </c>
      <c r="E4163" s="8">
        <f>E4162+(0-50)</f>
        <v>8749683.919999633</v>
      </c>
    </row>
    <row r="4164" spans="1:5" x14ac:dyDescent="0.25">
      <c r="A4164" s="2" t="s">
        <v>38</v>
      </c>
      <c r="B4164" s="6">
        <v>45644</v>
      </c>
      <c r="C4164" s="2" t="s">
        <v>19</v>
      </c>
      <c r="D4164" s="8">
        <v>-50</v>
      </c>
      <c r="E4164" s="8">
        <f>E4163+(0-50)</f>
        <v>8749633.919999633</v>
      </c>
    </row>
    <row r="4165" spans="1:5" x14ac:dyDescent="0.25">
      <c r="A4165" s="2" t="s">
        <v>38</v>
      </c>
      <c r="B4165" s="6">
        <v>45644</v>
      </c>
      <c r="C4165" s="2" t="s">
        <v>53</v>
      </c>
      <c r="D4165" s="8">
        <v>-53.75</v>
      </c>
      <c r="E4165" s="8">
        <f>E4164+(0-53.75)</f>
        <v>8749580.169999633</v>
      </c>
    </row>
    <row r="4166" spans="1:5" x14ac:dyDescent="0.25">
      <c r="A4166" s="2" t="s">
        <v>38</v>
      </c>
      <c r="B4166" s="6">
        <v>45644</v>
      </c>
      <c r="C4166" s="2" t="s">
        <v>19</v>
      </c>
      <c r="D4166" s="8">
        <v>-60</v>
      </c>
      <c r="E4166" s="8">
        <f>E4165+(0-60)</f>
        <v>8749520.169999633</v>
      </c>
    </row>
    <row r="4167" spans="1:5" x14ac:dyDescent="0.25">
      <c r="A4167" s="2" t="s">
        <v>38</v>
      </c>
      <c r="B4167" s="6">
        <v>45644</v>
      </c>
      <c r="C4167" s="2" t="s">
        <v>53</v>
      </c>
      <c r="D4167" s="8">
        <v>-53.75</v>
      </c>
      <c r="E4167" s="8">
        <f>E4166+(0-53.75)</f>
        <v>8749466.419999633</v>
      </c>
    </row>
    <row r="4168" spans="1:5" x14ac:dyDescent="0.25">
      <c r="A4168" s="2" t="s">
        <v>38</v>
      </c>
      <c r="B4168" s="6">
        <v>45644</v>
      </c>
      <c r="C4168" s="2" t="s">
        <v>19</v>
      </c>
      <c r="D4168" s="8">
        <v>-120</v>
      </c>
      <c r="E4168" s="8">
        <f>E4167+(0-120)</f>
        <v>8749346.419999633</v>
      </c>
    </row>
    <row r="4169" spans="1:5" x14ac:dyDescent="0.25">
      <c r="A4169" s="2" t="s">
        <v>38</v>
      </c>
      <c r="B4169" s="6">
        <v>45644</v>
      </c>
      <c r="C4169" s="2" t="s">
        <v>53</v>
      </c>
      <c r="D4169" s="8">
        <v>-50</v>
      </c>
      <c r="E4169" s="8">
        <f>E4168+(0-50)</f>
        <v>8749296.419999633</v>
      </c>
    </row>
    <row r="4170" spans="1:5" x14ac:dyDescent="0.25">
      <c r="A4170" s="2" t="s">
        <v>38</v>
      </c>
      <c r="B4170" s="6">
        <v>45644</v>
      </c>
      <c r="C4170" s="2" t="s">
        <v>53</v>
      </c>
      <c r="D4170" s="8">
        <v>-250</v>
      </c>
      <c r="E4170" s="8">
        <f>E4169+(0-250)</f>
        <v>8749046.419999633</v>
      </c>
    </row>
    <row r="4171" spans="1:5" x14ac:dyDescent="0.25">
      <c r="A4171" s="2" t="s">
        <v>38</v>
      </c>
      <c r="B4171" s="6">
        <v>45644</v>
      </c>
      <c r="C4171" s="2" t="s">
        <v>19</v>
      </c>
      <c r="D4171" s="8">
        <v>-40</v>
      </c>
      <c r="E4171" s="8">
        <f>E4170+(0-40)</f>
        <v>8749006.419999633</v>
      </c>
    </row>
    <row r="4172" spans="1:5" x14ac:dyDescent="0.25">
      <c r="A4172" s="2" t="s">
        <v>38</v>
      </c>
      <c r="B4172" s="6">
        <v>45644</v>
      </c>
      <c r="C4172" s="2" t="s">
        <v>53</v>
      </c>
      <c r="D4172" s="8">
        <v>-50</v>
      </c>
      <c r="E4172" s="8">
        <f>E4171+(0-50)</f>
        <v>8748956.419999633</v>
      </c>
    </row>
    <row r="4173" spans="1:5" x14ac:dyDescent="0.25">
      <c r="A4173" s="2" t="s">
        <v>38</v>
      </c>
      <c r="B4173" s="6">
        <v>45644</v>
      </c>
      <c r="C4173" s="2" t="s">
        <v>19</v>
      </c>
      <c r="D4173" s="8">
        <v>-110</v>
      </c>
      <c r="E4173" s="8">
        <f>E4172+(0-110)</f>
        <v>8748846.419999633</v>
      </c>
    </row>
    <row r="4174" spans="1:5" x14ac:dyDescent="0.25">
      <c r="A4174" s="2" t="s">
        <v>38</v>
      </c>
      <c r="B4174" s="6">
        <v>45645</v>
      </c>
      <c r="C4174" s="2" t="s">
        <v>53</v>
      </c>
      <c r="D4174" s="8">
        <v>-500</v>
      </c>
      <c r="E4174" s="8">
        <f>E4173+(0-500)</f>
        <v>8748346.419999633</v>
      </c>
    </row>
    <row r="4175" spans="1:5" x14ac:dyDescent="0.25">
      <c r="A4175" s="2" t="s">
        <v>38</v>
      </c>
      <c r="B4175" s="6">
        <v>45645</v>
      </c>
      <c r="C4175" s="2" t="s">
        <v>53</v>
      </c>
      <c r="D4175" s="8">
        <v>-50</v>
      </c>
      <c r="E4175" s="8">
        <f>E4174+(0-50)</f>
        <v>8748296.419999633</v>
      </c>
    </row>
    <row r="4176" spans="1:5" x14ac:dyDescent="0.25">
      <c r="A4176" s="2" t="s">
        <v>38</v>
      </c>
      <c r="B4176" s="6">
        <v>45646</v>
      </c>
      <c r="C4176" s="2" t="s">
        <v>19</v>
      </c>
      <c r="D4176" s="8">
        <v>-20</v>
      </c>
      <c r="E4176" s="8">
        <f>E4175+(0-20)</f>
        <v>8748276.419999633</v>
      </c>
    </row>
    <row r="4177" spans="1:5" x14ac:dyDescent="0.25">
      <c r="A4177" s="2" t="s">
        <v>38</v>
      </c>
      <c r="B4177" s="6">
        <v>45646</v>
      </c>
      <c r="C4177" s="2" t="s">
        <v>19</v>
      </c>
      <c r="D4177" s="8">
        <v>-5</v>
      </c>
      <c r="E4177" s="8">
        <f>E4176+(0-5)</f>
        <v>8748271.419999633</v>
      </c>
    </row>
    <row r="4178" spans="1:5" x14ac:dyDescent="0.25">
      <c r="A4178" s="2" t="s">
        <v>38</v>
      </c>
      <c r="B4178" s="6">
        <v>45646</v>
      </c>
      <c r="C4178" s="2" t="s">
        <v>19</v>
      </c>
      <c r="D4178" s="8">
        <v>-100</v>
      </c>
      <c r="E4178" s="8">
        <f>E4177+(0-100)</f>
        <v>8748171.419999633</v>
      </c>
    </row>
    <row r="4179" spans="1:5" x14ac:dyDescent="0.25">
      <c r="A4179" s="2" t="s">
        <v>38</v>
      </c>
      <c r="B4179" s="6">
        <v>45646</v>
      </c>
      <c r="C4179" s="2" t="s">
        <v>53</v>
      </c>
      <c r="D4179" s="8">
        <v>-550</v>
      </c>
      <c r="E4179" s="8">
        <f>E4178+(0-550)</f>
        <v>8747621.419999633</v>
      </c>
    </row>
    <row r="4180" spans="1:5" x14ac:dyDescent="0.25">
      <c r="A4180" s="2" t="s">
        <v>38</v>
      </c>
      <c r="B4180" s="6">
        <v>45649</v>
      </c>
      <c r="C4180" s="2" t="s">
        <v>19</v>
      </c>
      <c r="D4180" s="8">
        <v>-45</v>
      </c>
      <c r="E4180" s="8">
        <f>E4179+(0-45)</f>
        <v>8747576.419999633</v>
      </c>
    </row>
    <row r="4181" spans="1:5" x14ac:dyDescent="0.25">
      <c r="A4181" s="2" t="s">
        <v>38</v>
      </c>
      <c r="B4181" s="6">
        <v>45649</v>
      </c>
      <c r="C4181" s="2" t="s">
        <v>19</v>
      </c>
      <c r="D4181" s="8">
        <v>-85</v>
      </c>
      <c r="E4181" s="8">
        <f>E4180+(0-85)</f>
        <v>8747491.419999633</v>
      </c>
    </row>
    <row r="4182" spans="1:5" x14ac:dyDescent="0.25">
      <c r="A4182" s="2" t="s">
        <v>38</v>
      </c>
      <c r="B4182" s="6">
        <v>45649</v>
      </c>
      <c r="C4182" s="2" t="s">
        <v>53</v>
      </c>
      <c r="D4182" s="8">
        <v>-53.75</v>
      </c>
      <c r="E4182" s="8">
        <f>E4181+(0-53.75)</f>
        <v>8747437.669999633</v>
      </c>
    </row>
    <row r="4183" spans="1:5" x14ac:dyDescent="0.25">
      <c r="A4183" s="2" t="s">
        <v>38</v>
      </c>
      <c r="B4183" s="6">
        <v>45649</v>
      </c>
      <c r="C4183" s="2" t="s">
        <v>19</v>
      </c>
      <c r="D4183" s="8">
        <v>-70</v>
      </c>
      <c r="E4183" s="8">
        <f>E4182+(0-70)</f>
        <v>8747367.669999633</v>
      </c>
    </row>
    <row r="4184" spans="1:5" x14ac:dyDescent="0.25">
      <c r="A4184" s="2" t="s">
        <v>38</v>
      </c>
      <c r="B4184" s="6">
        <v>45649</v>
      </c>
      <c r="C4184" s="2" t="s">
        <v>19</v>
      </c>
      <c r="D4184" s="8">
        <v>-5</v>
      </c>
      <c r="E4184" s="8">
        <f>E4183+(0-5)</f>
        <v>8747362.669999633</v>
      </c>
    </row>
    <row r="4185" spans="1:5" x14ac:dyDescent="0.25">
      <c r="A4185" s="2" t="s">
        <v>38</v>
      </c>
      <c r="B4185" s="6">
        <v>45649</v>
      </c>
      <c r="C4185" s="2" t="s">
        <v>19</v>
      </c>
      <c r="D4185" s="8">
        <v>-190</v>
      </c>
      <c r="E4185" s="8">
        <f>E4184+(0-190)</f>
        <v>8747172.669999633</v>
      </c>
    </row>
    <row r="4186" spans="1:5" x14ac:dyDescent="0.25">
      <c r="A4186" s="2" t="s">
        <v>38</v>
      </c>
      <c r="B4186" s="6">
        <v>45649</v>
      </c>
      <c r="C4186" s="2" t="s">
        <v>53</v>
      </c>
      <c r="D4186" s="8">
        <v>-53.75</v>
      </c>
      <c r="E4186" s="8">
        <f>E4185+(0-53.75)</f>
        <v>8747118.919999633</v>
      </c>
    </row>
    <row r="4187" spans="1:5" x14ac:dyDescent="0.25">
      <c r="A4187" s="2" t="s">
        <v>38</v>
      </c>
      <c r="B4187" s="6">
        <v>45649</v>
      </c>
      <c r="C4187" s="2" t="s">
        <v>19</v>
      </c>
      <c r="D4187" s="8">
        <v>-20</v>
      </c>
      <c r="E4187" s="8">
        <f>E4186+(0-20)</f>
        <v>8747098.919999633</v>
      </c>
    </row>
    <row r="4188" spans="1:5" x14ac:dyDescent="0.25">
      <c r="A4188" s="2" t="s">
        <v>38</v>
      </c>
      <c r="B4188" s="6">
        <v>45649</v>
      </c>
      <c r="C4188" s="2" t="s">
        <v>19</v>
      </c>
      <c r="D4188" s="8">
        <v>-12</v>
      </c>
      <c r="E4188" s="8">
        <f>E4187+(0-12)</f>
        <v>8747086.919999633</v>
      </c>
    </row>
    <row r="4189" spans="1:5" x14ac:dyDescent="0.25">
      <c r="A4189" s="2" t="s">
        <v>38</v>
      </c>
      <c r="B4189" s="6">
        <v>45649</v>
      </c>
      <c r="C4189" s="2" t="s">
        <v>19</v>
      </c>
      <c r="D4189" s="8">
        <v>-68</v>
      </c>
      <c r="E4189" s="8">
        <f>E4188+(0-68)</f>
        <v>8747018.919999633</v>
      </c>
    </row>
    <row r="4190" spans="1:5" x14ac:dyDescent="0.25">
      <c r="A4190" s="2" t="s">
        <v>38</v>
      </c>
      <c r="B4190" s="6">
        <v>45649</v>
      </c>
      <c r="C4190" s="2" t="s">
        <v>19</v>
      </c>
      <c r="D4190" s="8">
        <v>-24</v>
      </c>
      <c r="E4190" s="8">
        <f>E4189+(0-24)</f>
        <v>8746994.919999633</v>
      </c>
    </row>
    <row r="4191" spans="1:5" x14ac:dyDescent="0.25">
      <c r="A4191" s="2" t="s">
        <v>38</v>
      </c>
      <c r="B4191" s="6">
        <v>45649</v>
      </c>
      <c r="C4191" s="2" t="s">
        <v>19</v>
      </c>
      <c r="D4191" s="8">
        <v>-52</v>
      </c>
      <c r="E4191" s="8">
        <f>E4190+(0-52)</f>
        <v>8746942.919999633</v>
      </c>
    </row>
    <row r="4192" spans="1:5" x14ac:dyDescent="0.25">
      <c r="A4192" s="2" t="s">
        <v>38</v>
      </c>
      <c r="B4192" s="6">
        <v>45649</v>
      </c>
      <c r="C4192" s="2" t="s">
        <v>19</v>
      </c>
      <c r="D4192" s="8">
        <v>-44</v>
      </c>
      <c r="E4192" s="8">
        <f>E4191+(0-44)</f>
        <v>8746898.919999633</v>
      </c>
    </row>
    <row r="4193" spans="1:5" x14ac:dyDescent="0.25">
      <c r="A4193" s="2" t="s">
        <v>38</v>
      </c>
      <c r="B4193" s="6">
        <v>45649</v>
      </c>
      <c r="C4193" s="2" t="s">
        <v>19</v>
      </c>
      <c r="D4193" s="8">
        <v>-44</v>
      </c>
      <c r="E4193" s="8">
        <f>E4192+(0-44)</f>
        <v>8746854.919999633</v>
      </c>
    </row>
    <row r="4194" spans="1:5" x14ac:dyDescent="0.25">
      <c r="A4194" s="2" t="s">
        <v>38</v>
      </c>
      <c r="B4194" s="6">
        <v>45649</v>
      </c>
      <c r="C4194" s="2" t="s">
        <v>53</v>
      </c>
      <c r="D4194" s="8">
        <v>-53.75</v>
      </c>
      <c r="E4194" s="8">
        <f>E4193+(0-53.75)</f>
        <v>8746801.169999633</v>
      </c>
    </row>
    <row r="4195" spans="1:5" x14ac:dyDescent="0.25">
      <c r="A4195" s="2" t="s">
        <v>38</v>
      </c>
      <c r="B4195" s="6">
        <v>45649</v>
      </c>
      <c r="C4195" s="2" t="s">
        <v>19</v>
      </c>
      <c r="D4195" s="8">
        <v>-20</v>
      </c>
      <c r="E4195" s="8">
        <f>E4194+(0-20)</f>
        <v>8746781.169999633</v>
      </c>
    </row>
    <row r="4196" spans="1:5" x14ac:dyDescent="0.25">
      <c r="A4196" s="2" t="s">
        <v>38</v>
      </c>
      <c r="B4196" s="6">
        <v>45649</v>
      </c>
      <c r="C4196" s="2" t="s">
        <v>53</v>
      </c>
      <c r="D4196" s="8">
        <v>-53.75</v>
      </c>
      <c r="E4196" s="8">
        <f>E4195+(0-53.75)</f>
        <v>8746727.419999633</v>
      </c>
    </row>
    <row r="4197" spans="1:5" x14ac:dyDescent="0.25">
      <c r="A4197" s="2" t="s">
        <v>38</v>
      </c>
      <c r="B4197" s="6">
        <v>45649</v>
      </c>
      <c r="C4197" s="2" t="s">
        <v>53</v>
      </c>
      <c r="D4197" s="8">
        <v>-450</v>
      </c>
      <c r="E4197" s="8">
        <f>E4196+(0-450)</f>
        <v>8746277.419999633</v>
      </c>
    </row>
    <row r="4198" spans="1:5" x14ac:dyDescent="0.25">
      <c r="A4198" s="2" t="s">
        <v>38</v>
      </c>
      <c r="B4198" s="6">
        <v>45650</v>
      </c>
      <c r="C4198" s="2" t="s">
        <v>53</v>
      </c>
      <c r="D4198" s="8">
        <v>-53.75</v>
      </c>
      <c r="E4198" s="8">
        <f>E4197+(0-53.75)</f>
        <v>8746223.669999633</v>
      </c>
    </row>
    <row r="4199" spans="1:5" x14ac:dyDescent="0.25">
      <c r="A4199" s="2" t="s">
        <v>38</v>
      </c>
      <c r="B4199" s="6">
        <v>45650</v>
      </c>
      <c r="C4199" s="2" t="s">
        <v>53</v>
      </c>
      <c r="D4199" s="8">
        <v>-50</v>
      </c>
      <c r="E4199" s="8">
        <f>E4198+(0-50)</f>
        <v>8746173.669999633</v>
      </c>
    </row>
    <row r="4200" spans="1:5" x14ac:dyDescent="0.25">
      <c r="A4200" s="2" t="s">
        <v>38</v>
      </c>
      <c r="B4200" s="6">
        <v>45650</v>
      </c>
      <c r="C4200" s="2" t="s">
        <v>53</v>
      </c>
      <c r="D4200" s="8">
        <v>-350</v>
      </c>
      <c r="E4200" s="8">
        <f>E4199+(0-350)</f>
        <v>8745823.669999633</v>
      </c>
    </row>
    <row r="4201" spans="1:5" x14ac:dyDescent="0.25">
      <c r="A4201" s="2" t="s">
        <v>38</v>
      </c>
      <c r="B4201" s="6">
        <v>45650</v>
      </c>
      <c r="C4201" s="2" t="s">
        <v>53</v>
      </c>
      <c r="D4201" s="8">
        <v>-100</v>
      </c>
      <c r="E4201" s="8">
        <f>E4200+(0-100)</f>
        <v>8745723.669999633</v>
      </c>
    </row>
    <row r="4202" spans="1:5" x14ac:dyDescent="0.25">
      <c r="A4202" s="2" t="s">
        <v>38</v>
      </c>
      <c r="B4202" s="6">
        <v>45653</v>
      </c>
      <c r="C4202" s="2" t="s">
        <v>19</v>
      </c>
      <c r="D4202" s="8">
        <v>-180</v>
      </c>
      <c r="E4202" s="8">
        <f>E4201+(0-180)</f>
        <v>8745543.669999633</v>
      </c>
    </row>
    <row r="4203" spans="1:5" x14ac:dyDescent="0.25">
      <c r="A4203" s="2" t="s">
        <v>38</v>
      </c>
      <c r="B4203" s="6">
        <v>45653</v>
      </c>
      <c r="C4203" s="2" t="s">
        <v>53</v>
      </c>
      <c r="D4203" s="8">
        <v>-53.75</v>
      </c>
      <c r="E4203" s="8">
        <f>E4202+(0-53.75)</f>
        <v>8745489.919999633</v>
      </c>
    </row>
    <row r="4204" spans="1:5" x14ac:dyDescent="0.25">
      <c r="A4204" s="2" t="s">
        <v>38</v>
      </c>
      <c r="B4204" s="6">
        <v>45653</v>
      </c>
      <c r="C4204" s="2" t="s">
        <v>53</v>
      </c>
      <c r="D4204" s="8">
        <v>-50</v>
      </c>
      <c r="E4204" s="8">
        <f>E4203+(0-50)</f>
        <v>8745439.919999633</v>
      </c>
    </row>
    <row r="4205" spans="1:5" x14ac:dyDescent="0.25">
      <c r="A4205" s="2" t="s">
        <v>38</v>
      </c>
      <c r="B4205" s="6">
        <v>45653</v>
      </c>
      <c r="C4205" s="2" t="s">
        <v>53</v>
      </c>
      <c r="D4205" s="8">
        <v>-300</v>
      </c>
      <c r="E4205" s="8">
        <f>E4204+(0-300)</f>
        <v>8745139.919999633</v>
      </c>
    </row>
    <row r="4206" spans="1:5" x14ac:dyDescent="0.25">
      <c r="A4206" s="2" t="s">
        <v>38</v>
      </c>
      <c r="B4206" s="6">
        <v>45656</v>
      </c>
      <c r="C4206" s="2" t="s">
        <v>19</v>
      </c>
      <c r="D4206" s="8">
        <v>-56</v>
      </c>
      <c r="E4206" s="8">
        <f>E4205+(0-56)</f>
        <v>8745083.919999633</v>
      </c>
    </row>
    <row r="4207" spans="1:5" x14ac:dyDescent="0.25">
      <c r="A4207" s="2" t="s">
        <v>38</v>
      </c>
      <c r="B4207" s="6">
        <v>45656</v>
      </c>
      <c r="C4207" s="2" t="s">
        <v>19</v>
      </c>
      <c r="D4207" s="8">
        <v>-44</v>
      </c>
      <c r="E4207" s="8">
        <f>E4206+(0-44)</f>
        <v>8745039.919999633</v>
      </c>
    </row>
    <row r="4208" spans="1:5" x14ac:dyDescent="0.25">
      <c r="A4208" s="2" t="s">
        <v>38</v>
      </c>
      <c r="B4208" s="6">
        <v>45656</v>
      </c>
      <c r="C4208" s="2" t="s">
        <v>19</v>
      </c>
      <c r="D4208" s="8">
        <v>-4</v>
      </c>
      <c r="E4208" s="8">
        <f>E4207+(0-4)</f>
        <v>8745035.919999633</v>
      </c>
    </row>
    <row r="4209" spans="1:5" x14ac:dyDescent="0.25">
      <c r="A4209" s="2" t="s">
        <v>38</v>
      </c>
      <c r="B4209" s="6">
        <v>45656</v>
      </c>
      <c r="C4209" s="2" t="s">
        <v>19</v>
      </c>
      <c r="D4209" s="8">
        <v>-4</v>
      </c>
      <c r="E4209" s="8">
        <f>E4208+(0-4)</f>
        <v>8745031.919999633</v>
      </c>
    </row>
    <row r="4210" spans="1:5" x14ac:dyDescent="0.25">
      <c r="A4210" s="2" t="s">
        <v>38</v>
      </c>
      <c r="B4210" s="6">
        <v>45656</v>
      </c>
      <c r="C4210" s="2" t="s">
        <v>19</v>
      </c>
      <c r="D4210" s="8">
        <v>-36</v>
      </c>
      <c r="E4210" s="8">
        <f>E4209+(0-36)</f>
        <v>8744995.919999633</v>
      </c>
    </row>
    <row r="4211" spans="1:5" x14ac:dyDescent="0.25">
      <c r="A4211" s="2" t="s">
        <v>38</v>
      </c>
      <c r="B4211" s="6">
        <v>45656</v>
      </c>
      <c r="C4211" s="2" t="s">
        <v>19</v>
      </c>
      <c r="D4211" s="8">
        <v>-8</v>
      </c>
      <c r="E4211" s="8">
        <f>E4210+(0-8)</f>
        <v>8744987.919999633</v>
      </c>
    </row>
    <row r="4212" spans="1:5" x14ac:dyDescent="0.25">
      <c r="A4212" s="2" t="s">
        <v>38</v>
      </c>
      <c r="B4212" s="6">
        <v>45656</v>
      </c>
      <c r="C4212" s="2" t="s">
        <v>53</v>
      </c>
      <c r="D4212" s="8">
        <v>-53.75</v>
      </c>
      <c r="E4212" s="8">
        <f>E4211+(0-53.75)</f>
        <v>8744934.169999633</v>
      </c>
    </row>
    <row r="4213" spans="1:5" x14ac:dyDescent="0.25">
      <c r="A4213" s="2" t="s">
        <v>38</v>
      </c>
      <c r="B4213" s="6">
        <v>45656</v>
      </c>
      <c r="C4213" s="2" t="s">
        <v>53</v>
      </c>
      <c r="D4213" s="8">
        <v>-53.75</v>
      </c>
      <c r="E4213" s="8">
        <f>E4212+(0-53.75)</f>
        <v>8744880.419999633</v>
      </c>
    </row>
    <row r="4214" spans="1:5" x14ac:dyDescent="0.25">
      <c r="A4214" s="2" t="s">
        <v>38</v>
      </c>
      <c r="B4214" s="6">
        <v>45656</v>
      </c>
      <c r="C4214" s="2" t="s">
        <v>53</v>
      </c>
      <c r="D4214" s="8">
        <v>-53.75</v>
      </c>
      <c r="E4214" s="8">
        <f>E4213+(0-53.75)</f>
        <v>8744826.669999633</v>
      </c>
    </row>
    <row r="4215" spans="1:5" x14ac:dyDescent="0.25">
      <c r="A4215" s="2" t="s">
        <v>38</v>
      </c>
      <c r="B4215" s="6">
        <v>45656</v>
      </c>
      <c r="C4215" s="2" t="s">
        <v>53</v>
      </c>
      <c r="D4215" s="8">
        <v>-26.88</v>
      </c>
      <c r="E4215" s="8">
        <f>E4214+(0-26.88)</f>
        <v>8744799.7899996322</v>
      </c>
    </row>
    <row r="4216" spans="1:5" x14ac:dyDescent="0.25">
      <c r="A4216" s="2" t="s">
        <v>38</v>
      </c>
      <c r="B4216" s="6">
        <v>45656</v>
      </c>
      <c r="C4216" s="2" t="s">
        <v>53</v>
      </c>
      <c r="D4216" s="8">
        <v>-53.75</v>
      </c>
      <c r="E4216" s="8">
        <f>E4215+(0-53.75)</f>
        <v>8744746.0399996322</v>
      </c>
    </row>
    <row r="4217" spans="1:5" x14ac:dyDescent="0.25">
      <c r="A4217" s="2" t="s">
        <v>38</v>
      </c>
      <c r="B4217" s="6">
        <v>45656</v>
      </c>
      <c r="C4217" s="2" t="s">
        <v>53</v>
      </c>
      <c r="D4217" s="8">
        <v>-26.88</v>
      </c>
      <c r="E4217" s="8">
        <f>E4216+(0-26.88)</f>
        <v>8744719.1599996313</v>
      </c>
    </row>
    <row r="4218" spans="1:5" x14ac:dyDescent="0.25">
      <c r="A4218" s="2" t="s">
        <v>38</v>
      </c>
      <c r="B4218" s="6">
        <v>45656</v>
      </c>
      <c r="C4218" s="2" t="s">
        <v>53</v>
      </c>
      <c r="D4218" s="8">
        <v>-26.88</v>
      </c>
      <c r="E4218" s="8">
        <f>E4217+(0-26.88)</f>
        <v>8744692.2799996305</v>
      </c>
    </row>
    <row r="4219" spans="1:5" x14ac:dyDescent="0.25">
      <c r="A4219" s="2" t="s">
        <v>38</v>
      </c>
      <c r="B4219" s="6">
        <v>45656</v>
      </c>
      <c r="C4219" s="2" t="s">
        <v>53</v>
      </c>
      <c r="D4219" s="8">
        <v>-53.75</v>
      </c>
      <c r="E4219" s="8">
        <f>E4218+(0-53.75)</f>
        <v>8744638.5299996305</v>
      </c>
    </row>
    <row r="4220" spans="1:5" x14ac:dyDescent="0.25">
      <c r="A4220" s="2" t="s">
        <v>38</v>
      </c>
      <c r="B4220" s="6">
        <v>45656</v>
      </c>
      <c r="C4220" s="2" t="s">
        <v>53</v>
      </c>
      <c r="D4220" s="8">
        <v>-700</v>
      </c>
      <c r="E4220" s="8">
        <f>E4219+(0-700)</f>
        <v>8743938.5299996305</v>
      </c>
    </row>
    <row r="4221" spans="1:5" x14ac:dyDescent="0.25">
      <c r="A4221" s="2" t="s">
        <v>38</v>
      </c>
      <c r="B4221" s="6">
        <v>45657</v>
      </c>
      <c r="C4221" s="2" t="s">
        <v>53</v>
      </c>
      <c r="D4221" s="8">
        <v>-53.75</v>
      </c>
      <c r="E4221" s="8">
        <f>E4220+(0-53.75)</f>
        <v>8743884.7799996305</v>
      </c>
    </row>
    <row r="4222" spans="1:5" x14ac:dyDescent="0.25">
      <c r="A4222" s="2" t="s">
        <v>38</v>
      </c>
      <c r="B4222" s="6">
        <v>45657</v>
      </c>
      <c r="C4222" s="2" t="s">
        <v>53</v>
      </c>
      <c r="D4222" s="8">
        <v>-50</v>
      </c>
      <c r="E4222" s="8">
        <f>E4221+(0-50)</f>
        <v>8743834.7799996305</v>
      </c>
    </row>
    <row r="4223" spans="1:5" x14ac:dyDescent="0.25">
      <c r="A4223" s="2" t="s">
        <v>38</v>
      </c>
      <c r="B4223" s="6">
        <v>45657</v>
      </c>
      <c r="C4223" s="2" t="s">
        <v>53</v>
      </c>
      <c r="D4223" s="8">
        <v>-300</v>
      </c>
      <c r="E4223" s="8">
        <f>E4222+(0-300)</f>
        <v>8743534.7799996305</v>
      </c>
    </row>
    <row r="4224" spans="1:5" x14ac:dyDescent="0.25">
      <c r="A4224" s="2" t="s">
        <v>38</v>
      </c>
      <c r="B4224" s="6">
        <v>45657</v>
      </c>
      <c r="C4224" s="2" t="s">
        <v>19</v>
      </c>
      <c r="D4224" s="8">
        <v>-12</v>
      </c>
      <c r="E4224" s="8">
        <f>E4223+(0-12)</f>
        <v>8743522.7799996305</v>
      </c>
    </row>
    <row r="4225" spans="1:5" x14ac:dyDescent="0.25">
      <c r="A4225" s="2" t="s">
        <v>38</v>
      </c>
      <c r="B4225" s="6">
        <v>45659</v>
      </c>
      <c r="C4225" s="2" t="s">
        <v>53</v>
      </c>
      <c r="D4225" s="8">
        <v>-100</v>
      </c>
      <c r="E4225" s="8">
        <f>E4224+(0-100)</f>
        <v>8743422.7799996305</v>
      </c>
    </row>
    <row r="4226" spans="1:5" x14ac:dyDescent="0.25">
      <c r="A4226" s="2" t="s">
        <v>38</v>
      </c>
      <c r="B4226" s="6">
        <v>45660</v>
      </c>
      <c r="C4226" s="2" t="s">
        <v>53</v>
      </c>
      <c r="D4226" s="8">
        <v>-53.75</v>
      </c>
      <c r="E4226" s="8">
        <f>E4225+(0-53.75)</f>
        <v>8743369.0299996305</v>
      </c>
    </row>
    <row r="4227" spans="1:5" x14ac:dyDescent="0.25">
      <c r="A4227" s="2" t="s">
        <v>38</v>
      </c>
      <c r="B4227" s="6">
        <v>45660</v>
      </c>
      <c r="C4227" s="2" t="s">
        <v>53</v>
      </c>
      <c r="D4227" s="8">
        <v>-150</v>
      </c>
      <c r="E4227" s="8">
        <f>E4226+(0-150)</f>
        <v>8743219.0299996305</v>
      </c>
    </row>
    <row r="4228" spans="1:5" x14ac:dyDescent="0.25">
      <c r="A4228" s="2" t="s">
        <v>38</v>
      </c>
      <c r="B4228" s="6">
        <v>45663</v>
      </c>
      <c r="C4228" s="2" t="s">
        <v>53</v>
      </c>
      <c r="D4228" s="8">
        <v>-53.75</v>
      </c>
      <c r="E4228" s="8">
        <f>E4227+(0-53.75)</f>
        <v>8743165.2799996305</v>
      </c>
    </row>
    <row r="4229" spans="1:5" x14ac:dyDescent="0.25">
      <c r="A4229" s="2" t="s">
        <v>38</v>
      </c>
      <c r="B4229" s="6">
        <v>45663</v>
      </c>
      <c r="C4229" s="2" t="s">
        <v>53</v>
      </c>
      <c r="D4229" s="8">
        <v>-26.88</v>
      </c>
      <c r="E4229" s="8">
        <f>E4228+(0-26.88)</f>
        <v>8743138.3999996297</v>
      </c>
    </row>
    <row r="4230" spans="1:5" x14ac:dyDescent="0.25">
      <c r="A4230" s="2" t="s">
        <v>38</v>
      </c>
      <c r="B4230" s="6">
        <v>45663</v>
      </c>
      <c r="C4230" s="2" t="s">
        <v>53</v>
      </c>
      <c r="D4230" s="8">
        <v>-50</v>
      </c>
      <c r="E4230" s="8">
        <f>E4229+(0-50)</f>
        <v>8743088.3999996297</v>
      </c>
    </row>
    <row r="4231" spans="1:5" x14ac:dyDescent="0.25">
      <c r="A4231" s="2" t="s">
        <v>38</v>
      </c>
      <c r="B4231" s="6">
        <v>45663</v>
      </c>
      <c r="C4231" s="2" t="s">
        <v>53</v>
      </c>
      <c r="D4231" s="8">
        <v>-500</v>
      </c>
      <c r="E4231" s="8">
        <f>E4230+(0-500)</f>
        <v>8742588.3999996297</v>
      </c>
    </row>
    <row r="4232" spans="1:5" x14ac:dyDescent="0.25">
      <c r="A4232" s="2" t="s">
        <v>38</v>
      </c>
      <c r="B4232" s="6">
        <v>45664</v>
      </c>
      <c r="C4232" s="2" t="s">
        <v>53</v>
      </c>
      <c r="D4232" s="8">
        <v>-53.75</v>
      </c>
      <c r="E4232" s="8">
        <f>E4231+(0-53.75)</f>
        <v>8742534.6499996297</v>
      </c>
    </row>
    <row r="4233" spans="1:5" x14ac:dyDescent="0.25">
      <c r="A4233" s="2" t="s">
        <v>38</v>
      </c>
      <c r="B4233" s="6">
        <v>45664</v>
      </c>
      <c r="C4233" s="2" t="s">
        <v>53</v>
      </c>
      <c r="D4233" s="8">
        <v>-53.75</v>
      </c>
      <c r="E4233" s="8">
        <f>E4232+(0-53.75)</f>
        <v>8742480.8999996297</v>
      </c>
    </row>
    <row r="4234" spans="1:5" x14ac:dyDescent="0.25">
      <c r="A4234" s="2" t="s">
        <v>38</v>
      </c>
      <c r="B4234" s="6">
        <v>45664</v>
      </c>
      <c r="C4234" s="2" t="s">
        <v>53</v>
      </c>
      <c r="D4234" s="8">
        <v>-350</v>
      </c>
      <c r="E4234" s="8">
        <f>E4233+(0-350)</f>
        <v>8742130.8999996297</v>
      </c>
    </row>
    <row r="4235" spans="1:5" x14ac:dyDescent="0.25">
      <c r="A4235" s="2" t="s">
        <v>38</v>
      </c>
      <c r="B4235" s="6">
        <v>45665</v>
      </c>
      <c r="C4235" s="2" t="s">
        <v>19</v>
      </c>
      <c r="D4235" s="8">
        <v>-272</v>
      </c>
      <c r="E4235" s="8">
        <f>E4234+(0-272)</f>
        <v>8741858.8999996297</v>
      </c>
    </row>
    <row r="4236" spans="1:5" x14ac:dyDescent="0.25">
      <c r="A4236" s="2" t="s">
        <v>38</v>
      </c>
      <c r="B4236" s="6">
        <v>45665</v>
      </c>
      <c r="C4236" s="2" t="s">
        <v>19</v>
      </c>
      <c r="D4236" s="8">
        <v>-88</v>
      </c>
      <c r="E4236" s="8">
        <f>E4235+(0-88)</f>
        <v>8741770.8999996297</v>
      </c>
    </row>
    <row r="4237" spans="1:5" x14ac:dyDescent="0.25">
      <c r="A4237" s="2" t="s">
        <v>38</v>
      </c>
      <c r="B4237" s="6">
        <v>45665</v>
      </c>
      <c r="C4237" s="2" t="s">
        <v>19</v>
      </c>
      <c r="D4237" s="8">
        <v>-10</v>
      </c>
      <c r="E4237" s="8">
        <f>E4236+(0-10)</f>
        <v>8741760.8999996297</v>
      </c>
    </row>
    <row r="4238" spans="1:5" x14ac:dyDescent="0.25">
      <c r="A4238" s="2" t="s">
        <v>38</v>
      </c>
      <c r="B4238" s="6">
        <v>45665</v>
      </c>
      <c r="C4238" s="2" t="s">
        <v>53</v>
      </c>
      <c r="D4238" s="8">
        <v>-450</v>
      </c>
      <c r="E4238" s="8">
        <f>E4237+(0-450)</f>
        <v>8741310.8999996297</v>
      </c>
    </row>
    <row r="4239" spans="1:5" x14ac:dyDescent="0.25">
      <c r="A4239" s="2" t="s">
        <v>38</v>
      </c>
      <c r="B4239" s="6">
        <v>45666</v>
      </c>
      <c r="C4239" s="2" t="s">
        <v>53</v>
      </c>
      <c r="D4239" s="8">
        <v>-400</v>
      </c>
      <c r="E4239" s="8">
        <f>E4238+(0-400)</f>
        <v>8740910.8999996297</v>
      </c>
    </row>
    <row r="4240" spans="1:5" x14ac:dyDescent="0.25">
      <c r="A4240" s="2" t="s">
        <v>38</v>
      </c>
      <c r="B4240" s="6">
        <v>45667</v>
      </c>
      <c r="C4240" s="2" t="s">
        <v>53</v>
      </c>
      <c r="D4240" s="8">
        <v>-450</v>
      </c>
      <c r="E4240" s="8">
        <f>E4239+(0-450)</f>
        <v>8740460.8999996297</v>
      </c>
    </row>
    <row r="4241" spans="1:5" x14ac:dyDescent="0.25">
      <c r="A4241" s="2" t="s">
        <v>38</v>
      </c>
      <c r="B4241" s="6">
        <v>45670</v>
      </c>
      <c r="C4241" s="2" t="s">
        <v>53</v>
      </c>
      <c r="D4241" s="8">
        <v>-53.75</v>
      </c>
      <c r="E4241" s="8">
        <f>E4240+(0-53.75)</f>
        <v>8740407.1499996297</v>
      </c>
    </row>
    <row r="4242" spans="1:5" x14ac:dyDescent="0.25">
      <c r="A4242" s="2" t="s">
        <v>38</v>
      </c>
      <c r="B4242" s="6">
        <v>45670</v>
      </c>
      <c r="C4242" s="2" t="s">
        <v>53</v>
      </c>
      <c r="D4242" s="8">
        <v>-53.75</v>
      </c>
      <c r="E4242" s="8">
        <f>E4241+(0-53.75)</f>
        <v>8740353.3999996297</v>
      </c>
    </row>
    <row r="4243" spans="1:5" x14ac:dyDescent="0.25">
      <c r="A4243" s="2" t="s">
        <v>38</v>
      </c>
      <c r="B4243" s="6">
        <v>45670</v>
      </c>
      <c r="C4243" s="2" t="s">
        <v>53</v>
      </c>
      <c r="D4243" s="8">
        <v>-200</v>
      </c>
      <c r="E4243" s="8">
        <f>E4242+(0-200)</f>
        <v>8740153.3999996297</v>
      </c>
    </row>
    <row r="4244" spans="1:5" x14ac:dyDescent="0.25">
      <c r="A4244" s="2" t="s">
        <v>38</v>
      </c>
      <c r="B4244" s="6">
        <v>45671</v>
      </c>
      <c r="C4244" s="2" t="s">
        <v>53</v>
      </c>
      <c r="D4244" s="8">
        <v>-50</v>
      </c>
      <c r="E4244" s="8">
        <f>E4243+(0-50)</f>
        <v>8740103.3999996297</v>
      </c>
    </row>
    <row r="4245" spans="1:5" x14ac:dyDescent="0.25">
      <c r="A4245" s="2" t="s">
        <v>38</v>
      </c>
      <c r="B4245" s="6">
        <v>45671</v>
      </c>
      <c r="C4245" s="2" t="s">
        <v>53</v>
      </c>
      <c r="D4245" s="8">
        <v>-450</v>
      </c>
      <c r="E4245" s="8">
        <f>E4244+(0-450)</f>
        <v>8739653.3999996297</v>
      </c>
    </row>
    <row r="4246" spans="1:5" x14ac:dyDescent="0.25">
      <c r="A4246" s="2" t="s">
        <v>38</v>
      </c>
      <c r="B4246" s="6">
        <v>45671</v>
      </c>
      <c r="C4246" s="2" t="s">
        <v>19</v>
      </c>
      <c r="D4246" s="8">
        <v>-40</v>
      </c>
      <c r="E4246" s="8">
        <f>E4245+(0-40)</f>
        <v>8739613.3999996297</v>
      </c>
    </row>
    <row r="4247" spans="1:5" x14ac:dyDescent="0.25">
      <c r="A4247" s="2" t="s">
        <v>38</v>
      </c>
      <c r="B4247" s="6">
        <v>45671</v>
      </c>
      <c r="C4247" s="2" t="s">
        <v>19</v>
      </c>
      <c r="D4247" s="8">
        <v>-60</v>
      </c>
      <c r="E4247" s="8">
        <f>E4246+(0-60)</f>
        <v>8739553.3999996297</v>
      </c>
    </row>
    <row r="4248" spans="1:5" x14ac:dyDescent="0.25">
      <c r="A4248" s="2" t="s">
        <v>38</v>
      </c>
      <c r="B4248" s="6">
        <v>45672</v>
      </c>
      <c r="C4248" s="2" t="s">
        <v>19</v>
      </c>
      <c r="D4248" s="8">
        <v>-16</v>
      </c>
      <c r="E4248" s="8">
        <f>E4247+(0-16)</f>
        <v>8739537.3999996297</v>
      </c>
    </row>
    <row r="4249" spans="1:5" x14ac:dyDescent="0.25">
      <c r="A4249" s="2" t="s">
        <v>38</v>
      </c>
      <c r="B4249" s="6">
        <v>45672</v>
      </c>
      <c r="C4249" s="2" t="s">
        <v>19</v>
      </c>
      <c r="D4249" s="8">
        <v>-128</v>
      </c>
      <c r="E4249" s="8">
        <f>E4248+(0-128)</f>
        <v>8739409.3999996297</v>
      </c>
    </row>
    <row r="4250" spans="1:5" x14ac:dyDescent="0.25">
      <c r="A4250" s="2" t="s">
        <v>38</v>
      </c>
      <c r="B4250" s="6">
        <v>45672</v>
      </c>
      <c r="C4250" s="2" t="s">
        <v>53</v>
      </c>
      <c r="D4250" s="8">
        <v>-53.75</v>
      </c>
      <c r="E4250" s="8">
        <f>E4249+(0-53.75)</f>
        <v>8739355.6499996297</v>
      </c>
    </row>
    <row r="4251" spans="1:5" x14ac:dyDescent="0.25">
      <c r="A4251" s="2" t="s">
        <v>38</v>
      </c>
      <c r="B4251" s="6">
        <v>45672</v>
      </c>
      <c r="C4251" s="2" t="s">
        <v>53</v>
      </c>
      <c r="D4251" s="8">
        <v>-26.88</v>
      </c>
      <c r="E4251" s="8">
        <f>E4250+(0-26.88)</f>
        <v>8739328.7699996289</v>
      </c>
    </row>
    <row r="4252" spans="1:5" x14ac:dyDescent="0.25">
      <c r="A4252" s="2" t="s">
        <v>38</v>
      </c>
      <c r="B4252" s="6">
        <v>45672</v>
      </c>
      <c r="C4252" s="2" t="s">
        <v>19</v>
      </c>
      <c r="D4252" s="8">
        <v>-80</v>
      </c>
      <c r="E4252" s="8">
        <f>E4251+(0-80)</f>
        <v>8739248.7699996289</v>
      </c>
    </row>
    <row r="4253" spans="1:5" x14ac:dyDescent="0.25">
      <c r="A4253" s="2" t="s">
        <v>38</v>
      </c>
      <c r="B4253" s="6">
        <v>45672</v>
      </c>
      <c r="C4253" s="2" t="s">
        <v>53</v>
      </c>
      <c r="D4253" s="8">
        <v>-350</v>
      </c>
      <c r="E4253" s="8">
        <f>E4252+(0-350)</f>
        <v>8738898.7699996289</v>
      </c>
    </row>
    <row r="4254" spans="1:5" x14ac:dyDescent="0.25">
      <c r="A4254" s="2" t="s">
        <v>38</v>
      </c>
      <c r="B4254" s="6">
        <v>45672</v>
      </c>
      <c r="C4254" s="2" t="s">
        <v>19</v>
      </c>
      <c r="D4254" s="8">
        <v>-36</v>
      </c>
      <c r="E4254" s="8">
        <f>E4253+(0-36)</f>
        <v>8738862.7699996289</v>
      </c>
    </row>
    <row r="4255" spans="1:5" x14ac:dyDescent="0.25">
      <c r="A4255" s="2" t="s">
        <v>38</v>
      </c>
      <c r="B4255" s="6">
        <v>45673</v>
      </c>
      <c r="C4255" s="2" t="s">
        <v>19</v>
      </c>
      <c r="D4255" s="8">
        <v>-64</v>
      </c>
      <c r="E4255" s="8">
        <f>E4254+(0-64)</f>
        <v>8738798.7699996289</v>
      </c>
    </row>
    <row r="4256" spans="1:5" x14ac:dyDescent="0.25">
      <c r="A4256" s="2" t="s">
        <v>38</v>
      </c>
      <c r="B4256" s="6">
        <v>45673</v>
      </c>
      <c r="C4256" s="2" t="s">
        <v>19</v>
      </c>
      <c r="D4256" s="8">
        <v>-5</v>
      </c>
      <c r="E4256" s="8">
        <f>E4255+(0-5)</f>
        <v>8738793.7699996289</v>
      </c>
    </row>
    <row r="4257" spans="1:5" x14ac:dyDescent="0.25">
      <c r="A4257" s="2" t="s">
        <v>38</v>
      </c>
      <c r="B4257" s="6">
        <v>45673</v>
      </c>
      <c r="C4257" s="2" t="s">
        <v>53</v>
      </c>
      <c r="D4257" s="8">
        <v>-53.75</v>
      </c>
      <c r="E4257" s="8">
        <f>E4256+(0-53.75)</f>
        <v>8738740.0199996289</v>
      </c>
    </row>
    <row r="4258" spans="1:5" x14ac:dyDescent="0.25">
      <c r="A4258" s="2" t="s">
        <v>38</v>
      </c>
      <c r="B4258" s="6">
        <v>45673</v>
      </c>
      <c r="C4258" s="2" t="s">
        <v>53</v>
      </c>
      <c r="D4258" s="8">
        <v>-50</v>
      </c>
      <c r="E4258" s="8">
        <f>E4257+(0-50)</f>
        <v>8738690.0199996289</v>
      </c>
    </row>
    <row r="4259" spans="1:5" x14ac:dyDescent="0.25">
      <c r="A4259" s="2" t="s">
        <v>38</v>
      </c>
      <c r="B4259" s="6">
        <v>45673</v>
      </c>
      <c r="C4259" s="2" t="s">
        <v>19</v>
      </c>
      <c r="D4259" s="8">
        <v>-160</v>
      </c>
      <c r="E4259" s="8">
        <f>E4258+(0-160)</f>
        <v>8738530.0199996289</v>
      </c>
    </row>
    <row r="4260" spans="1:5" x14ac:dyDescent="0.25">
      <c r="A4260" s="2" t="s">
        <v>38</v>
      </c>
      <c r="B4260" s="6">
        <v>45673</v>
      </c>
      <c r="C4260" s="2" t="s">
        <v>53</v>
      </c>
      <c r="D4260" s="8">
        <v>-350</v>
      </c>
      <c r="E4260" s="8">
        <f>E4259+(0-350)</f>
        <v>8738180.0199996289</v>
      </c>
    </row>
    <row r="4261" spans="1:5" x14ac:dyDescent="0.25">
      <c r="A4261" s="2" t="s">
        <v>38</v>
      </c>
      <c r="B4261" s="6">
        <v>45673</v>
      </c>
      <c r="C4261" s="2" t="s">
        <v>53</v>
      </c>
      <c r="D4261" s="8">
        <v>-50</v>
      </c>
      <c r="E4261" s="8">
        <f>E4260+(0-50)</f>
        <v>8738130.0199996289</v>
      </c>
    </row>
    <row r="4262" spans="1:5" x14ac:dyDescent="0.25">
      <c r="A4262" s="2" t="s">
        <v>38</v>
      </c>
      <c r="B4262" s="6">
        <v>45673</v>
      </c>
      <c r="C4262" s="2" t="s">
        <v>19</v>
      </c>
      <c r="D4262" s="8">
        <v>-20</v>
      </c>
      <c r="E4262" s="8">
        <f>E4261+(0-20)</f>
        <v>8738110.0199996289</v>
      </c>
    </row>
    <row r="4263" spans="1:5" x14ac:dyDescent="0.25">
      <c r="A4263" s="2" t="s">
        <v>38</v>
      </c>
      <c r="B4263" s="6">
        <v>45673</v>
      </c>
      <c r="C4263" s="2" t="s">
        <v>19</v>
      </c>
      <c r="D4263" s="8">
        <v>-28</v>
      </c>
      <c r="E4263" s="8">
        <f>E4262+(0-28)</f>
        <v>8738082.0199996289</v>
      </c>
    </row>
    <row r="4264" spans="1:5" x14ac:dyDescent="0.25">
      <c r="A4264" s="2" t="s">
        <v>38</v>
      </c>
      <c r="B4264" s="6">
        <v>45674</v>
      </c>
      <c r="C4264" s="2" t="s">
        <v>19</v>
      </c>
      <c r="D4264" s="8">
        <v>-88</v>
      </c>
      <c r="E4264" s="8">
        <f>E4263+(0-88)</f>
        <v>8737994.0199996289</v>
      </c>
    </row>
    <row r="4265" spans="1:5" x14ac:dyDescent="0.25">
      <c r="A4265" s="2" t="s">
        <v>38</v>
      </c>
      <c r="B4265" s="6">
        <v>45674</v>
      </c>
      <c r="C4265" s="2" t="s">
        <v>53</v>
      </c>
      <c r="D4265" s="8">
        <v>-26.88</v>
      </c>
      <c r="E4265" s="8">
        <f>E4264+(0-26.88)</f>
        <v>8737967.1399996281</v>
      </c>
    </row>
    <row r="4266" spans="1:5" x14ac:dyDescent="0.25">
      <c r="A4266" s="2" t="s">
        <v>38</v>
      </c>
      <c r="B4266" s="6">
        <v>45674</v>
      </c>
      <c r="C4266" s="2" t="s">
        <v>53</v>
      </c>
      <c r="D4266" s="8">
        <v>-350</v>
      </c>
      <c r="E4266" s="8">
        <f>E4265+(0-350)</f>
        <v>8737617.1399996281</v>
      </c>
    </row>
    <row r="4267" spans="1:5" x14ac:dyDescent="0.25">
      <c r="A4267" s="2" t="s">
        <v>38</v>
      </c>
      <c r="B4267" s="6">
        <v>45674</v>
      </c>
      <c r="C4267" s="2" t="s">
        <v>53</v>
      </c>
      <c r="D4267" s="8">
        <v>-50</v>
      </c>
      <c r="E4267" s="8">
        <f>E4266+(0-50)</f>
        <v>8737567.1399996281</v>
      </c>
    </row>
    <row r="4268" spans="1:5" x14ac:dyDescent="0.25">
      <c r="A4268" s="2" t="s">
        <v>38</v>
      </c>
      <c r="B4268" s="6">
        <v>45677</v>
      </c>
      <c r="C4268" s="2" t="s">
        <v>53</v>
      </c>
      <c r="D4268" s="8">
        <v>-53.75</v>
      </c>
      <c r="E4268" s="8">
        <f>E4267+(0-53.75)</f>
        <v>8737513.3899996281</v>
      </c>
    </row>
    <row r="4269" spans="1:5" x14ac:dyDescent="0.25">
      <c r="A4269" s="2" t="s">
        <v>38</v>
      </c>
      <c r="B4269" s="6">
        <v>45677</v>
      </c>
      <c r="C4269" s="2" t="s">
        <v>53</v>
      </c>
      <c r="D4269" s="8">
        <v>-53.75</v>
      </c>
      <c r="E4269" s="8">
        <f>E4268+(0-53.75)</f>
        <v>8737459.6399996281</v>
      </c>
    </row>
    <row r="4270" spans="1:5" x14ac:dyDescent="0.25">
      <c r="A4270" s="2" t="s">
        <v>38</v>
      </c>
      <c r="B4270" s="6">
        <v>45677</v>
      </c>
      <c r="C4270" s="2" t="s">
        <v>53</v>
      </c>
      <c r="D4270" s="8">
        <v>-750</v>
      </c>
      <c r="E4270" s="8">
        <f>E4269+(0-750)</f>
        <v>8736709.6399996281</v>
      </c>
    </row>
    <row r="4271" spans="1:5" x14ac:dyDescent="0.25">
      <c r="A4271" s="2" t="s">
        <v>38</v>
      </c>
      <c r="B4271" s="6">
        <v>45678</v>
      </c>
      <c r="C4271" s="2" t="s">
        <v>19</v>
      </c>
      <c r="D4271" s="8">
        <v>-32</v>
      </c>
      <c r="E4271" s="8">
        <f>E4270+(0-32)</f>
        <v>8736677.6399996281</v>
      </c>
    </row>
    <row r="4272" spans="1:5" x14ac:dyDescent="0.25">
      <c r="A4272" s="2" t="s">
        <v>38</v>
      </c>
      <c r="B4272" s="6">
        <v>45678</v>
      </c>
      <c r="C4272" s="2" t="s">
        <v>19</v>
      </c>
      <c r="D4272" s="8">
        <v>-32</v>
      </c>
      <c r="E4272" s="8">
        <f>E4271+(0-32)</f>
        <v>8736645.6399996281</v>
      </c>
    </row>
    <row r="4273" spans="1:5" x14ac:dyDescent="0.25">
      <c r="A4273" s="2" t="s">
        <v>38</v>
      </c>
      <c r="B4273" s="6">
        <v>45678</v>
      </c>
      <c r="C4273" s="2" t="s">
        <v>53</v>
      </c>
      <c r="D4273" s="8">
        <v>-53.75</v>
      </c>
      <c r="E4273" s="8">
        <f>E4272+(0-53.75)</f>
        <v>8736591.8899996281</v>
      </c>
    </row>
    <row r="4274" spans="1:5" x14ac:dyDescent="0.25">
      <c r="A4274" s="2" t="s">
        <v>38</v>
      </c>
      <c r="B4274" s="6">
        <v>45678</v>
      </c>
      <c r="C4274" s="2" t="s">
        <v>53</v>
      </c>
      <c r="D4274" s="8">
        <v>-53.75</v>
      </c>
      <c r="E4274" s="8">
        <f>E4273+(0-53.75)</f>
        <v>8736538.1399996281</v>
      </c>
    </row>
    <row r="4275" spans="1:5" x14ac:dyDescent="0.25">
      <c r="A4275" s="2" t="s">
        <v>38</v>
      </c>
      <c r="B4275" s="6">
        <v>45678</v>
      </c>
      <c r="C4275" s="2" t="s">
        <v>19</v>
      </c>
      <c r="D4275" s="8">
        <v>-40</v>
      </c>
      <c r="E4275" s="8">
        <f>E4274+(0-40)</f>
        <v>8736498.1399996281</v>
      </c>
    </row>
    <row r="4276" spans="1:5" x14ac:dyDescent="0.25">
      <c r="A4276" s="2" t="s">
        <v>38</v>
      </c>
      <c r="B4276" s="6">
        <v>45678</v>
      </c>
      <c r="C4276" s="2" t="s">
        <v>19</v>
      </c>
      <c r="D4276" s="8">
        <v>-8</v>
      </c>
      <c r="E4276" s="8">
        <f>E4275+(0-8)</f>
        <v>8736490.1399996281</v>
      </c>
    </row>
    <row r="4277" spans="1:5" x14ac:dyDescent="0.25">
      <c r="A4277" s="2" t="s">
        <v>38</v>
      </c>
      <c r="B4277" s="6">
        <v>45678</v>
      </c>
      <c r="C4277" s="2" t="s">
        <v>53</v>
      </c>
      <c r="D4277" s="8">
        <v>-300</v>
      </c>
      <c r="E4277" s="8">
        <f>E4276+(0-300)</f>
        <v>8736190.1399996281</v>
      </c>
    </row>
    <row r="4278" spans="1:5" x14ac:dyDescent="0.25">
      <c r="A4278" s="2" t="s">
        <v>38</v>
      </c>
      <c r="B4278" s="6">
        <v>45678</v>
      </c>
      <c r="C4278" s="2" t="s">
        <v>19</v>
      </c>
      <c r="D4278" s="8">
        <v>-100</v>
      </c>
      <c r="E4278" s="8">
        <f>E4277+(0-100)</f>
        <v>8736090.1399996281</v>
      </c>
    </row>
    <row r="4279" spans="1:5" x14ac:dyDescent="0.25">
      <c r="A4279" s="2" t="s">
        <v>38</v>
      </c>
      <c r="B4279" s="6">
        <v>45679</v>
      </c>
      <c r="C4279" s="2" t="s">
        <v>53</v>
      </c>
      <c r="D4279" s="8">
        <v>-450</v>
      </c>
      <c r="E4279" s="8">
        <f>E4278+(0-450)</f>
        <v>8735640.1399996281</v>
      </c>
    </row>
    <row r="4280" spans="1:5" x14ac:dyDescent="0.25">
      <c r="A4280" s="2" t="s">
        <v>38</v>
      </c>
      <c r="B4280" s="6">
        <v>45680</v>
      </c>
      <c r="C4280" s="2" t="s">
        <v>220</v>
      </c>
      <c r="D4280" s="8">
        <v>-100</v>
      </c>
      <c r="E4280" s="8">
        <f>E4279+(0-100)</f>
        <v>8735540.1399996281</v>
      </c>
    </row>
    <row r="4281" spans="1:5" x14ac:dyDescent="0.25">
      <c r="A4281" s="2" t="s">
        <v>38</v>
      </c>
      <c r="B4281" s="6">
        <v>45680</v>
      </c>
      <c r="C4281" s="2" t="s">
        <v>53</v>
      </c>
      <c r="D4281" s="8">
        <v>-450</v>
      </c>
      <c r="E4281" s="8">
        <f>E4280+(0-450)</f>
        <v>8735090.1399996281</v>
      </c>
    </row>
    <row r="4282" spans="1:5" x14ac:dyDescent="0.25">
      <c r="A4282" s="2" t="s">
        <v>38</v>
      </c>
      <c r="B4282" s="6">
        <v>45680</v>
      </c>
      <c r="C4282" s="2" t="s">
        <v>221</v>
      </c>
      <c r="D4282" s="8">
        <v>-28648.75</v>
      </c>
      <c r="E4282" s="8">
        <f>E4281+(0-28648.75)</f>
        <v>8706441.3899996281</v>
      </c>
    </row>
    <row r="4283" spans="1:5" x14ac:dyDescent="0.25">
      <c r="A4283" s="2" t="s">
        <v>38</v>
      </c>
      <c r="B4283" s="6">
        <v>45681</v>
      </c>
      <c r="C4283" s="2" t="s">
        <v>53</v>
      </c>
      <c r="D4283" s="8">
        <v>-50</v>
      </c>
      <c r="E4283" s="8">
        <f>E4282+(0-50)</f>
        <v>8706391.3899996281</v>
      </c>
    </row>
    <row r="4284" spans="1:5" x14ac:dyDescent="0.25">
      <c r="A4284" s="2" t="s">
        <v>38</v>
      </c>
      <c r="B4284" s="6">
        <v>45681</v>
      </c>
      <c r="C4284" s="2" t="s">
        <v>53</v>
      </c>
      <c r="D4284" s="8">
        <v>-53.75</v>
      </c>
      <c r="E4284" s="8">
        <f>E4283+(0-53.75)</f>
        <v>8706337.6399996281</v>
      </c>
    </row>
    <row r="4285" spans="1:5" x14ac:dyDescent="0.25">
      <c r="A4285" s="2" t="s">
        <v>38</v>
      </c>
      <c r="B4285" s="6">
        <v>45681</v>
      </c>
      <c r="C4285" s="2" t="s">
        <v>53</v>
      </c>
      <c r="D4285" s="8">
        <v>-450</v>
      </c>
      <c r="E4285" s="8">
        <f>E4284+(0-450)</f>
        <v>8705887.6399996281</v>
      </c>
    </row>
    <row r="4286" spans="1:5" x14ac:dyDescent="0.25">
      <c r="A4286" s="2" t="s">
        <v>38</v>
      </c>
      <c r="B4286" s="6">
        <v>45681</v>
      </c>
      <c r="C4286" s="2" t="s">
        <v>53</v>
      </c>
      <c r="D4286" s="8">
        <v>-50</v>
      </c>
      <c r="E4286" s="8">
        <f>E4285+(0-50)</f>
        <v>8705837.6399996281</v>
      </c>
    </row>
    <row r="4287" spans="1:5" x14ac:dyDescent="0.25">
      <c r="A4287" s="2" t="s">
        <v>38</v>
      </c>
      <c r="B4287" s="6">
        <v>45684</v>
      </c>
      <c r="C4287" s="2" t="s">
        <v>19</v>
      </c>
      <c r="D4287" s="8">
        <v>-44</v>
      </c>
      <c r="E4287" s="8">
        <f>E4286+(0-44)</f>
        <v>8705793.6399996281</v>
      </c>
    </row>
    <row r="4288" spans="1:5" x14ac:dyDescent="0.25">
      <c r="A4288" s="2" t="s">
        <v>38</v>
      </c>
      <c r="B4288" s="6">
        <v>45684</v>
      </c>
      <c r="C4288" s="2" t="s">
        <v>19</v>
      </c>
      <c r="D4288" s="8">
        <v>-80</v>
      </c>
      <c r="E4288" s="8">
        <f>E4287+(0-80)</f>
        <v>8705713.6399996281</v>
      </c>
    </row>
    <row r="4289" spans="1:5" x14ac:dyDescent="0.25">
      <c r="A4289" s="2" t="s">
        <v>38</v>
      </c>
      <c r="B4289" s="6">
        <v>45684</v>
      </c>
      <c r="C4289" s="2" t="s">
        <v>19</v>
      </c>
      <c r="D4289" s="8">
        <v>-32</v>
      </c>
      <c r="E4289" s="8">
        <f>E4288+(0-32)</f>
        <v>8705681.6399996281</v>
      </c>
    </row>
    <row r="4290" spans="1:5" x14ac:dyDescent="0.25">
      <c r="A4290" s="2" t="s">
        <v>38</v>
      </c>
      <c r="B4290" s="6">
        <v>45684</v>
      </c>
      <c r="C4290" s="2" t="s">
        <v>19</v>
      </c>
      <c r="D4290" s="8">
        <v>-28</v>
      </c>
      <c r="E4290" s="8">
        <f>E4289+(0-28)</f>
        <v>8705653.6399996281</v>
      </c>
    </row>
    <row r="4291" spans="1:5" x14ac:dyDescent="0.25">
      <c r="A4291" s="2" t="s">
        <v>38</v>
      </c>
      <c r="B4291" s="6">
        <v>45684</v>
      </c>
      <c r="C4291" s="2" t="s">
        <v>53</v>
      </c>
      <c r="D4291" s="8">
        <v>-53.75</v>
      </c>
      <c r="E4291" s="8">
        <f>E4290+(0-53.75)</f>
        <v>8705599.8899996281</v>
      </c>
    </row>
    <row r="4292" spans="1:5" x14ac:dyDescent="0.25">
      <c r="A4292" s="2" t="s">
        <v>38</v>
      </c>
      <c r="B4292" s="6">
        <v>45684</v>
      </c>
      <c r="C4292" s="2" t="s">
        <v>53</v>
      </c>
      <c r="D4292" s="8">
        <v>-53.75</v>
      </c>
      <c r="E4292" s="8">
        <f>E4291+(0-53.75)</f>
        <v>8705546.1399996281</v>
      </c>
    </row>
    <row r="4293" spans="1:5" x14ac:dyDescent="0.25">
      <c r="A4293" s="2" t="s">
        <v>38</v>
      </c>
      <c r="B4293" s="6">
        <v>45684</v>
      </c>
      <c r="C4293" s="2" t="s">
        <v>53</v>
      </c>
      <c r="D4293" s="8">
        <v>-26.88</v>
      </c>
      <c r="E4293" s="8">
        <f>E4292+(0-26.88)</f>
        <v>8705519.2599996272</v>
      </c>
    </row>
    <row r="4294" spans="1:5" x14ac:dyDescent="0.25">
      <c r="A4294" s="2" t="s">
        <v>38</v>
      </c>
      <c r="B4294" s="6">
        <v>45684</v>
      </c>
      <c r="C4294" s="2" t="s">
        <v>53</v>
      </c>
      <c r="D4294" s="8">
        <v>-53.75</v>
      </c>
      <c r="E4294" s="8">
        <f>E4293+(0-53.75)</f>
        <v>8705465.5099996272</v>
      </c>
    </row>
    <row r="4295" spans="1:5" x14ac:dyDescent="0.25">
      <c r="A4295" s="2" t="s">
        <v>38</v>
      </c>
      <c r="B4295" s="6">
        <v>45684</v>
      </c>
      <c r="C4295" s="2" t="s">
        <v>53</v>
      </c>
      <c r="D4295" s="8">
        <v>-26.88</v>
      </c>
      <c r="E4295" s="8">
        <f>E4294+(0-26.88)</f>
        <v>8705438.6299996264</v>
      </c>
    </row>
    <row r="4296" spans="1:5" x14ac:dyDescent="0.25">
      <c r="A4296" s="2" t="s">
        <v>38</v>
      </c>
      <c r="B4296" s="6">
        <v>45684</v>
      </c>
      <c r="C4296" s="2" t="s">
        <v>53</v>
      </c>
      <c r="D4296" s="8">
        <v>-26.88</v>
      </c>
      <c r="E4296" s="8">
        <f>E4295+(0-26.88)</f>
        <v>8705411.7499996256</v>
      </c>
    </row>
    <row r="4297" spans="1:5" x14ac:dyDescent="0.25">
      <c r="A4297" s="2" t="s">
        <v>38</v>
      </c>
      <c r="B4297" s="6">
        <v>45684</v>
      </c>
      <c r="C4297" s="2" t="s">
        <v>53</v>
      </c>
      <c r="D4297" s="8">
        <v>-53.75</v>
      </c>
      <c r="E4297" s="8">
        <f>E4296+(0-53.75)</f>
        <v>8705357.9999996256</v>
      </c>
    </row>
    <row r="4298" spans="1:5" x14ac:dyDescent="0.25">
      <c r="A4298" s="2" t="s">
        <v>38</v>
      </c>
      <c r="B4298" s="6">
        <v>45684</v>
      </c>
      <c r="C4298" s="2" t="s">
        <v>19</v>
      </c>
      <c r="D4298" s="8">
        <v>-8</v>
      </c>
      <c r="E4298" s="8">
        <f>E4297+(0-8)</f>
        <v>8705349.9999996256</v>
      </c>
    </row>
    <row r="4299" spans="1:5" x14ac:dyDescent="0.25">
      <c r="A4299" s="2" t="s">
        <v>38</v>
      </c>
      <c r="B4299" s="6">
        <v>45685</v>
      </c>
      <c r="C4299" s="2" t="s">
        <v>53</v>
      </c>
      <c r="D4299" s="8">
        <v>-53.75</v>
      </c>
      <c r="E4299" s="8">
        <f>E4298+(0-53.75)</f>
        <v>8705296.2499996256</v>
      </c>
    </row>
    <row r="4300" spans="1:5" x14ac:dyDescent="0.25">
      <c r="A4300" s="2" t="s">
        <v>38</v>
      </c>
      <c r="B4300" s="6">
        <v>45685</v>
      </c>
      <c r="C4300" s="2" t="s">
        <v>53</v>
      </c>
      <c r="D4300" s="8">
        <v>-300</v>
      </c>
      <c r="E4300" s="8">
        <f>E4299+(0-300)</f>
        <v>8704996.2499996256</v>
      </c>
    </row>
    <row r="4301" spans="1:5" x14ac:dyDescent="0.25">
      <c r="A4301" s="2" t="s">
        <v>38</v>
      </c>
      <c r="B4301" s="6">
        <v>45685</v>
      </c>
      <c r="C4301" s="2" t="s">
        <v>53</v>
      </c>
      <c r="D4301" s="8">
        <v>-22.5</v>
      </c>
      <c r="E4301" s="8">
        <f>E4300+(0-22.5)</f>
        <v>8704973.7499996256</v>
      </c>
    </row>
    <row r="4302" spans="1:5" x14ac:dyDescent="0.25">
      <c r="A4302" s="2" t="s">
        <v>38</v>
      </c>
      <c r="B4302" s="6">
        <v>45685</v>
      </c>
      <c r="C4302" s="2" t="s">
        <v>53</v>
      </c>
      <c r="D4302" s="8">
        <v>-300</v>
      </c>
      <c r="E4302" s="8">
        <f>E4301+(0-300)</f>
        <v>8704673.7499996256</v>
      </c>
    </row>
    <row r="4303" spans="1:5" x14ac:dyDescent="0.25">
      <c r="A4303" s="2" t="s">
        <v>38</v>
      </c>
      <c r="B4303" s="6">
        <v>45685</v>
      </c>
      <c r="C4303" s="2" t="s">
        <v>53</v>
      </c>
      <c r="D4303" s="8">
        <v>-22.5</v>
      </c>
      <c r="E4303" s="8">
        <f>E4302+(0-22.5)</f>
        <v>8704651.2499996256</v>
      </c>
    </row>
    <row r="4304" spans="1:5" x14ac:dyDescent="0.25">
      <c r="A4304" s="2" t="s">
        <v>38</v>
      </c>
      <c r="B4304" s="6">
        <v>45685</v>
      </c>
      <c r="C4304" s="2" t="s">
        <v>53</v>
      </c>
      <c r="D4304" s="8">
        <v>-50</v>
      </c>
      <c r="E4304" s="8">
        <f>E4303+(0-50)</f>
        <v>8704601.2499996256</v>
      </c>
    </row>
    <row r="4305" spans="1:5" x14ac:dyDescent="0.25">
      <c r="A4305" s="2" t="s">
        <v>38</v>
      </c>
      <c r="B4305" s="6">
        <v>45685</v>
      </c>
      <c r="C4305" s="2" t="s">
        <v>53</v>
      </c>
      <c r="D4305" s="8">
        <v>-53.75</v>
      </c>
      <c r="E4305" s="8">
        <f>E4304+(0-53.75)</f>
        <v>8704547.4999996256</v>
      </c>
    </row>
    <row r="4306" spans="1:5" x14ac:dyDescent="0.25">
      <c r="A4306" s="2" t="s">
        <v>38</v>
      </c>
      <c r="B4306" s="6">
        <v>45685</v>
      </c>
      <c r="C4306" s="2" t="s">
        <v>53</v>
      </c>
      <c r="D4306" s="8">
        <v>-700</v>
      </c>
      <c r="E4306" s="8">
        <f>E4305+(0-700)</f>
        <v>8703847.4999996256</v>
      </c>
    </row>
    <row r="4307" spans="1:5" x14ac:dyDescent="0.25">
      <c r="A4307" s="2" t="s">
        <v>38</v>
      </c>
      <c r="B4307" s="6">
        <v>45686</v>
      </c>
      <c r="C4307" s="2" t="s">
        <v>19</v>
      </c>
      <c r="D4307" s="8">
        <v>-144</v>
      </c>
      <c r="E4307" s="8">
        <f>E4306+(0-144)</f>
        <v>8703703.4999996256</v>
      </c>
    </row>
    <row r="4308" spans="1:5" x14ac:dyDescent="0.25">
      <c r="A4308" s="2" t="s">
        <v>38</v>
      </c>
      <c r="B4308" s="6">
        <v>45686</v>
      </c>
      <c r="C4308" s="2" t="s">
        <v>53</v>
      </c>
      <c r="D4308" s="8">
        <v>-53.75</v>
      </c>
      <c r="E4308" s="8">
        <f>E4307+(0-53.75)</f>
        <v>8703649.7499996256</v>
      </c>
    </row>
    <row r="4309" spans="1:5" x14ac:dyDescent="0.25">
      <c r="A4309" s="2" t="s">
        <v>38</v>
      </c>
      <c r="B4309" s="6">
        <v>45686</v>
      </c>
      <c r="C4309" s="2" t="s">
        <v>19</v>
      </c>
      <c r="D4309" s="8">
        <v>-64</v>
      </c>
      <c r="E4309" s="8">
        <f>E4308+(0-64)</f>
        <v>8703585.7499996256</v>
      </c>
    </row>
    <row r="4310" spans="1:5" x14ac:dyDescent="0.25">
      <c r="A4310" s="2" t="s">
        <v>38</v>
      </c>
      <c r="B4310" s="6">
        <v>45686</v>
      </c>
      <c r="C4310" s="2" t="s">
        <v>53</v>
      </c>
      <c r="D4310" s="8">
        <v>-250</v>
      </c>
      <c r="E4310" s="8">
        <f>E4309+(0-250)</f>
        <v>8703335.7499996256</v>
      </c>
    </row>
    <row r="4311" spans="1:5" x14ac:dyDescent="0.25">
      <c r="A4311" s="2" t="s">
        <v>38</v>
      </c>
      <c r="B4311" s="6">
        <v>45686</v>
      </c>
      <c r="C4311" s="2" t="s">
        <v>53</v>
      </c>
      <c r="D4311" s="8">
        <v>-500</v>
      </c>
      <c r="E4311" s="8">
        <f>E4310+(0-500)</f>
        <v>8702835.7499996256</v>
      </c>
    </row>
    <row r="4312" spans="1:5" x14ac:dyDescent="0.25">
      <c r="A4312" s="2" t="s">
        <v>38</v>
      </c>
      <c r="B4312" s="6">
        <v>45687</v>
      </c>
      <c r="C4312" s="2" t="s">
        <v>53</v>
      </c>
      <c r="D4312" s="8">
        <v>-53.75</v>
      </c>
      <c r="E4312" s="8">
        <f>E4311+(0-53.75)</f>
        <v>8702781.9999996256</v>
      </c>
    </row>
    <row r="4313" spans="1:5" x14ac:dyDescent="0.25">
      <c r="A4313" s="2" t="s">
        <v>38</v>
      </c>
      <c r="B4313" s="6">
        <v>45687</v>
      </c>
      <c r="C4313" s="2" t="s">
        <v>53</v>
      </c>
      <c r="D4313" s="8">
        <v>-53.75</v>
      </c>
      <c r="E4313" s="8">
        <f>E4312+(0-53.75)</f>
        <v>8702728.2499996256</v>
      </c>
    </row>
    <row r="4314" spans="1:5" x14ac:dyDescent="0.25">
      <c r="A4314" s="2" t="s">
        <v>38</v>
      </c>
      <c r="B4314" s="6">
        <v>45687</v>
      </c>
      <c r="C4314" s="2" t="s">
        <v>53</v>
      </c>
      <c r="D4314" s="8">
        <v>-900</v>
      </c>
      <c r="E4314" s="8">
        <f>E4313+(0-900)</f>
        <v>8701828.2499996256</v>
      </c>
    </row>
    <row r="4315" spans="1:5" x14ac:dyDescent="0.25">
      <c r="A4315" s="2" t="s">
        <v>38</v>
      </c>
      <c r="B4315" s="6">
        <v>45688</v>
      </c>
      <c r="C4315" s="2" t="s">
        <v>19</v>
      </c>
      <c r="D4315" s="8">
        <v>-56</v>
      </c>
      <c r="E4315" s="8">
        <f>E4314+(0-56)</f>
        <v>8701772.2499996256</v>
      </c>
    </row>
    <row r="4316" spans="1:5" x14ac:dyDescent="0.25">
      <c r="A4316" s="2" t="s">
        <v>38</v>
      </c>
      <c r="B4316" s="6">
        <v>45688</v>
      </c>
      <c r="C4316" s="2" t="s">
        <v>53</v>
      </c>
      <c r="D4316" s="8">
        <v>-53.75</v>
      </c>
      <c r="E4316" s="8">
        <f>E4315+(0-53.75)</f>
        <v>8701718.4999996256</v>
      </c>
    </row>
    <row r="4317" spans="1:5" x14ac:dyDescent="0.25">
      <c r="A4317" s="2" t="s">
        <v>38</v>
      </c>
      <c r="B4317" s="6">
        <v>45688</v>
      </c>
      <c r="C4317" s="2" t="s">
        <v>53</v>
      </c>
      <c r="D4317" s="8">
        <v>-53.75</v>
      </c>
      <c r="E4317" s="8">
        <f>E4316+(0-53.75)</f>
        <v>8701664.7499996256</v>
      </c>
    </row>
    <row r="4318" spans="1:5" x14ac:dyDescent="0.25">
      <c r="A4318" s="2" t="s">
        <v>38</v>
      </c>
      <c r="B4318" s="6">
        <v>45688</v>
      </c>
      <c r="C4318" s="2" t="s">
        <v>19</v>
      </c>
      <c r="D4318" s="8">
        <v>-224</v>
      </c>
      <c r="E4318" s="8">
        <f>E4317+(0-224)</f>
        <v>8701440.7499996256</v>
      </c>
    </row>
    <row r="4319" spans="1:5" x14ac:dyDescent="0.25">
      <c r="A4319" s="2" t="s">
        <v>38</v>
      </c>
      <c r="B4319" s="6">
        <v>45688</v>
      </c>
      <c r="C4319" s="2" t="s">
        <v>53</v>
      </c>
      <c r="D4319" s="8">
        <v>-53.75</v>
      </c>
      <c r="E4319" s="8">
        <f>E4318+(0-53.75)</f>
        <v>8701386.9999996256</v>
      </c>
    </row>
    <row r="4320" spans="1:5" x14ac:dyDescent="0.25">
      <c r="A4320" s="2" t="s">
        <v>38</v>
      </c>
      <c r="B4320" s="6">
        <v>45688</v>
      </c>
      <c r="C4320" s="2" t="s">
        <v>53</v>
      </c>
      <c r="D4320" s="8">
        <v>-53.75</v>
      </c>
      <c r="E4320" s="8">
        <f>E4319+(0-53.75)</f>
        <v>8701333.2499996256</v>
      </c>
    </row>
    <row r="4321" spans="1:5" x14ac:dyDescent="0.25">
      <c r="A4321" s="2" t="s">
        <v>38</v>
      </c>
      <c r="B4321" s="6">
        <v>45688</v>
      </c>
      <c r="C4321" s="2" t="s">
        <v>53</v>
      </c>
      <c r="D4321" s="8">
        <v>-53.75</v>
      </c>
      <c r="E4321" s="8">
        <f>E4320+(0-53.75)</f>
        <v>8701279.4999996256</v>
      </c>
    </row>
    <row r="4322" spans="1:5" x14ac:dyDescent="0.25">
      <c r="A4322" s="2" t="s">
        <v>38</v>
      </c>
      <c r="B4322" s="6">
        <v>45688</v>
      </c>
      <c r="C4322" s="2" t="s">
        <v>222</v>
      </c>
      <c r="D4322" s="8">
        <v>-5000</v>
      </c>
      <c r="E4322" s="8">
        <f>E4321+(0-5000)</f>
        <v>8696279.4999996256</v>
      </c>
    </row>
    <row r="4323" spans="1:5" x14ac:dyDescent="0.25">
      <c r="A4323" s="2" t="s">
        <v>38</v>
      </c>
      <c r="B4323" s="6">
        <v>45688</v>
      </c>
      <c r="C4323" s="2" t="s">
        <v>223</v>
      </c>
      <c r="D4323" s="8">
        <v>-225</v>
      </c>
      <c r="E4323" s="8">
        <f>E4322+(0-225)</f>
        <v>8696054.4999996256</v>
      </c>
    </row>
    <row r="4324" spans="1:5" x14ac:dyDescent="0.25">
      <c r="A4324" s="2" t="s">
        <v>38</v>
      </c>
      <c r="B4324" s="6">
        <v>45688</v>
      </c>
      <c r="C4324" s="2" t="s">
        <v>224</v>
      </c>
      <c r="D4324" s="8">
        <v>-3000</v>
      </c>
      <c r="E4324" s="8">
        <f>E4323+(0-3000)</f>
        <v>8693054.4999996256</v>
      </c>
    </row>
    <row r="4325" spans="1:5" x14ac:dyDescent="0.25">
      <c r="A4325" s="2" t="s">
        <v>38</v>
      </c>
      <c r="B4325" s="6">
        <v>45688</v>
      </c>
      <c r="C4325" s="2" t="s">
        <v>53</v>
      </c>
      <c r="D4325" s="8">
        <v>-400</v>
      </c>
      <c r="E4325" s="8">
        <f>E4324+(0-400)</f>
        <v>8692654.4999996256</v>
      </c>
    </row>
    <row r="4326" spans="1:5" x14ac:dyDescent="0.25">
      <c r="A4326" s="2" t="s">
        <v>38</v>
      </c>
      <c r="B4326" s="6">
        <v>45691</v>
      </c>
      <c r="C4326" s="2" t="s">
        <v>19</v>
      </c>
      <c r="D4326" s="8">
        <v>-88</v>
      </c>
      <c r="E4326" s="8">
        <f>E4325+(0-88)</f>
        <v>8692566.4999996256</v>
      </c>
    </row>
    <row r="4327" spans="1:5" x14ac:dyDescent="0.25">
      <c r="A4327" s="2" t="s">
        <v>38</v>
      </c>
      <c r="B4327" s="6">
        <v>45691</v>
      </c>
      <c r="C4327" s="2" t="s">
        <v>19</v>
      </c>
      <c r="D4327" s="8">
        <v>-8</v>
      </c>
      <c r="E4327" s="8">
        <f>E4326+(0-8)</f>
        <v>8692558.4999996256</v>
      </c>
    </row>
    <row r="4328" spans="1:5" x14ac:dyDescent="0.25">
      <c r="A4328" s="2" t="s">
        <v>38</v>
      </c>
      <c r="B4328" s="6">
        <v>45691</v>
      </c>
      <c r="C4328" s="2" t="s">
        <v>53</v>
      </c>
      <c r="D4328" s="8">
        <v>-53.75</v>
      </c>
      <c r="E4328" s="8">
        <f>E4327+(0-53.75)</f>
        <v>8692504.7499996256</v>
      </c>
    </row>
    <row r="4329" spans="1:5" x14ac:dyDescent="0.25">
      <c r="A4329" s="2" t="s">
        <v>38</v>
      </c>
      <c r="B4329" s="6">
        <v>45691</v>
      </c>
      <c r="C4329" s="2" t="s">
        <v>53</v>
      </c>
      <c r="D4329" s="8">
        <v>-50</v>
      </c>
      <c r="E4329" s="8">
        <f>E4328+(0-50)</f>
        <v>8692454.7499996256</v>
      </c>
    </row>
    <row r="4330" spans="1:5" x14ac:dyDescent="0.25">
      <c r="A4330" s="2" t="s">
        <v>38</v>
      </c>
      <c r="B4330" s="6">
        <v>45691</v>
      </c>
      <c r="C4330" s="2" t="s">
        <v>53</v>
      </c>
      <c r="D4330" s="8">
        <v>-300</v>
      </c>
      <c r="E4330" s="8">
        <f>E4329+(0-300)</f>
        <v>8692154.7499996256</v>
      </c>
    </row>
    <row r="4331" spans="1:5" x14ac:dyDescent="0.25">
      <c r="A4331" s="2" t="s">
        <v>38</v>
      </c>
      <c r="B4331" s="6">
        <v>45692</v>
      </c>
      <c r="C4331" s="2" t="s">
        <v>53</v>
      </c>
      <c r="D4331" s="8">
        <v>-600</v>
      </c>
      <c r="E4331" s="8">
        <f>E4330+(0-600)</f>
        <v>8691554.7499996256</v>
      </c>
    </row>
    <row r="4332" spans="1:5" x14ac:dyDescent="0.25">
      <c r="A4332" s="2" t="s">
        <v>38</v>
      </c>
      <c r="B4332" s="6">
        <v>45692</v>
      </c>
      <c r="C4332" s="2" t="s">
        <v>53</v>
      </c>
      <c r="D4332" s="8">
        <v>-50</v>
      </c>
      <c r="E4332" s="8">
        <f>E4331+(0-50)</f>
        <v>8691504.7499996256</v>
      </c>
    </row>
    <row r="4333" spans="1:5" x14ac:dyDescent="0.25">
      <c r="A4333" s="2" t="s">
        <v>38</v>
      </c>
      <c r="B4333" s="6">
        <v>45694</v>
      </c>
      <c r="C4333" s="2" t="s">
        <v>53</v>
      </c>
      <c r="D4333" s="8">
        <v>-53.75</v>
      </c>
      <c r="E4333" s="8">
        <f>E4332+(0-53.75)</f>
        <v>8691450.9999996256</v>
      </c>
    </row>
    <row r="4334" spans="1:5" x14ac:dyDescent="0.25">
      <c r="A4334" s="2" t="s">
        <v>38</v>
      </c>
      <c r="B4334" s="6">
        <v>45695</v>
      </c>
      <c r="C4334" s="2" t="s">
        <v>53</v>
      </c>
      <c r="D4334" s="8">
        <v>-53.75</v>
      </c>
      <c r="E4334" s="8">
        <f>E4333+(0-53.75)</f>
        <v>8691397.2499996256</v>
      </c>
    </row>
    <row r="4335" spans="1:5" x14ac:dyDescent="0.25">
      <c r="A4335" s="2" t="s">
        <v>38</v>
      </c>
      <c r="B4335" s="6">
        <v>45698</v>
      </c>
      <c r="C4335" s="2" t="s">
        <v>53</v>
      </c>
      <c r="D4335" s="8">
        <v>-350</v>
      </c>
      <c r="E4335" s="8">
        <f>E4334+(0-350)</f>
        <v>8691047.2499996256</v>
      </c>
    </row>
    <row r="4336" spans="1:5" x14ac:dyDescent="0.25">
      <c r="A4336" s="2" t="s">
        <v>38</v>
      </c>
      <c r="B4336" s="6">
        <v>45698</v>
      </c>
      <c r="C4336" s="2" t="s">
        <v>53</v>
      </c>
      <c r="D4336" s="8">
        <v>-200</v>
      </c>
      <c r="E4336" s="8">
        <f>E4335+(0-200)</f>
        <v>8690847.2499996256</v>
      </c>
    </row>
    <row r="4337" spans="1:5" x14ac:dyDescent="0.25">
      <c r="A4337" s="2" t="s">
        <v>38</v>
      </c>
      <c r="B4337" s="6">
        <v>45698</v>
      </c>
      <c r="C4337" s="2" t="s">
        <v>53</v>
      </c>
      <c r="D4337" s="8">
        <v>-600</v>
      </c>
      <c r="E4337" s="8">
        <f>E4336+(0-600)</f>
        <v>8690247.2499996256</v>
      </c>
    </row>
    <row r="4338" spans="1:5" x14ac:dyDescent="0.25">
      <c r="A4338" s="2" t="s">
        <v>38</v>
      </c>
      <c r="B4338" s="6">
        <v>45698</v>
      </c>
      <c r="C4338" s="2" t="s">
        <v>53</v>
      </c>
      <c r="D4338" s="8">
        <v>-750</v>
      </c>
      <c r="E4338" s="8">
        <f>E4337+(0-750)</f>
        <v>8689497.2499996256</v>
      </c>
    </row>
    <row r="4339" spans="1:5" x14ac:dyDescent="0.25">
      <c r="A4339" s="2" t="s">
        <v>38</v>
      </c>
      <c r="B4339" s="6">
        <v>45699</v>
      </c>
      <c r="C4339" s="2" t="s">
        <v>19</v>
      </c>
      <c r="D4339" s="8">
        <v>-40</v>
      </c>
      <c r="E4339" s="8">
        <f>E4338+(0-40)</f>
        <v>8689457.2499996256</v>
      </c>
    </row>
    <row r="4340" spans="1:5" x14ac:dyDescent="0.25">
      <c r="A4340" s="2" t="s">
        <v>38</v>
      </c>
      <c r="B4340" s="6">
        <v>45699</v>
      </c>
      <c r="C4340" s="2" t="s">
        <v>53</v>
      </c>
      <c r="D4340" s="8">
        <v>-53.75</v>
      </c>
      <c r="E4340" s="8">
        <f>E4339+(0-53.75)</f>
        <v>8689403.4999996256</v>
      </c>
    </row>
    <row r="4341" spans="1:5" x14ac:dyDescent="0.25">
      <c r="A4341" s="2" t="s">
        <v>38</v>
      </c>
      <c r="B4341" s="6">
        <v>45699</v>
      </c>
      <c r="C4341" s="2" t="s">
        <v>19</v>
      </c>
      <c r="D4341" s="8">
        <v>-68</v>
      </c>
      <c r="E4341" s="8">
        <f>E4340+(0-68)</f>
        <v>8689335.4999996256</v>
      </c>
    </row>
    <row r="4342" spans="1:5" x14ac:dyDescent="0.25">
      <c r="A4342" s="2" t="s">
        <v>38</v>
      </c>
      <c r="B4342" s="6">
        <v>45699</v>
      </c>
      <c r="C4342" s="2" t="s">
        <v>53</v>
      </c>
      <c r="D4342" s="8">
        <v>-50</v>
      </c>
      <c r="E4342" s="8">
        <f>E4341+(0-50)</f>
        <v>8689285.4999996256</v>
      </c>
    </row>
    <row r="4343" spans="1:5" x14ac:dyDescent="0.25">
      <c r="A4343" s="2" t="s">
        <v>38</v>
      </c>
      <c r="B4343" s="6">
        <v>45699</v>
      </c>
      <c r="C4343" s="2" t="s">
        <v>53</v>
      </c>
      <c r="D4343" s="8">
        <v>-26.88</v>
      </c>
      <c r="E4343" s="8">
        <f>E4342+(0-26.88)</f>
        <v>8689258.6199996248</v>
      </c>
    </row>
    <row r="4344" spans="1:5" x14ac:dyDescent="0.25">
      <c r="A4344" s="2" t="s">
        <v>38</v>
      </c>
      <c r="B4344" s="6">
        <v>45699</v>
      </c>
      <c r="C4344" s="2" t="s">
        <v>53</v>
      </c>
      <c r="D4344" s="8">
        <v>-800</v>
      </c>
      <c r="E4344" s="8">
        <f>E4343+(0-800)</f>
        <v>8688458.6199996248</v>
      </c>
    </row>
    <row r="4345" spans="1:5" x14ac:dyDescent="0.25">
      <c r="A4345" s="2" t="s">
        <v>38</v>
      </c>
      <c r="B4345" s="6">
        <v>45699</v>
      </c>
      <c r="C4345" s="2" t="s">
        <v>19</v>
      </c>
      <c r="D4345" s="8">
        <v>-52</v>
      </c>
      <c r="E4345" s="8">
        <f>E4344+(0-52)</f>
        <v>8688406.6199996248</v>
      </c>
    </row>
    <row r="4346" spans="1:5" x14ac:dyDescent="0.25">
      <c r="A4346" s="2" t="s">
        <v>38</v>
      </c>
      <c r="B4346" s="6">
        <v>45700</v>
      </c>
      <c r="C4346" s="2" t="s">
        <v>19</v>
      </c>
      <c r="D4346" s="8">
        <v>-20</v>
      </c>
      <c r="E4346" s="8">
        <f>E4345+(0-20)</f>
        <v>8688386.6199996248</v>
      </c>
    </row>
    <row r="4347" spans="1:5" x14ac:dyDescent="0.25">
      <c r="A4347" s="2" t="s">
        <v>38</v>
      </c>
      <c r="B4347" s="6">
        <v>45700</v>
      </c>
      <c r="C4347" s="2" t="s">
        <v>19</v>
      </c>
      <c r="D4347" s="8">
        <v>-88</v>
      </c>
      <c r="E4347" s="8">
        <f>E4346+(0-88)</f>
        <v>8688298.6199996248</v>
      </c>
    </row>
    <row r="4348" spans="1:5" x14ac:dyDescent="0.25">
      <c r="A4348" s="2" t="s">
        <v>38</v>
      </c>
      <c r="B4348" s="6">
        <v>45700</v>
      </c>
      <c r="C4348" s="2" t="s">
        <v>53</v>
      </c>
      <c r="D4348" s="8">
        <v>-350</v>
      </c>
      <c r="E4348" s="8">
        <f>E4347+(0-350)</f>
        <v>8687948.6199996248</v>
      </c>
    </row>
    <row r="4349" spans="1:5" x14ac:dyDescent="0.25">
      <c r="A4349" s="2" t="s">
        <v>38</v>
      </c>
      <c r="B4349" s="6">
        <v>45700</v>
      </c>
      <c r="C4349" s="2" t="s">
        <v>19</v>
      </c>
      <c r="D4349" s="8">
        <v>-40</v>
      </c>
      <c r="E4349" s="8">
        <f>E4348+(0-40)</f>
        <v>8687908.6199996248</v>
      </c>
    </row>
    <row r="4350" spans="1:5" x14ac:dyDescent="0.25">
      <c r="A4350" s="2" t="s">
        <v>38</v>
      </c>
      <c r="B4350" s="6">
        <v>45701</v>
      </c>
      <c r="C4350" s="2" t="s">
        <v>19</v>
      </c>
      <c r="D4350" s="8">
        <v>-110</v>
      </c>
      <c r="E4350" s="8">
        <f>E4349+(0-110)</f>
        <v>8687798.6199996248</v>
      </c>
    </row>
    <row r="4351" spans="1:5" x14ac:dyDescent="0.25">
      <c r="A4351" s="2" t="s">
        <v>38</v>
      </c>
      <c r="B4351" s="6">
        <v>45701</v>
      </c>
      <c r="C4351" s="2" t="s">
        <v>53</v>
      </c>
      <c r="D4351" s="8">
        <v>-200</v>
      </c>
      <c r="E4351" s="8">
        <f>E4350+(0-200)</f>
        <v>8687598.6199996248</v>
      </c>
    </row>
    <row r="4352" spans="1:5" x14ac:dyDescent="0.25">
      <c r="A4352" s="2" t="s">
        <v>38</v>
      </c>
      <c r="B4352" s="6">
        <v>45702</v>
      </c>
      <c r="C4352" s="2" t="s">
        <v>53</v>
      </c>
      <c r="D4352" s="8">
        <v>-53.75</v>
      </c>
      <c r="E4352" s="8">
        <f>E4351+(0-53.75)</f>
        <v>8687544.8699996248</v>
      </c>
    </row>
    <row r="4353" spans="1:5" x14ac:dyDescent="0.25">
      <c r="A4353" s="2" t="s">
        <v>38</v>
      </c>
      <c r="B4353" s="6">
        <v>45702</v>
      </c>
      <c r="C4353" s="2" t="s">
        <v>53</v>
      </c>
      <c r="D4353" s="8">
        <v>-450</v>
      </c>
      <c r="E4353" s="8">
        <f>E4352+(0-450)</f>
        <v>8687094.8699996248</v>
      </c>
    </row>
    <row r="4354" spans="1:5" x14ac:dyDescent="0.25">
      <c r="A4354" s="2" t="s">
        <v>38</v>
      </c>
      <c r="B4354" s="6">
        <v>45705</v>
      </c>
      <c r="C4354" s="2" t="s">
        <v>19</v>
      </c>
      <c r="D4354" s="8">
        <v>-15</v>
      </c>
      <c r="E4354" s="8">
        <f>E4353+(0-15)</f>
        <v>8687079.8699996248</v>
      </c>
    </row>
    <row r="4355" spans="1:5" x14ac:dyDescent="0.25">
      <c r="A4355" s="2" t="s">
        <v>38</v>
      </c>
      <c r="B4355" s="6">
        <v>45705</v>
      </c>
      <c r="C4355" s="2" t="s">
        <v>19</v>
      </c>
      <c r="D4355" s="8">
        <v>-25</v>
      </c>
      <c r="E4355" s="8">
        <f>E4354+(0-25)</f>
        <v>8687054.8699996248</v>
      </c>
    </row>
    <row r="4356" spans="1:5" x14ac:dyDescent="0.25">
      <c r="A4356" s="2" t="s">
        <v>38</v>
      </c>
      <c r="B4356" s="6">
        <v>45705</v>
      </c>
      <c r="C4356" s="2" t="s">
        <v>19</v>
      </c>
      <c r="D4356" s="8">
        <v>-65</v>
      </c>
      <c r="E4356" s="8">
        <f>E4355+(0-65)</f>
        <v>8686989.8699996248</v>
      </c>
    </row>
    <row r="4357" spans="1:5" x14ac:dyDescent="0.25">
      <c r="A4357" s="2" t="s">
        <v>38</v>
      </c>
      <c r="B4357" s="6">
        <v>45705</v>
      </c>
      <c r="C4357" s="2" t="s">
        <v>19</v>
      </c>
      <c r="D4357" s="8">
        <v>-5</v>
      </c>
      <c r="E4357" s="8">
        <f>E4356+(0-5)</f>
        <v>8686984.8699996248</v>
      </c>
    </row>
    <row r="4358" spans="1:5" x14ac:dyDescent="0.25">
      <c r="A4358" s="2" t="s">
        <v>38</v>
      </c>
      <c r="B4358" s="6">
        <v>45705</v>
      </c>
      <c r="C4358" s="2" t="s">
        <v>53</v>
      </c>
      <c r="D4358" s="8">
        <v>-600</v>
      </c>
      <c r="E4358" s="8">
        <f>E4357+(0-600)</f>
        <v>8686384.8699996248</v>
      </c>
    </row>
    <row r="4359" spans="1:5" x14ac:dyDescent="0.25">
      <c r="A4359" s="2" t="s">
        <v>38</v>
      </c>
      <c r="B4359" s="6">
        <v>45706</v>
      </c>
      <c r="C4359" s="2" t="s">
        <v>19</v>
      </c>
      <c r="D4359" s="8">
        <v>-5</v>
      </c>
      <c r="E4359" s="8">
        <f>E4358+(0-5)</f>
        <v>8686379.8699996248</v>
      </c>
    </row>
    <row r="4360" spans="1:5" x14ac:dyDescent="0.25">
      <c r="A4360" s="2" t="s">
        <v>38</v>
      </c>
      <c r="B4360" s="6">
        <v>45706</v>
      </c>
      <c r="C4360" s="2" t="s">
        <v>19</v>
      </c>
      <c r="D4360" s="8">
        <v>-130</v>
      </c>
      <c r="E4360" s="8">
        <f>E4359+(0-130)</f>
        <v>8686249.8699996248</v>
      </c>
    </row>
    <row r="4361" spans="1:5" x14ac:dyDescent="0.25">
      <c r="A4361" s="2" t="s">
        <v>38</v>
      </c>
      <c r="B4361" s="6">
        <v>45706</v>
      </c>
      <c r="C4361" s="2" t="s">
        <v>19</v>
      </c>
      <c r="D4361" s="8">
        <v>-50</v>
      </c>
      <c r="E4361" s="8">
        <f>E4360+(0-50)</f>
        <v>8686199.8699996248</v>
      </c>
    </row>
    <row r="4362" spans="1:5" x14ac:dyDescent="0.25">
      <c r="A4362" s="2" t="s">
        <v>38</v>
      </c>
      <c r="B4362" s="6">
        <v>45706</v>
      </c>
      <c r="C4362" s="2" t="s">
        <v>53</v>
      </c>
      <c r="D4362" s="8">
        <v>-26.88</v>
      </c>
      <c r="E4362" s="8">
        <f>E4361+(0-26.88)</f>
        <v>8686172.989999624</v>
      </c>
    </row>
    <row r="4363" spans="1:5" x14ac:dyDescent="0.25">
      <c r="A4363" s="2" t="s">
        <v>38</v>
      </c>
      <c r="B4363" s="6">
        <v>45706</v>
      </c>
      <c r="C4363" s="2" t="s">
        <v>53</v>
      </c>
      <c r="D4363" s="8">
        <v>-53.75</v>
      </c>
      <c r="E4363" s="8">
        <f>E4362+(0-53.75)</f>
        <v>8686119.239999624</v>
      </c>
    </row>
    <row r="4364" spans="1:5" x14ac:dyDescent="0.25">
      <c r="A4364" s="2" t="s">
        <v>38</v>
      </c>
      <c r="B4364" s="6">
        <v>45706</v>
      </c>
      <c r="C4364" s="2" t="s">
        <v>53</v>
      </c>
      <c r="D4364" s="8">
        <v>-400</v>
      </c>
      <c r="E4364" s="8">
        <f>E4363+(0-400)</f>
        <v>8685719.239999624</v>
      </c>
    </row>
    <row r="4365" spans="1:5" x14ac:dyDescent="0.25">
      <c r="A4365" s="2" t="s">
        <v>38</v>
      </c>
      <c r="B4365" s="6">
        <v>45707</v>
      </c>
      <c r="C4365" s="2" t="s">
        <v>53</v>
      </c>
      <c r="D4365" s="8">
        <v>-50</v>
      </c>
      <c r="E4365" s="8">
        <f>E4364+(0-50)</f>
        <v>8685669.239999624</v>
      </c>
    </row>
    <row r="4366" spans="1:5" x14ac:dyDescent="0.25">
      <c r="A4366" s="2" t="s">
        <v>38</v>
      </c>
      <c r="B4366" s="6">
        <v>45707</v>
      </c>
      <c r="C4366" s="2" t="s">
        <v>53</v>
      </c>
      <c r="D4366" s="8">
        <v>-350</v>
      </c>
      <c r="E4366" s="8">
        <f>E4365+(0-350)</f>
        <v>8685319.239999624</v>
      </c>
    </row>
    <row r="4367" spans="1:5" x14ac:dyDescent="0.25">
      <c r="A4367" s="2" t="s">
        <v>38</v>
      </c>
      <c r="B4367" s="6">
        <v>45708</v>
      </c>
      <c r="C4367" s="2" t="s">
        <v>19</v>
      </c>
      <c r="D4367" s="8">
        <v>-85</v>
      </c>
      <c r="E4367" s="8">
        <f>E4366+(0-85)</f>
        <v>8685234.239999624</v>
      </c>
    </row>
    <row r="4368" spans="1:5" x14ac:dyDescent="0.25">
      <c r="A4368" s="2" t="s">
        <v>38</v>
      </c>
      <c r="B4368" s="6">
        <v>45708</v>
      </c>
      <c r="C4368" s="2" t="s">
        <v>53</v>
      </c>
      <c r="D4368" s="8">
        <v>-53.75</v>
      </c>
      <c r="E4368" s="8">
        <f>E4367+(0-53.75)</f>
        <v>8685180.489999624</v>
      </c>
    </row>
    <row r="4369" spans="1:5" x14ac:dyDescent="0.25">
      <c r="A4369" s="2" t="s">
        <v>38</v>
      </c>
      <c r="B4369" s="6">
        <v>45708</v>
      </c>
      <c r="C4369" s="2" t="s">
        <v>53</v>
      </c>
      <c r="D4369" s="8">
        <v>-250</v>
      </c>
      <c r="E4369" s="8">
        <f>E4368+(0-250)</f>
        <v>8684930.489999624</v>
      </c>
    </row>
    <row r="4370" spans="1:5" x14ac:dyDescent="0.25">
      <c r="A4370" s="2" t="s">
        <v>38</v>
      </c>
      <c r="B4370" s="6">
        <v>45708</v>
      </c>
      <c r="C4370" s="2" t="s">
        <v>53</v>
      </c>
      <c r="D4370" s="8">
        <v>-50</v>
      </c>
      <c r="E4370" s="8">
        <f>E4369+(0-50)</f>
        <v>8684880.489999624</v>
      </c>
    </row>
    <row r="4371" spans="1:5" x14ac:dyDescent="0.25">
      <c r="A4371" s="2" t="s">
        <v>38</v>
      </c>
      <c r="B4371" s="6">
        <v>45709</v>
      </c>
      <c r="C4371" s="2" t="s">
        <v>19</v>
      </c>
      <c r="D4371" s="8">
        <v>-20</v>
      </c>
      <c r="E4371" s="8">
        <f>E4370+(0-20)</f>
        <v>8684860.489999624</v>
      </c>
    </row>
    <row r="4372" spans="1:5" x14ac:dyDescent="0.25">
      <c r="A4372" s="2" t="s">
        <v>38</v>
      </c>
      <c r="B4372" s="6">
        <v>45709</v>
      </c>
      <c r="C4372" s="2" t="s">
        <v>19</v>
      </c>
      <c r="D4372" s="8">
        <v>-70</v>
      </c>
      <c r="E4372" s="8">
        <f>E4371+(0-70)</f>
        <v>8684790.489999624</v>
      </c>
    </row>
    <row r="4373" spans="1:5" x14ac:dyDescent="0.25">
      <c r="A4373" s="2" t="s">
        <v>38</v>
      </c>
      <c r="B4373" s="6">
        <v>45709</v>
      </c>
      <c r="C4373" s="2" t="s">
        <v>53</v>
      </c>
      <c r="D4373" s="8">
        <v>-50</v>
      </c>
      <c r="E4373" s="8">
        <f>E4372+(0-50)</f>
        <v>8684740.489999624</v>
      </c>
    </row>
    <row r="4374" spans="1:5" x14ac:dyDescent="0.25">
      <c r="A4374" s="2" t="s">
        <v>38</v>
      </c>
      <c r="B4374" s="6">
        <v>45709</v>
      </c>
      <c r="C4374" s="2" t="s">
        <v>53</v>
      </c>
      <c r="D4374" s="8">
        <v>-26.88</v>
      </c>
      <c r="E4374" s="8">
        <f>E4373+(0-26.88)</f>
        <v>8684713.6099996231</v>
      </c>
    </row>
    <row r="4375" spans="1:5" x14ac:dyDescent="0.25">
      <c r="A4375" s="2" t="s">
        <v>38</v>
      </c>
      <c r="B4375" s="6">
        <v>45709</v>
      </c>
      <c r="C4375" s="2" t="s">
        <v>53</v>
      </c>
      <c r="D4375" s="8">
        <v>-500</v>
      </c>
      <c r="E4375" s="8">
        <f>E4374+(0-500)</f>
        <v>8684213.6099996231</v>
      </c>
    </row>
    <row r="4376" spans="1:5" x14ac:dyDescent="0.25">
      <c r="A4376" s="2" t="s">
        <v>38</v>
      </c>
      <c r="B4376" s="6">
        <v>45712</v>
      </c>
      <c r="C4376" s="2" t="s">
        <v>53</v>
      </c>
      <c r="D4376" s="8">
        <v>-53.75</v>
      </c>
      <c r="E4376" s="8">
        <f>E4375+(0-53.75)</f>
        <v>8684159.8599996231</v>
      </c>
    </row>
    <row r="4377" spans="1:5" x14ac:dyDescent="0.25">
      <c r="A4377" s="2" t="s">
        <v>38</v>
      </c>
      <c r="B4377" s="6">
        <v>45712</v>
      </c>
      <c r="C4377" s="2" t="s">
        <v>53</v>
      </c>
      <c r="D4377" s="8">
        <v>-26.88</v>
      </c>
      <c r="E4377" s="8">
        <f>E4376+(0-26.88)</f>
        <v>8684132.9799996223</v>
      </c>
    </row>
    <row r="4378" spans="1:5" x14ac:dyDescent="0.25">
      <c r="A4378" s="2" t="s">
        <v>38</v>
      </c>
      <c r="B4378" s="6">
        <v>45712</v>
      </c>
      <c r="C4378" s="2" t="s">
        <v>53</v>
      </c>
      <c r="D4378" s="8">
        <v>-150</v>
      </c>
      <c r="E4378" s="8">
        <f>E4377+(0-150)</f>
        <v>8683982.9799996223</v>
      </c>
    </row>
    <row r="4379" spans="1:5" x14ac:dyDescent="0.25">
      <c r="A4379" s="2" t="s">
        <v>38</v>
      </c>
      <c r="B4379" s="6">
        <v>45713</v>
      </c>
      <c r="C4379" s="2" t="s">
        <v>53</v>
      </c>
      <c r="D4379" s="8">
        <v>-53.75</v>
      </c>
      <c r="E4379" s="8">
        <f>E4378+(0-53.75)</f>
        <v>8683929.2299996223</v>
      </c>
    </row>
    <row r="4380" spans="1:5" x14ac:dyDescent="0.25">
      <c r="A4380" s="2" t="s">
        <v>38</v>
      </c>
      <c r="B4380" s="6">
        <v>45713</v>
      </c>
      <c r="C4380" s="2" t="s">
        <v>53</v>
      </c>
      <c r="D4380" s="8">
        <v>-50</v>
      </c>
      <c r="E4380" s="8">
        <f>E4379+(0-50)</f>
        <v>8683879.2299996223</v>
      </c>
    </row>
    <row r="4381" spans="1:5" x14ac:dyDescent="0.25">
      <c r="A4381" s="2" t="s">
        <v>38</v>
      </c>
      <c r="B4381" s="6">
        <v>45713</v>
      </c>
      <c r="C4381" s="2" t="s">
        <v>53</v>
      </c>
      <c r="D4381" s="8">
        <v>-26.88</v>
      </c>
      <c r="E4381" s="8">
        <f>E4380+(0-26.88)</f>
        <v>8683852.3499996215</v>
      </c>
    </row>
    <row r="4382" spans="1:5" x14ac:dyDescent="0.25">
      <c r="A4382" s="2" t="s">
        <v>38</v>
      </c>
      <c r="B4382" s="6">
        <v>45713</v>
      </c>
      <c r="C4382" s="2" t="s">
        <v>53</v>
      </c>
      <c r="D4382" s="8">
        <v>-53.75</v>
      </c>
      <c r="E4382" s="8">
        <f>E4381+(0-53.75)</f>
        <v>8683798.5999996215</v>
      </c>
    </row>
    <row r="4383" spans="1:5" x14ac:dyDescent="0.25">
      <c r="A4383" s="2" t="s">
        <v>38</v>
      </c>
      <c r="B4383" s="6">
        <v>45713</v>
      </c>
      <c r="C4383" s="2" t="s">
        <v>53</v>
      </c>
      <c r="D4383" s="8">
        <v>-53.75</v>
      </c>
      <c r="E4383" s="8">
        <f>E4382+(0-53.75)</f>
        <v>8683744.8499996215</v>
      </c>
    </row>
    <row r="4384" spans="1:5" x14ac:dyDescent="0.25">
      <c r="A4384" s="2" t="s">
        <v>38</v>
      </c>
      <c r="B4384" s="6">
        <v>45713</v>
      </c>
      <c r="C4384" s="2" t="s">
        <v>53</v>
      </c>
      <c r="D4384" s="8">
        <v>-53.75</v>
      </c>
      <c r="E4384" s="8">
        <f>E4383+(0-53.75)</f>
        <v>8683691.0999996215</v>
      </c>
    </row>
    <row r="4385" spans="1:5" x14ac:dyDescent="0.25">
      <c r="A4385" s="2" t="s">
        <v>38</v>
      </c>
      <c r="B4385" s="6">
        <v>45713</v>
      </c>
      <c r="C4385" s="2" t="s">
        <v>53</v>
      </c>
      <c r="D4385" s="8">
        <v>-53.75</v>
      </c>
      <c r="E4385" s="8">
        <f>E4384+(0-53.75)</f>
        <v>8683637.3499996215</v>
      </c>
    </row>
    <row r="4386" spans="1:5" x14ac:dyDescent="0.25">
      <c r="A4386" s="2" t="s">
        <v>38</v>
      </c>
      <c r="B4386" s="6">
        <v>45713</v>
      </c>
      <c r="C4386" s="2" t="s">
        <v>53</v>
      </c>
      <c r="D4386" s="8">
        <v>-150</v>
      </c>
      <c r="E4386" s="8">
        <f>E4385+(0-150)</f>
        <v>8683487.3499996215</v>
      </c>
    </row>
    <row r="4387" spans="1:5" x14ac:dyDescent="0.25">
      <c r="A4387" s="2" t="s">
        <v>38</v>
      </c>
      <c r="B4387" s="6">
        <v>45713</v>
      </c>
      <c r="C4387" s="2" t="s">
        <v>19</v>
      </c>
      <c r="D4387" s="8">
        <v>-5</v>
      </c>
      <c r="E4387" s="8">
        <f>E4386+(0-5)</f>
        <v>8683482.3499996215</v>
      </c>
    </row>
    <row r="4388" spans="1:5" x14ac:dyDescent="0.25">
      <c r="A4388" s="2" t="s">
        <v>38</v>
      </c>
      <c r="B4388" s="6">
        <v>45713</v>
      </c>
      <c r="C4388" s="2" t="s">
        <v>19</v>
      </c>
      <c r="D4388" s="8">
        <v>-15</v>
      </c>
      <c r="E4388" s="8">
        <f>E4387+(0-15)</f>
        <v>8683467.3499996215</v>
      </c>
    </row>
    <row r="4389" spans="1:5" x14ac:dyDescent="0.25">
      <c r="A4389" s="2" t="s">
        <v>38</v>
      </c>
      <c r="B4389" s="6">
        <v>45713</v>
      </c>
      <c r="C4389" s="2" t="s">
        <v>19</v>
      </c>
      <c r="D4389" s="8">
        <v>-25</v>
      </c>
      <c r="E4389" s="8">
        <f>E4388+(0-25)</f>
        <v>8683442.3499996215</v>
      </c>
    </row>
    <row r="4390" spans="1:5" x14ac:dyDescent="0.25">
      <c r="A4390" s="2" t="s">
        <v>38</v>
      </c>
      <c r="B4390" s="6">
        <v>45714</v>
      </c>
      <c r="C4390" s="2" t="s">
        <v>53</v>
      </c>
      <c r="D4390" s="8">
        <v>-53.75</v>
      </c>
      <c r="E4390" s="8">
        <f>E4389+(0-53.75)</f>
        <v>8683388.5999996215</v>
      </c>
    </row>
    <row r="4391" spans="1:5" x14ac:dyDescent="0.25">
      <c r="A4391" s="2" t="s">
        <v>38</v>
      </c>
      <c r="B4391" s="6">
        <v>45714</v>
      </c>
      <c r="C4391" s="2" t="s">
        <v>53</v>
      </c>
      <c r="D4391" s="8">
        <v>-300</v>
      </c>
      <c r="E4391" s="8">
        <f>E4390+(0-300)</f>
        <v>8683088.5999996215</v>
      </c>
    </row>
    <row r="4392" spans="1:5" x14ac:dyDescent="0.25">
      <c r="A4392" s="2" t="s">
        <v>38</v>
      </c>
      <c r="B4392" s="6">
        <v>45715</v>
      </c>
      <c r="C4392" s="2" t="s">
        <v>19</v>
      </c>
      <c r="D4392" s="8">
        <v>-10</v>
      </c>
      <c r="E4392" s="8">
        <f>E4391+(0-10)</f>
        <v>8683078.5999996215</v>
      </c>
    </row>
    <row r="4393" spans="1:5" x14ac:dyDescent="0.25">
      <c r="A4393" s="2" t="s">
        <v>38</v>
      </c>
      <c r="B4393" s="6">
        <v>45715</v>
      </c>
      <c r="C4393" s="2" t="s">
        <v>53</v>
      </c>
      <c r="D4393" s="8">
        <v>-50</v>
      </c>
      <c r="E4393" s="8">
        <f>E4392+(0-50)</f>
        <v>8683028.5999996215</v>
      </c>
    </row>
    <row r="4394" spans="1:5" x14ac:dyDescent="0.25">
      <c r="A4394" s="2" t="s">
        <v>38</v>
      </c>
      <c r="B4394" s="6">
        <v>45715</v>
      </c>
      <c r="C4394" s="2" t="s">
        <v>53</v>
      </c>
      <c r="D4394" s="8">
        <v>-350</v>
      </c>
      <c r="E4394" s="8">
        <f>E4393+(0-350)</f>
        <v>8682678.5999996215</v>
      </c>
    </row>
    <row r="4395" spans="1:5" x14ac:dyDescent="0.25">
      <c r="A4395" s="2" t="s">
        <v>38</v>
      </c>
      <c r="B4395" s="6">
        <v>45716</v>
      </c>
      <c r="C4395" s="2" t="s">
        <v>19</v>
      </c>
      <c r="D4395" s="8">
        <v>-20</v>
      </c>
      <c r="E4395" s="8">
        <f>E4394+(0-20)</f>
        <v>8682658.5999996215</v>
      </c>
    </row>
    <row r="4396" spans="1:5" x14ac:dyDescent="0.25">
      <c r="A4396" s="2" t="s">
        <v>38</v>
      </c>
      <c r="B4396" s="6">
        <v>45716</v>
      </c>
      <c r="C4396" s="2" t="s">
        <v>53</v>
      </c>
      <c r="D4396" s="8">
        <v>-550</v>
      </c>
      <c r="E4396" s="8">
        <f>E4395+(0-550)</f>
        <v>8682108.5999996215</v>
      </c>
    </row>
    <row r="4397" spans="1:5" x14ac:dyDescent="0.25">
      <c r="A4397" s="2" t="s">
        <v>38</v>
      </c>
      <c r="B4397" s="6">
        <v>45719</v>
      </c>
      <c r="C4397" s="2" t="s">
        <v>53</v>
      </c>
      <c r="D4397" s="8">
        <v>-26.88</v>
      </c>
      <c r="E4397" s="8">
        <f>E4396+(0-26.88)</f>
        <v>8682081.7199996207</v>
      </c>
    </row>
    <row r="4398" spans="1:5" x14ac:dyDescent="0.25">
      <c r="A4398" s="2" t="s">
        <v>38</v>
      </c>
      <c r="B4398" s="6">
        <v>45719</v>
      </c>
      <c r="C4398" s="2" t="s">
        <v>19</v>
      </c>
      <c r="D4398" s="8">
        <v>-85</v>
      </c>
      <c r="E4398" s="8">
        <f>E4397+(0-85)</f>
        <v>8681996.7199996207</v>
      </c>
    </row>
    <row r="4399" spans="1:5" x14ac:dyDescent="0.25">
      <c r="A4399" s="2" t="s">
        <v>38</v>
      </c>
      <c r="B4399" s="6">
        <v>45719</v>
      </c>
      <c r="C4399" s="2" t="s">
        <v>19</v>
      </c>
      <c r="D4399" s="8">
        <v>-65</v>
      </c>
      <c r="E4399" s="8">
        <f>E4398+(0-65)</f>
        <v>8681931.7199996207</v>
      </c>
    </row>
    <row r="4400" spans="1:5" x14ac:dyDescent="0.25">
      <c r="A4400" s="2" t="s">
        <v>38</v>
      </c>
      <c r="B4400" s="6">
        <v>45719</v>
      </c>
      <c r="C4400" s="2" t="s">
        <v>19</v>
      </c>
      <c r="D4400" s="8">
        <v>-15</v>
      </c>
      <c r="E4400" s="8">
        <f>E4399+(0-15)</f>
        <v>8681916.7199996207</v>
      </c>
    </row>
    <row r="4401" spans="1:5" x14ac:dyDescent="0.25">
      <c r="A4401" s="2" t="s">
        <v>38</v>
      </c>
      <c r="B4401" s="6">
        <v>45719</v>
      </c>
      <c r="C4401" s="2" t="s">
        <v>53</v>
      </c>
      <c r="D4401" s="8">
        <v>-53.75</v>
      </c>
      <c r="E4401" s="8">
        <f>E4400+(0-53.75)</f>
        <v>8681862.9699996207</v>
      </c>
    </row>
    <row r="4402" spans="1:5" x14ac:dyDescent="0.25">
      <c r="A4402" s="2" t="s">
        <v>38</v>
      </c>
      <c r="B4402" s="6">
        <v>45719</v>
      </c>
      <c r="C4402" s="2" t="s">
        <v>53</v>
      </c>
      <c r="D4402" s="8">
        <v>-53.75</v>
      </c>
      <c r="E4402" s="8">
        <f>E4401+(0-53.75)</f>
        <v>8681809.2199996207</v>
      </c>
    </row>
    <row r="4403" spans="1:5" x14ac:dyDescent="0.25">
      <c r="A4403" s="2" t="s">
        <v>38</v>
      </c>
      <c r="B4403" s="6">
        <v>45719</v>
      </c>
      <c r="C4403" s="2" t="s">
        <v>53</v>
      </c>
      <c r="D4403" s="8">
        <v>-53.75</v>
      </c>
      <c r="E4403" s="8">
        <f>E4402+(0-53.75)</f>
        <v>8681755.4699996207</v>
      </c>
    </row>
    <row r="4404" spans="1:5" x14ac:dyDescent="0.25">
      <c r="A4404" s="2" t="s">
        <v>38</v>
      </c>
      <c r="B4404" s="6">
        <v>45719</v>
      </c>
      <c r="C4404" s="2" t="s">
        <v>53</v>
      </c>
      <c r="D4404" s="8">
        <v>-53.75</v>
      </c>
      <c r="E4404" s="8">
        <f>E4403+(0-53.75)</f>
        <v>8681701.7199996207</v>
      </c>
    </row>
    <row r="4405" spans="1:5" x14ac:dyDescent="0.25">
      <c r="A4405" s="2" t="s">
        <v>38</v>
      </c>
      <c r="B4405" s="6">
        <v>45719</v>
      </c>
      <c r="C4405" s="2" t="s">
        <v>53</v>
      </c>
      <c r="D4405" s="8">
        <v>-100</v>
      </c>
      <c r="E4405" s="8">
        <f>E4404+(0-100)</f>
        <v>8681601.7199996207</v>
      </c>
    </row>
    <row r="4406" spans="1:5" x14ac:dyDescent="0.25">
      <c r="A4406" s="2" t="s">
        <v>38</v>
      </c>
      <c r="B4406" s="6">
        <v>45719</v>
      </c>
      <c r="C4406" s="2" t="s">
        <v>53</v>
      </c>
      <c r="D4406" s="8">
        <v>-500</v>
      </c>
      <c r="E4406" s="8">
        <f>E4405+(0-500)</f>
        <v>8681101.7199996207</v>
      </c>
    </row>
    <row r="4407" spans="1:5" x14ac:dyDescent="0.25">
      <c r="A4407" s="2" t="s">
        <v>38</v>
      </c>
      <c r="B4407" s="6">
        <v>45720</v>
      </c>
      <c r="C4407" s="2" t="s">
        <v>53</v>
      </c>
      <c r="D4407" s="8">
        <v>-250</v>
      </c>
      <c r="E4407" s="8">
        <f>E4406+(0-250)</f>
        <v>8680851.7199996207</v>
      </c>
    </row>
    <row r="4408" spans="1:5" x14ac:dyDescent="0.25">
      <c r="A4408" s="2" t="s">
        <v>38</v>
      </c>
      <c r="B4408" s="6">
        <v>45720</v>
      </c>
      <c r="C4408" s="2" t="s">
        <v>53</v>
      </c>
      <c r="D4408" s="8">
        <v>-100</v>
      </c>
      <c r="E4408" s="8">
        <f>E4407+(0-100)</f>
        <v>8680751.7199996207</v>
      </c>
    </row>
    <row r="4409" spans="1:5" x14ac:dyDescent="0.25">
      <c r="A4409" s="2" t="s">
        <v>38</v>
      </c>
      <c r="B4409" s="6">
        <v>45721</v>
      </c>
      <c r="C4409" s="2" t="s">
        <v>19</v>
      </c>
      <c r="D4409" s="8">
        <v>-100</v>
      </c>
      <c r="E4409" s="8">
        <f>E4408+(0-100)</f>
        <v>8680651.7199996207</v>
      </c>
    </row>
    <row r="4410" spans="1:5" x14ac:dyDescent="0.25">
      <c r="A4410" s="2" t="s">
        <v>38</v>
      </c>
      <c r="B4410" s="6">
        <v>45721</v>
      </c>
      <c r="C4410" s="2" t="s">
        <v>53</v>
      </c>
      <c r="D4410" s="8">
        <v>-53.75</v>
      </c>
      <c r="E4410" s="8">
        <f>E4409+(0-53.75)</f>
        <v>8680597.9699996207</v>
      </c>
    </row>
    <row r="4411" spans="1:5" x14ac:dyDescent="0.25">
      <c r="A4411" s="2" t="s">
        <v>38</v>
      </c>
      <c r="B4411" s="6">
        <v>45721</v>
      </c>
      <c r="C4411" s="2" t="s">
        <v>53</v>
      </c>
      <c r="D4411" s="8">
        <v>-750</v>
      </c>
      <c r="E4411" s="8">
        <f>E4410+(0-750)</f>
        <v>8679847.9699996207</v>
      </c>
    </row>
    <row r="4412" spans="1:5" x14ac:dyDescent="0.25">
      <c r="A4412" s="2" t="s">
        <v>38</v>
      </c>
      <c r="B4412" s="6">
        <v>45722</v>
      </c>
      <c r="C4412" s="2" t="s">
        <v>53</v>
      </c>
      <c r="D4412" s="8">
        <v>-50</v>
      </c>
      <c r="E4412" s="8">
        <f>E4411+(0-50)</f>
        <v>8679797.9699996207</v>
      </c>
    </row>
    <row r="4413" spans="1:5" x14ac:dyDescent="0.25">
      <c r="A4413" s="2" t="s">
        <v>38</v>
      </c>
      <c r="B4413" s="6">
        <v>45722</v>
      </c>
      <c r="C4413" s="2" t="s">
        <v>53</v>
      </c>
      <c r="D4413" s="8">
        <v>-400</v>
      </c>
      <c r="E4413" s="8">
        <f>E4412+(0-400)</f>
        <v>8679397.9699996207</v>
      </c>
    </row>
    <row r="4414" spans="1:5" x14ac:dyDescent="0.25">
      <c r="A4414" s="2" t="s">
        <v>38</v>
      </c>
      <c r="B4414" s="6">
        <v>45723</v>
      </c>
      <c r="C4414" s="2" t="s">
        <v>53</v>
      </c>
      <c r="D4414" s="8">
        <v>-53.75</v>
      </c>
      <c r="E4414" s="8">
        <f>E4413+(0-53.75)</f>
        <v>8679344.2199996207</v>
      </c>
    </row>
    <row r="4415" spans="1:5" x14ac:dyDescent="0.25">
      <c r="A4415" s="2" t="s">
        <v>38</v>
      </c>
      <c r="B4415" s="6">
        <v>45723</v>
      </c>
      <c r="C4415" s="2" t="s">
        <v>53</v>
      </c>
      <c r="D4415" s="8">
        <v>-53.75</v>
      </c>
      <c r="E4415" s="8">
        <f>E4414+(0-53.75)</f>
        <v>8679290.4699996207</v>
      </c>
    </row>
    <row r="4416" spans="1:5" x14ac:dyDescent="0.25">
      <c r="A4416" s="2" t="s">
        <v>38</v>
      </c>
      <c r="B4416" s="6">
        <v>45723</v>
      </c>
      <c r="C4416" s="2" t="s">
        <v>53</v>
      </c>
      <c r="D4416" s="8">
        <v>-400</v>
      </c>
      <c r="E4416" s="8">
        <f>E4415+(0-400)</f>
        <v>8678890.4699996207</v>
      </c>
    </row>
    <row r="4417" spans="1:5" x14ac:dyDescent="0.25">
      <c r="A4417" s="2" t="s">
        <v>38</v>
      </c>
      <c r="B4417" s="6">
        <v>45726</v>
      </c>
      <c r="C4417" s="2" t="s">
        <v>53</v>
      </c>
      <c r="D4417" s="8">
        <v>-53.75</v>
      </c>
      <c r="E4417" s="8">
        <f>E4416+(0-53.75)</f>
        <v>8678836.7199996207</v>
      </c>
    </row>
    <row r="4418" spans="1:5" x14ac:dyDescent="0.25">
      <c r="A4418" s="2" t="s">
        <v>38</v>
      </c>
      <c r="B4418" s="6">
        <v>45726</v>
      </c>
      <c r="C4418" s="2" t="s">
        <v>53</v>
      </c>
      <c r="D4418" s="8">
        <v>-53.75</v>
      </c>
      <c r="E4418" s="8">
        <f>E4417+(0-53.75)</f>
        <v>8678782.9699996207</v>
      </c>
    </row>
    <row r="4419" spans="1:5" x14ac:dyDescent="0.25">
      <c r="A4419" s="2" t="s">
        <v>38</v>
      </c>
      <c r="B4419" s="6">
        <v>45726</v>
      </c>
      <c r="C4419" s="2" t="s">
        <v>53</v>
      </c>
      <c r="D4419" s="8">
        <v>-150</v>
      </c>
      <c r="E4419" s="8">
        <f>E4418+(0-150)</f>
        <v>8678632.9699996207</v>
      </c>
    </row>
    <row r="4420" spans="1:5" x14ac:dyDescent="0.25">
      <c r="A4420" s="2" t="s">
        <v>38</v>
      </c>
      <c r="B4420" s="6">
        <v>45727</v>
      </c>
      <c r="C4420" s="2" t="s">
        <v>53</v>
      </c>
      <c r="D4420" s="8">
        <v>-26.88</v>
      </c>
      <c r="E4420" s="8">
        <f>E4419+(0-26.88)</f>
        <v>8678606.0899996199</v>
      </c>
    </row>
    <row r="4421" spans="1:5" x14ac:dyDescent="0.25">
      <c r="A4421" s="2" t="s">
        <v>38</v>
      </c>
      <c r="B4421" s="6">
        <v>45727</v>
      </c>
      <c r="C4421" s="2" t="s">
        <v>53</v>
      </c>
      <c r="D4421" s="8">
        <v>-50</v>
      </c>
      <c r="E4421" s="8">
        <f>E4420+(0-50)</f>
        <v>8678556.0899996199</v>
      </c>
    </row>
    <row r="4422" spans="1:5" x14ac:dyDescent="0.25">
      <c r="A4422" s="2" t="s">
        <v>38</v>
      </c>
      <c r="B4422" s="6">
        <v>45727</v>
      </c>
      <c r="C4422" s="2" t="s">
        <v>53</v>
      </c>
      <c r="D4422" s="8">
        <v>-550</v>
      </c>
      <c r="E4422" s="8">
        <f>E4421+(0-550)</f>
        <v>8678006.0899996199</v>
      </c>
    </row>
    <row r="4423" spans="1:5" x14ac:dyDescent="0.25">
      <c r="A4423" s="2" t="s">
        <v>38</v>
      </c>
      <c r="B4423" s="6">
        <v>45728</v>
      </c>
      <c r="C4423" s="2" t="s">
        <v>53</v>
      </c>
      <c r="D4423" s="8">
        <v>-250</v>
      </c>
      <c r="E4423" s="8">
        <f>E4422+(0-250)</f>
        <v>8677756.0899996199</v>
      </c>
    </row>
    <row r="4424" spans="1:5" x14ac:dyDescent="0.25">
      <c r="A4424" s="2" t="s">
        <v>38</v>
      </c>
      <c r="B4424" s="6">
        <v>45728</v>
      </c>
      <c r="C4424" s="2" t="s">
        <v>53</v>
      </c>
      <c r="D4424" s="8">
        <v>-50</v>
      </c>
      <c r="E4424" s="8">
        <f>E4423+(0-50)</f>
        <v>8677706.0899996199</v>
      </c>
    </row>
    <row r="4425" spans="1:5" x14ac:dyDescent="0.25">
      <c r="A4425" s="2" t="s">
        <v>38</v>
      </c>
      <c r="B4425" s="6">
        <v>45728</v>
      </c>
      <c r="C4425" s="2" t="s">
        <v>53</v>
      </c>
      <c r="D4425" s="8">
        <v>-50</v>
      </c>
      <c r="E4425" s="8">
        <f>E4424+(0-50)</f>
        <v>8677656.0899996199</v>
      </c>
    </row>
    <row r="4426" spans="1:5" x14ac:dyDescent="0.25">
      <c r="A4426" s="2" t="s">
        <v>38</v>
      </c>
      <c r="B4426" s="6">
        <v>45729</v>
      </c>
      <c r="C4426" s="2" t="s">
        <v>53</v>
      </c>
      <c r="D4426" s="8">
        <v>-53.75</v>
      </c>
      <c r="E4426" s="8">
        <f>E4425+(0-53.75)</f>
        <v>8677602.3399996199</v>
      </c>
    </row>
    <row r="4427" spans="1:5" x14ac:dyDescent="0.25">
      <c r="A4427" s="2" t="s">
        <v>38</v>
      </c>
      <c r="B4427" s="6">
        <v>45729</v>
      </c>
      <c r="C4427" s="2" t="s">
        <v>53</v>
      </c>
      <c r="D4427" s="8">
        <v>-850</v>
      </c>
      <c r="E4427" s="8">
        <f>E4426+(0-850)</f>
        <v>8676752.3399996199</v>
      </c>
    </row>
    <row r="4428" spans="1:5" x14ac:dyDescent="0.25">
      <c r="A4428" s="2" t="s">
        <v>38</v>
      </c>
      <c r="B4428" s="6">
        <v>45730</v>
      </c>
      <c r="C4428" s="2" t="s">
        <v>53</v>
      </c>
      <c r="D4428" s="8">
        <v>-53.75</v>
      </c>
      <c r="E4428" s="8">
        <f>E4427+(0-53.75)</f>
        <v>8676698.5899996199</v>
      </c>
    </row>
    <row r="4429" spans="1:5" x14ac:dyDescent="0.25">
      <c r="A4429" s="2" t="s">
        <v>38</v>
      </c>
      <c r="B4429" s="6">
        <v>45730</v>
      </c>
      <c r="C4429" s="2" t="s">
        <v>53</v>
      </c>
      <c r="D4429" s="8">
        <v>-53.75</v>
      </c>
      <c r="E4429" s="8">
        <f>E4428+(0-53.75)</f>
        <v>8676644.8399996199</v>
      </c>
    </row>
    <row r="4430" spans="1:5" x14ac:dyDescent="0.25">
      <c r="A4430" s="2" t="s">
        <v>38</v>
      </c>
      <c r="B4430" s="6">
        <v>45730</v>
      </c>
      <c r="C4430" s="2" t="s">
        <v>53</v>
      </c>
      <c r="D4430" s="8">
        <v>-500</v>
      </c>
      <c r="E4430" s="8">
        <f>E4429+(0-500)</f>
        <v>8676144.8399996199</v>
      </c>
    </row>
    <row r="4431" spans="1:5" x14ac:dyDescent="0.25">
      <c r="A4431" s="2" t="s">
        <v>38</v>
      </c>
      <c r="B4431" s="6">
        <v>45730</v>
      </c>
      <c r="C4431" s="2" t="s">
        <v>53</v>
      </c>
      <c r="D4431" s="8">
        <v>-37.5</v>
      </c>
      <c r="E4431" s="8">
        <f>E4430+(0-37.5)</f>
        <v>8676107.3399996199</v>
      </c>
    </row>
    <row r="4432" spans="1:5" x14ac:dyDescent="0.25">
      <c r="A4432" s="2" t="s">
        <v>38</v>
      </c>
      <c r="B4432" s="6">
        <v>45730</v>
      </c>
      <c r="C4432" s="2" t="s">
        <v>53</v>
      </c>
      <c r="D4432" s="8">
        <v>-53.75</v>
      </c>
      <c r="E4432" s="8">
        <f>E4431+(0-53.75)</f>
        <v>8676053.5899996199</v>
      </c>
    </row>
    <row r="4433" spans="1:5" x14ac:dyDescent="0.25">
      <c r="A4433" s="2" t="s">
        <v>38</v>
      </c>
      <c r="B4433" s="6">
        <v>45730</v>
      </c>
      <c r="C4433" s="2" t="s">
        <v>53</v>
      </c>
      <c r="D4433" s="8">
        <v>-26.88</v>
      </c>
      <c r="E4433" s="8">
        <f>E4432+(0-26.88)</f>
        <v>8676026.7099996191</v>
      </c>
    </row>
    <row r="4434" spans="1:5" x14ac:dyDescent="0.25">
      <c r="A4434" s="2" t="s">
        <v>38</v>
      </c>
      <c r="B4434" s="6">
        <v>45730</v>
      </c>
      <c r="C4434" s="2" t="s">
        <v>53</v>
      </c>
      <c r="D4434" s="8">
        <v>-50</v>
      </c>
      <c r="E4434" s="8">
        <f>E4433+(0-50)</f>
        <v>8675976.7099996191</v>
      </c>
    </row>
    <row r="4435" spans="1:5" x14ac:dyDescent="0.25">
      <c r="A4435" s="2" t="s">
        <v>38</v>
      </c>
      <c r="B4435" s="6">
        <v>45730</v>
      </c>
      <c r="C4435" s="2" t="s">
        <v>53</v>
      </c>
      <c r="D4435" s="8">
        <v>-400</v>
      </c>
      <c r="E4435" s="8">
        <f>E4434+(0-400)</f>
        <v>8675576.7099996191</v>
      </c>
    </row>
    <row r="4436" spans="1:5" x14ac:dyDescent="0.25">
      <c r="A4436" s="2" t="s">
        <v>38</v>
      </c>
      <c r="B4436" s="6">
        <v>45733</v>
      </c>
      <c r="C4436" s="2" t="s">
        <v>19</v>
      </c>
      <c r="D4436" s="8">
        <v>-45</v>
      </c>
      <c r="E4436" s="8">
        <f>E4435+(0-45)</f>
        <v>8675531.7099996191</v>
      </c>
    </row>
    <row r="4437" spans="1:5" x14ac:dyDescent="0.25">
      <c r="A4437" s="2" t="s">
        <v>38</v>
      </c>
      <c r="B4437" s="6">
        <v>45733</v>
      </c>
      <c r="C4437" s="2" t="s">
        <v>19</v>
      </c>
      <c r="D4437" s="8">
        <v>-95</v>
      </c>
      <c r="E4437" s="8">
        <f>E4436+(0-95)</f>
        <v>8675436.7099996191</v>
      </c>
    </row>
    <row r="4438" spans="1:5" x14ac:dyDescent="0.25">
      <c r="A4438" s="2" t="s">
        <v>38</v>
      </c>
      <c r="B4438" s="6">
        <v>45733</v>
      </c>
      <c r="C4438" s="2" t="s">
        <v>19</v>
      </c>
      <c r="D4438" s="8">
        <v>-50</v>
      </c>
      <c r="E4438" s="8">
        <f>E4437+(0-50)</f>
        <v>8675386.7099996191</v>
      </c>
    </row>
    <row r="4439" spans="1:5" x14ac:dyDescent="0.25">
      <c r="A4439" s="2" t="s">
        <v>38</v>
      </c>
      <c r="B4439" s="6">
        <v>45733</v>
      </c>
      <c r="C4439" s="2" t="s">
        <v>19</v>
      </c>
      <c r="D4439" s="8">
        <v>-90</v>
      </c>
      <c r="E4439" s="8">
        <f>E4438+(0-90)</f>
        <v>8675296.7099996191</v>
      </c>
    </row>
    <row r="4440" spans="1:5" x14ac:dyDescent="0.25">
      <c r="A4440" s="2" t="s">
        <v>38</v>
      </c>
      <c r="B4440" s="6">
        <v>45733</v>
      </c>
      <c r="C4440" s="2" t="s">
        <v>19</v>
      </c>
      <c r="D4440" s="8">
        <v>-15</v>
      </c>
      <c r="E4440" s="8">
        <f>E4439+(0-15)</f>
        <v>8675281.7099996191</v>
      </c>
    </row>
    <row r="4441" spans="1:5" x14ac:dyDescent="0.25">
      <c r="A4441" s="2" t="s">
        <v>38</v>
      </c>
      <c r="B4441" s="6">
        <v>45733</v>
      </c>
      <c r="C4441" s="2" t="s">
        <v>19</v>
      </c>
      <c r="D4441" s="8">
        <v>-350</v>
      </c>
      <c r="E4441" s="8">
        <f>E4440+(0-350)</f>
        <v>8674931.7099996191</v>
      </c>
    </row>
    <row r="4442" spans="1:5" x14ac:dyDescent="0.25">
      <c r="A4442" s="2" t="s">
        <v>38</v>
      </c>
      <c r="B4442" s="6">
        <v>45733</v>
      </c>
      <c r="C4442" s="2" t="s">
        <v>19</v>
      </c>
      <c r="D4442" s="8">
        <v>-25</v>
      </c>
      <c r="E4442" s="8">
        <f>E4441+(0-25)</f>
        <v>8674906.7099996191</v>
      </c>
    </row>
    <row r="4443" spans="1:5" x14ac:dyDescent="0.25">
      <c r="A4443" s="2" t="s">
        <v>38</v>
      </c>
      <c r="B4443" s="6">
        <v>45733</v>
      </c>
      <c r="C4443" s="2" t="s">
        <v>19</v>
      </c>
      <c r="D4443" s="8">
        <v>-70</v>
      </c>
      <c r="E4443" s="8">
        <f>E4442+(0-70)</f>
        <v>8674836.7099996191</v>
      </c>
    </row>
    <row r="4444" spans="1:5" x14ac:dyDescent="0.25">
      <c r="A4444" s="2" t="s">
        <v>38</v>
      </c>
      <c r="B4444" s="6">
        <v>45733</v>
      </c>
      <c r="C4444" s="2" t="s">
        <v>19</v>
      </c>
      <c r="D4444" s="8">
        <v>-35</v>
      </c>
      <c r="E4444" s="8">
        <f>E4443+(0-35)</f>
        <v>8674801.7099996191</v>
      </c>
    </row>
    <row r="4445" spans="1:5" x14ac:dyDescent="0.25">
      <c r="A4445" s="2" t="s">
        <v>38</v>
      </c>
      <c r="B4445" s="6">
        <v>45733</v>
      </c>
      <c r="C4445" s="2" t="s">
        <v>19</v>
      </c>
      <c r="D4445" s="8">
        <v>-140</v>
      </c>
      <c r="E4445" s="8">
        <f>E4444+(0-140)</f>
        <v>8674661.7099996191</v>
      </c>
    </row>
    <row r="4446" spans="1:5" x14ac:dyDescent="0.25">
      <c r="A4446" s="2" t="s">
        <v>38</v>
      </c>
      <c r="B4446" s="6">
        <v>45733</v>
      </c>
      <c r="C4446" s="2" t="s">
        <v>19</v>
      </c>
      <c r="D4446" s="8">
        <v>-110</v>
      </c>
      <c r="E4446" s="8">
        <f>E4445+(0-110)</f>
        <v>8674551.7099996191</v>
      </c>
    </row>
    <row r="4447" spans="1:5" x14ac:dyDescent="0.25">
      <c r="A4447" s="2" t="s">
        <v>38</v>
      </c>
      <c r="B4447" s="6">
        <v>45733</v>
      </c>
      <c r="C4447" s="2" t="s">
        <v>53</v>
      </c>
      <c r="D4447" s="8">
        <v>-53.75</v>
      </c>
      <c r="E4447" s="8">
        <f>E4446+(0-53.75)</f>
        <v>8674497.9599996191</v>
      </c>
    </row>
    <row r="4448" spans="1:5" x14ac:dyDescent="0.25">
      <c r="A4448" s="2" t="s">
        <v>38</v>
      </c>
      <c r="B4448" s="6">
        <v>45733</v>
      </c>
      <c r="C4448" s="2" t="s">
        <v>19</v>
      </c>
      <c r="D4448" s="8">
        <v>-5</v>
      </c>
      <c r="E4448" s="8">
        <f>E4447+(0-5)</f>
        <v>8674492.9599996191</v>
      </c>
    </row>
    <row r="4449" spans="1:5" x14ac:dyDescent="0.25">
      <c r="A4449" s="2" t="s">
        <v>38</v>
      </c>
      <c r="B4449" s="6">
        <v>45733</v>
      </c>
      <c r="C4449" s="2" t="s">
        <v>53</v>
      </c>
      <c r="D4449" s="8">
        <v>-650</v>
      </c>
      <c r="E4449" s="8">
        <f>E4448+(0-650)</f>
        <v>8673842.9599996191</v>
      </c>
    </row>
    <row r="4450" spans="1:5" x14ac:dyDescent="0.25">
      <c r="A4450" s="2" t="s">
        <v>38</v>
      </c>
      <c r="B4450" s="6">
        <v>45734</v>
      </c>
      <c r="C4450" s="2" t="s">
        <v>53</v>
      </c>
      <c r="D4450" s="8">
        <v>-26.88</v>
      </c>
      <c r="E4450" s="8">
        <f>E4449+(0-26.88)</f>
        <v>8673816.0799996182</v>
      </c>
    </row>
    <row r="4451" spans="1:5" x14ac:dyDescent="0.25">
      <c r="A4451" s="2" t="s">
        <v>38</v>
      </c>
      <c r="B4451" s="6">
        <v>45734</v>
      </c>
      <c r="C4451" s="2" t="s">
        <v>19</v>
      </c>
      <c r="D4451" s="8">
        <v>-80</v>
      </c>
      <c r="E4451" s="8">
        <f>E4450+(0-80)</f>
        <v>8673736.0799996182</v>
      </c>
    </row>
    <row r="4452" spans="1:5" x14ac:dyDescent="0.25">
      <c r="A4452" s="2" t="s">
        <v>38</v>
      </c>
      <c r="B4452" s="6">
        <v>45734</v>
      </c>
      <c r="C4452" s="2" t="s">
        <v>53</v>
      </c>
      <c r="D4452" s="8">
        <v>-150</v>
      </c>
      <c r="E4452" s="8">
        <f>E4451+(0-150)</f>
        <v>8673586.0799996182</v>
      </c>
    </row>
    <row r="4453" spans="1:5" x14ac:dyDescent="0.25">
      <c r="A4453" s="2" t="s">
        <v>38</v>
      </c>
      <c r="B4453" s="6">
        <v>45734</v>
      </c>
      <c r="C4453" s="2" t="s">
        <v>53</v>
      </c>
      <c r="D4453" s="8">
        <v>-53.75</v>
      </c>
      <c r="E4453" s="8">
        <f>E4452+(0-53.75)</f>
        <v>8673532.3299996182</v>
      </c>
    </row>
    <row r="4454" spans="1:5" x14ac:dyDescent="0.25">
      <c r="A4454" s="2" t="s">
        <v>38</v>
      </c>
      <c r="B4454" s="6">
        <v>45735</v>
      </c>
      <c r="C4454" s="2" t="s">
        <v>53</v>
      </c>
      <c r="D4454" s="8">
        <v>-350</v>
      </c>
      <c r="E4454" s="8">
        <f>E4453+(0-350)</f>
        <v>8673182.3299996182</v>
      </c>
    </row>
    <row r="4455" spans="1:5" x14ac:dyDescent="0.25">
      <c r="A4455" s="2" t="s">
        <v>38</v>
      </c>
      <c r="B4455" s="6">
        <v>45735</v>
      </c>
      <c r="C4455" s="2" t="s">
        <v>53</v>
      </c>
      <c r="D4455" s="8">
        <v>-50</v>
      </c>
      <c r="E4455" s="8">
        <f>E4454+(0-50)</f>
        <v>8673132.3299996182</v>
      </c>
    </row>
    <row r="4456" spans="1:5" x14ac:dyDescent="0.25">
      <c r="A4456" s="2" t="s">
        <v>38</v>
      </c>
      <c r="B4456" s="6">
        <v>45736</v>
      </c>
      <c r="C4456" s="2" t="s">
        <v>53</v>
      </c>
      <c r="D4456" s="8">
        <v>-26.88</v>
      </c>
      <c r="E4456" s="8">
        <f>E4455+(0-26.88)</f>
        <v>8673105.4499996174</v>
      </c>
    </row>
    <row r="4457" spans="1:5" x14ac:dyDescent="0.25">
      <c r="A4457" s="2" t="s">
        <v>38</v>
      </c>
      <c r="B4457" s="6">
        <v>45736</v>
      </c>
      <c r="C4457" s="2" t="s">
        <v>53</v>
      </c>
      <c r="D4457" s="8">
        <v>-500</v>
      </c>
      <c r="E4457" s="8">
        <f>E4456+(0-500)</f>
        <v>8672605.4499996174</v>
      </c>
    </row>
    <row r="4458" spans="1:5" x14ac:dyDescent="0.25">
      <c r="A4458" s="2" t="s">
        <v>38</v>
      </c>
      <c r="B4458" s="6">
        <v>45736</v>
      </c>
      <c r="C4458" s="2" t="s">
        <v>53</v>
      </c>
      <c r="D4458" s="8">
        <v>-50</v>
      </c>
      <c r="E4458" s="8">
        <f>E4457+(0-50)</f>
        <v>8672555.4499996174</v>
      </c>
    </row>
    <row r="4459" spans="1:5" x14ac:dyDescent="0.25">
      <c r="A4459" s="2" t="s">
        <v>38</v>
      </c>
      <c r="B4459" s="6">
        <v>45737</v>
      </c>
      <c r="C4459" s="2" t="s">
        <v>53</v>
      </c>
      <c r="D4459" s="8">
        <v>-400</v>
      </c>
      <c r="E4459" s="8">
        <f>E4458+(0-400)</f>
        <v>8672155.4499996174</v>
      </c>
    </row>
    <row r="4460" spans="1:5" x14ac:dyDescent="0.25">
      <c r="A4460" s="2" t="s">
        <v>38</v>
      </c>
      <c r="B4460" s="6">
        <v>45740</v>
      </c>
      <c r="C4460" s="2" t="s">
        <v>19</v>
      </c>
      <c r="D4460" s="8">
        <v>-45</v>
      </c>
      <c r="E4460" s="8">
        <f>E4459+(0-45)</f>
        <v>8672110.4499996174</v>
      </c>
    </row>
    <row r="4461" spans="1:5" x14ac:dyDescent="0.25">
      <c r="A4461" s="2" t="s">
        <v>38</v>
      </c>
      <c r="B4461" s="6">
        <v>45740</v>
      </c>
      <c r="C4461" s="2" t="s">
        <v>19</v>
      </c>
      <c r="D4461" s="8">
        <v>-50</v>
      </c>
      <c r="E4461" s="8">
        <f>E4460+(0-50)</f>
        <v>8672060.4499996174</v>
      </c>
    </row>
    <row r="4462" spans="1:5" x14ac:dyDescent="0.25">
      <c r="A4462" s="2" t="s">
        <v>38</v>
      </c>
      <c r="B4462" s="6">
        <v>45740</v>
      </c>
      <c r="C4462" s="2" t="s">
        <v>19</v>
      </c>
      <c r="D4462" s="8">
        <v>-105</v>
      </c>
      <c r="E4462" s="8">
        <f>E4461+(0-105)</f>
        <v>8671955.4499996174</v>
      </c>
    </row>
    <row r="4463" spans="1:5" x14ac:dyDescent="0.25">
      <c r="A4463" s="2" t="s">
        <v>38</v>
      </c>
      <c r="B4463" s="6">
        <v>45740</v>
      </c>
      <c r="C4463" s="2" t="s">
        <v>53</v>
      </c>
      <c r="D4463" s="8">
        <v>-53.75</v>
      </c>
      <c r="E4463" s="8">
        <f>E4462+(0-53.75)</f>
        <v>8671901.6999996174</v>
      </c>
    </row>
    <row r="4464" spans="1:5" x14ac:dyDescent="0.25">
      <c r="A4464" s="2" t="s">
        <v>38</v>
      </c>
      <c r="B4464" s="6">
        <v>45740</v>
      </c>
      <c r="C4464" s="2" t="s">
        <v>19</v>
      </c>
      <c r="D4464" s="8">
        <v>-60</v>
      </c>
      <c r="E4464" s="8">
        <f>E4463+(0-60)</f>
        <v>8671841.6999996174</v>
      </c>
    </row>
    <row r="4465" spans="1:5" x14ac:dyDescent="0.25">
      <c r="A4465" s="2" t="s">
        <v>38</v>
      </c>
      <c r="B4465" s="6">
        <v>45740</v>
      </c>
      <c r="C4465" s="2" t="s">
        <v>19</v>
      </c>
      <c r="D4465" s="8">
        <v>-20</v>
      </c>
      <c r="E4465" s="8">
        <f>E4464+(0-20)</f>
        <v>8671821.6999996174</v>
      </c>
    </row>
    <row r="4466" spans="1:5" x14ac:dyDescent="0.25">
      <c r="A4466" s="2" t="s">
        <v>38</v>
      </c>
      <c r="B4466" s="6">
        <v>45740</v>
      </c>
      <c r="C4466" s="2" t="s">
        <v>53</v>
      </c>
      <c r="D4466" s="8">
        <v>-53.75</v>
      </c>
      <c r="E4466" s="8">
        <f>E4465+(0-53.75)</f>
        <v>8671767.9499996174</v>
      </c>
    </row>
    <row r="4467" spans="1:5" x14ac:dyDescent="0.25">
      <c r="A4467" s="2" t="s">
        <v>38</v>
      </c>
      <c r="B4467" s="6">
        <v>45740</v>
      </c>
      <c r="C4467" s="2" t="s">
        <v>53</v>
      </c>
      <c r="D4467" s="8">
        <v>-53.75</v>
      </c>
      <c r="E4467" s="8">
        <f>E4466+(0-53.75)</f>
        <v>8671714.1999996174</v>
      </c>
    </row>
    <row r="4468" spans="1:5" x14ac:dyDescent="0.25">
      <c r="A4468" s="2" t="s">
        <v>38</v>
      </c>
      <c r="B4468" s="6">
        <v>45740</v>
      </c>
      <c r="C4468" s="2" t="s">
        <v>53</v>
      </c>
      <c r="D4468" s="8">
        <v>-50</v>
      </c>
      <c r="E4468" s="8">
        <f>E4467+(0-50)</f>
        <v>8671664.1999996174</v>
      </c>
    </row>
    <row r="4469" spans="1:5" x14ac:dyDescent="0.25">
      <c r="A4469" s="2" t="s">
        <v>38</v>
      </c>
      <c r="B4469" s="6">
        <v>45740</v>
      </c>
      <c r="C4469" s="2" t="s">
        <v>53</v>
      </c>
      <c r="D4469" s="8">
        <v>-550</v>
      </c>
      <c r="E4469" s="8">
        <f>E4468+(0-550)</f>
        <v>8671114.1999996174</v>
      </c>
    </row>
    <row r="4470" spans="1:5" x14ac:dyDescent="0.25">
      <c r="A4470" s="2" t="s">
        <v>38</v>
      </c>
      <c r="B4470" s="6">
        <v>45741</v>
      </c>
      <c r="C4470" s="2" t="s">
        <v>53</v>
      </c>
      <c r="D4470" s="8">
        <v>-300</v>
      </c>
      <c r="E4470" s="8">
        <f>E4469+(0-300)</f>
        <v>8670814.1999996174</v>
      </c>
    </row>
    <row r="4471" spans="1:5" x14ac:dyDescent="0.25">
      <c r="A4471" s="2" t="s">
        <v>38</v>
      </c>
      <c r="B4471" s="6">
        <v>45742</v>
      </c>
      <c r="C4471" s="2" t="s">
        <v>53</v>
      </c>
      <c r="D4471" s="8">
        <v>-300</v>
      </c>
      <c r="E4471" s="8">
        <f>E4470+(0-300)</f>
        <v>8670514.1999996174</v>
      </c>
    </row>
    <row r="4472" spans="1:5" x14ac:dyDescent="0.25">
      <c r="A4472" s="2" t="s">
        <v>38</v>
      </c>
      <c r="B4472" s="6">
        <v>45743</v>
      </c>
      <c r="C4472" s="2" t="s">
        <v>53</v>
      </c>
      <c r="D4472" s="8">
        <v>-53.75</v>
      </c>
      <c r="E4472" s="8">
        <f>E4471+(0-53.75)</f>
        <v>8670460.4499996174</v>
      </c>
    </row>
    <row r="4473" spans="1:5" x14ac:dyDescent="0.25">
      <c r="A4473" s="2" t="s">
        <v>38</v>
      </c>
      <c r="B4473" s="6">
        <v>45743</v>
      </c>
      <c r="C4473" s="2" t="s">
        <v>53</v>
      </c>
      <c r="D4473" s="8">
        <v>-26.88</v>
      </c>
      <c r="E4473" s="8">
        <f>E4472+(0-26.88)</f>
        <v>8670433.5699996166</v>
      </c>
    </row>
    <row r="4474" spans="1:5" x14ac:dyDescent="0.25">
      <c r="A4474" s="2" t="s">
        <v>38</v>
      </c>
      <c r="B4474" s="6">
        <v>45743</v>
      </c>
      <c r="C4474" s="2" t="s">
        <v>53</v>
      </c>
      <c r="D4474" s="8">
        <v>-53.75</v>
      </c>
      <c r="E4474" s="8">
        <f>E4473+(0-53.75)</f>
        <v>8670379.8199996166</v>
      </c>
    </row>
    <row r="4475" spans="1:5" x14ac:dyDescent="0.25">
      <c r="A4475" s="2" t="s">
        <v>38</v>
      </c>
      <c r="B4475" s="6">
        <v>45743</v>
      </c>
      <c r="C4475" s="2" t="s">
        <v>53</v>
      </c>
      <c r="D4475" s="8">
        <v>-53.75</v>
      </c>
      <c r="E4475" s="8">
        <f>E4474+(0-53.75)</f>
        <v>8670326.0699996166</v>
      </c>
    </row>
    <row r="4476" spans="1:5" x14ac:dyDescent="0.25">
      <c r="A4476" s="2" t="s">
        <v>38</v>
      </c>
      <c r="B4476" s="6">
        <v>45743</v>
      </c>
      <c r="C4476" s="2" t="s">
        <v>53</v>
      </c>
      <c r="D4476" s="8">
        <v>-26.88</v>
      </c>
      <c r="E4476" s="8">
        <f>E4475+(0-26.88)</f>
        <v>8670299.1899996158</v>
      </c>
    </row>
    <row r="4477" spans="1:5" x14ac:dyDescent="0.25">
      <c r="A4477" s="2" t="s">
        <v>38</v>
      </c>
      <c r="B4477" s="6">
        <v>45743</v>
      </c>
      <c r="C4477" s="2" t="s">
        <v>53</v>
      </c>
      <c r="D4477" s="8">
        <v>-53.75</v>
      </c>
      <c r="E4477" s="8">
        <f>E4476+(0-53.75)</f>
        <v>8670245.4399996158</v>
      </c>
    </row>
    <row r="4478" spans="1:5" x14ac:dyDescent="0.25">
      <c r="A4478" s="2" t="s">
        <v>38</v>
      </c>
      <c r="B4478" s="6">
        <v>45743</v>
      </c>
      <c r="C4478" s="2" t="s">
        <v>53</v>
      </c>
      <c r="D4478" s="8">
        <v>-53.75</v>
      </c>
      <c r="E4478" s="8">
        <f>E4477+(0-53.75)</f>
        <v>8670191.6899996158</v>
      </c>
    </row>
    <row r="4479" spans="1:5" x14ac:dyDescent="0.25">
      <c r="A4479" s="2" t="s">
        <v>38</v>
      </c>
      <c r="B4479" s="6">
        <v>45743</v>
      </c>
      <c r="C4479" s="2" t="s">
        <v>53</v>
      </c>
      <c r="D4479" s="8">
        <v>-50</v>
      </c>
      <c r="E4479" s="8">
        <f>E4478+(0-50)</f>
        <v>8670141.6899996158</v>
      </c>
    </row>
    <row r="4480" spans="1:5" x14ac:dyDescent="0.25">
      <c r="A4480" s="2" t="s">
        <v>38</v>
      </c>
      <c r="B4480" s="6">
        <v>45743</v>
      </c>
      <c r="C4480" s="2" t="s">
        <v>53</v>
      </c>
      <c r="D4480" s="8">
        <v>-250</v>
      </c>
      <c r="E4480" s="8">
        <f>E4479+(0-250)</f>
        <v>8669891.6899996158</v>
      </c>
    </row>
    <row r="4481" spans="1:5" x14ac:dyDescent="0.25">
      <c r="A4481" s="2" t="s">
        <v>38</v>
      </c>
      <c r="B4481" s="6">
        <v>45744</v>
      </c>
      <c r="C4481" s="2" t="s">
        <v>53</v>
      </c>
      <c r="D4481" s="8">
        <v>-53.75</v>
      </c>
      <c r="E4481" s="8">
        <f>E4480+(0-53.75)</f>
        <v>8669837.9399996158</v>
      </c>
    </row>
    <row r="4482" spans="1:5" x14ac:dyDescent="0.25">
      <c r="A4482" s="2" t="s">
        <v>38</v>
      </c>
      <c r="B4482" s="6">
        <v>45744</v>
      </c>
      <c r="C4482" s="2" t="s">
        <v>53</v>
      </c>
      <c r="D4482" s="8">
        <v>-53.75</v>
      </c>
      <c r="E4482" s="8">
        <f>E4481+(0-53.75)</f>
        <v>8669784.1899996158</v>
      </c>
    </row>
    <row r="4483" spans="1:5" x14ac:dyDescent="0.25">
      <c r="A4483" s="2" t="s">
        <v>38</v>
      </c>
      <c r="B4483" s="6">
        <v>45744</v>
      </c>
      <c r="C4483" s="2" t="s">
        <v>53</v>
      </c>
      <c r="D4483" s="8">
        <v>-53.75</v>
      </c>
      <c r="E4483" s="8">
        <f>E4482+(0-53.75)</f>
        <v>8669730.4399996158</v>
      </c>
    </row>
    <row r="4484" spans="1:5" x14ac:dyDescent="0.25">
      <c r="A4484" s="2" t="s">
        <v>38</v>
      </c>
      <c r="B4484" s="6">
        <v>45744</v>
      </c>
      <c r="C4484" s="2" t="s">
        <v>53</v>
      </c>
      <c r="D4484" s="8">
        <v>-53.75</v>
      </c>
      <c r="E4484" s="8">
        <f>E4483+(0-53.75)</f>
        <v>8669676.6899996158</v>
      </c>
    </row>
    <row r="4485" spans="1:5" x14ac:dyDescent="0.25">
      <c r="A4485" s="2" t="s">
        <v>38</v>
      </c>
      <c r="B4485" s="6">
        <v>45744</v>
      </c>
      <c r="C4485" s="2" t="s">
        <v>53</v>
      </c>
      <c r="D4485" s="8">
        <v>-2687.5</v>
      </c>
      <c r="E4485" s="8">
        <f>E4484+(0-2687.5)</f>
        <v>8666989.1899996158</v>
      </c>
    </row>
    <row r="4486" spans="1:5" x14ac:dyDescent="0.25">
      <c r="A4486" s="2" t="s">
        <v>38</v>
      </c>
      <c r="B4486" s="6">
        <v>45744</v>
      </c>
      <c r="C4486" s="2" t="s">
        <v>53</v>
      </c>
      <c r="D4486" s="8">
        <v>-550</v>
      </c>
      <c r="E4486" s="8">
        <f>E4485+(0-550)</f>
        <v>8666439.1899996158</v>
      </c>
    </row>
    <row r="4487" spans="1:5" x14ac:dyDescent="0.25">
      <c r="A4487" s="2" t="s">
        <v>38</v>
      </c>
      <c r="B4487" s="6">
        <v>45744</v>
      </c>
      <c r="C4487" s="2" t="s">
        <v>53</v>
      </c>
      <c r="D4487" s="8">
        <v>-50</v>
      </c>
      <c r="E4487" s="8">
        <f>E4486+(0-50)</f>
        <v>8666389.1899996158</v>
      </c>
    </row>
    <row r="4488" spans="1:5" x14ac:dyDescent="0.25">
      <c r="A4488" s="2" t="s">
        <v>38</v>
      </c>
      <c r="B4488" s="6">
        <v>45749</v>
      </c>
      <c r="C4488" s="2" t="s">
        <v>53</v>
      </c>
      <c r="D4488" s="8">
        <v>-53.75</v>
      </c>
      <c r="E4488" s="8">
        <f>E4487+(0-53.75)</f>
        <v>8666335.4399996158</v>
      </c>
    </row>
    <row r="4489" spans="1:5" x14ac:dyDescent="0.25">
      <c r="A4489" s="2" t="s">
        <v>38</v>
      </c>
      <c r="B4489" s="6">
        <v>45749</v>
      </c>
      <c r="C4489" s="2" t="s">
        <v>19</v>
      </c>
      <c r="D4489" s="8">
        <v>-5</v>
      </c>
      <c r="E4489" s="8">
        <f>E4488+(0-5)</f>
        <v>8666330.4399996158</v>
      </c>
    </row>
    <row r="4490" spans="1:5" x14ac:dyDescent="0.25">
      <c r="A4490" s="2" t="s">
        <v>38</v>
      </c>
      <c r="B4490" s="6">
        <v>45749</v>
      </c>
      <c r="C4490" s="2" t="s">
        <v>19</v>
      </c>
      <c r="D4490" s="8">
        <v>-75</v>
      </c>
      <c r="E4490" s="8">
        <f>E4489+(0-75)</f>
        <v>8666255.4399996158</v>
      </c>
    </row>
    <row r="4491" spans="1:5" x14ac:dyDescent="0.25">
      <c r="A4491" s="2" t="s">
        <v>38</v>
      </c>
      <c r="B4491" s="6">
        <v>45749</v>
      </c>
      <c r="C4491" s="2" t="s">
        <v>19</v>
      </c>
      <c r="D4491" s="8">
        <v>-30</v>
      </c>
      <c r="E4491" s="8">
        <f>E4490+(0-30)</f>
        <v>8666225.4399996158</v>
      </c>
    </row>
    <row r="4492" spans="1:5" x14ac:dyDescent="0.25">
      <c r="A4492" s="2" t="s">
        <v>38</v>
      </c>
      <c r="B4492" s="6">
        <v>45749</v>
      </c>
      <c r="C4492" s="2" t="s">
        <v>19</v>
      </c>
      <c r="D4492" s="8">
        <v>-40</v>
      </c>
      <c r="E4492" s="8">
        <f>E4491+(0-40)</f>
        <v>8666185.4399996158</v>
      </c>
    </row>
    <row r="4493" spans="1:5" x14ac:dyDescent="0.25">
      <c r="A4493" s="2" t="s">
        <v>38</v>
      </c>
      <c r="B4493" s="6">
        <v>45749</v>
      </c>
      <c r="C4493" s="2" t="s">
        <v>19</v>
      </c>
      <c r="D4493" s="8">
        <v>-30</v>
      </c>
      <c r="E4493" s="8">
        <f>E4492+(0-30)</f>
        <v>8666155.4399996158</v>
      </c>
    </row>
    <row r="4494" spans="1:5" x14ac:dyDescent="0.25">
      <c r="A4494" s="2" t="s">
        <v>38</v>
      </c>
      <c r="B4494" s="6">
        <v>45749</v>
      </c>
      <c r="C4494" s="2" t="s">
        <v>53</v>
      </c>
      <c r="D4494" s="8">
        <v>-50</v>
      </c>
      <c r="E4494" s="8">
        <f>E4493+(0-50)</f>
        <v>8666105.4399996158</v>
      </c>
    </row>
    <row r="4495" spans="1:5" x14ac:dyDescent="0.25">
      <c r="A4495" s="2" t="s">
        <v>38</v>
      </c>
      <c r="B4495" s="6">
        <v>45749</v>
      </c>
      <c r="C4495" s="2" t="s">
        <v>53</v>
      </c>
      <c r="D4495" s="8">
        <v>-50</v>
      </c>
      <c r="E4495" s="8">
        <f>E4494+(0-50)</f>
        <v>8666055.4399996158</v>
      </c>
    </row>
    <row r="4496" spans="1:5" x14ac:dyDescent="0.25">
      <c r="A4496" s="2" t="s">
        <v>38</v>
      </c>
      <c r="B4496" s="6">
        <v>45749</v>
      </c>
      <c r="C4496" s="2" t="s">
        <v>222</v>
      </c>
      <c r="D4496" s="8">
        <v>-5000</v>
      </c>
      <c r="E4496" s="8">
        <f>E4495+(0-5000)</f>
        <v>8661055.4399996158</v>
      </c>
    </row>
    <row r="4497" spans="1:5" x14ac:dyDescent="0.25">
      <c r="A4497" s="2" t="s">
        <v>38</v>
      </c>
      <c r="B4497" s="6">
        <v>45749</v>
      </c>
      <c r="C4497" s="2" t="s">
        <v>224</v>
      </c>
      <c r="D4497" s="8">
        <v>-3000</v>
      </c>
      <c r="E4497" s="8">
        <f>E4496+(0-3000)</f>
        <v>8658055.4399996158</v>
      </c>
    </row>
    <row r="4498" spans="1:5" x14ac:dyDescent="0.25">
      <c r="A4498" s="2" t="s">
        <v>38</v>
      </c>
      <c r="B4498" s="6">
        <v>45749</v>
      </c>
      <c r="C4498" s="2" t="s">
        <v>225</v>
      </c>
      <c r="D4498" s="8">
        <v>-225</v>
      </c>
      <c r="E4498" s="8">
        <f>E4497+(0-225)</f>
        <v>8657830.4399996158</v>
      </c>
    </row>
    <row r="4499" spans="1:5" x14ac:dyDescent="0.25">
      <c r="A4499" s="2" t="s">
        <v>38</v>
      </c>
      <c r="B4499" s="6">
        <v>45749</v>
      </c>
      <c r="C4499" s="2" t="s">
        <v>53</v>
      </c>
      <c r="D4499" s="8">
        <v>-700</v>
      </c>
      <c r="E4499" s="8">
        <f>E4498+(0-700)</f>
        <v>8657130.4399996158</v>
      </c>
    </row>
    <row r="4500" spans="1:5" x14ac:dyDescent="0.25">
      <c r="A4500" s="2" t="s">
        <v>38</v>
      </c>
      <c r="B4500" s="6">
        <v>45750</v>
      </c>
      <c r="C4500" s="2" t="s">
        <v>190</v>
      </c>
      <c r="D4500" s="8">
        <v>-375</v>
      </c>
      <c r="E4500" s="8">
        <f>E4499+(0-375)</f>
        <v>8656755.4399996158</v>
      </c>
    </row>
    <row r="4501" spans="1:5" x14ac:dyDescent="0.25">
      <c r="A4501" s="2" t="s">
        <v>38</v>
      </c>
      <c r="B4501" s="6">
        <v>45750</v>
      </c>
      <c r="C4501" s="2" t="s">
        <v>226</v>
      </c>
      <c r="D4501" s="8">
        <v>-5000</v>
      </c>
      <c r="E4501" s="8">
        <f>E4500+(0-5000)</f>
        <v>8651755.4399996158</v>
      </c>
    </row>
    <row r="4502" spans="1:5" x14ac:dyDescent="0.25">
      <c r="A4502" s="2" t="s">
        <v>38</v>
      </c>
      <c r="B4502" s="6">
        <v>45750</v>
      </c>
      <c r="C4502" s="2" t="s">
        <v>53</v>
      </c>
      <c r="D4502" s="8">
        <v>-53.75</v>
      </c>
      <c r="E4502" s="8">
        <f>E4501+(0-53.75)</f>
        <v>8651701.6899996158</v>
      </c>
    </row>
    <row r="4503" spans="1:5" x14ac:dyDescent="0.25">
      <c r="A4503" s="2" t="s">
        <v>38</v>
      </c>
      <c r="B4503" s="6">
        <v>45750</v>
      </c>
      <c r="C4503" s="2" t="s">
        <v>53</v>
      </c>
      <c r="D4503" s="8">
        <v>-53.75</v>
      </c>
      <c r="E4503" s="8">
        <f>E4502+(0-53.75)</f>
        <v>8651647.9399996158</v>
      </c>
    </row>
    <row r="4504" spans="1:5" x14ac:dyDescent="0.25">
      <c r="A4504" s="2" t="s">
        <v>38</v>
      </c>
      <c r="B4504" s="6">
        <v>45750</v>
      </c>
      <c r="C4504" s="2" t="s">
        <v>53</v>
      </c>
      <c r="D4504" s="8">
        <v>-53.75</v>
      </c>
      <c r="E4504" s="8">
        <f>E4503+(0-53.75)</f>
        <v>8651594.1899996158</v>
      </c>
    </row>
    <row r="4505" spans="1:5" x14ac:dyDescent="0.25">
      <c r="A4505" s="2" t="s">
        <v>38</v>
      </c>
      <c r="B4505" s="6">
        <v>45750</v>
      </c>
      <c r="C4505" s="2" t="s">
        <v>53</v>
      </c>
      <c r="D4505" s="8">
        <v>-150</v>
      </c>
      <c r="E4505" s="8">
        <f>E4504+(0-150)</f>
        <v>8651444.1899996158</v>
      </c>
    </row>
    <row r="4506" spans="1:5" x14ac:dyDescent="0.25">
      <c r="A4506" s="2" t="s">
        <v>38</v>
      </c>
      <c r="B4506" s="6">
        <v>45750</v>
      </c>
      <c r="C4506" s="2" t="s">
        <v>53</v>
      </c>
      <c r="D4506" s="8">
        <v>-350</v>
      </c>
      <c r="E4506" s="8">
        <f>E4505+(0-350)</f>
        <v>8651094.1899996158</v>
      </c>
    </row>
    <row r="4507" spans="1:5" x14ac:dyDescent="0.25">
      <c r="A4507" s="2" t="s">
        <v>38</v>
      </c>
      <c r="B4507" s="6">
        <v>45751</v>
      </c>
      <c r="C4507" s="2" t="s">
        <v>53</v>
      </c>
      <c r="D4507" s="8">
        <v>-53.75</v>
      </c>
      <c r="E4507" s="8">
        <f>E4506+(0-53.75)</f>
        <v>8651040.4399996158</v>
      </c>
    </row>
    <row r="4508" spans="1:5" x14ac:dyDescent="0.25">
      <c r="A4508" s="2" t="s">
        <v>38</v>
      </c>
      <c r="B4508" s="6">
        <v>45751</v>
      </c>
      <c r="C4508" s="2" t="s">
        <v>53</v>
      </c>
      <c r="D4508" s="8">
        <v>-53.75</v>
      </c>
      <c r="E4508" s="8">
        <f>E4507+(0-53.75)</f>
        <v>8650986.6899996158</v>
      </c>
    </row>
    <row r="4509" spans="1:5" x14ac:dyDescent="0.25">
      <c r="A4509" s="2" t="s">
        <v>38</v>
      </c>
      <c r="B4509" s="6">
        <v>45751</v>
      </c>
      <c r="C4509" s="2" t="s">
        <v>53</v>
      </c>
      <c r="D4509" s="8">
        <v>-700</v>
      </c>
      <c r="E4509" s="8">
        <f>E4508+(0-700)</f>
        <v>8650286.6899996158</v>
      </c>
    </row>
    <row r="4510" spans="1:5" x14ac:dyDescent="0.25">
      <c r="A4510" s="2" t="s">
        <v>38</v>
      </c>
      <c r="B4510" s="6">
        <v>45751</v>
      </c>
      <c r="C4510" s="2" t="s">
        <v>53</v>
      </c>
      <c r="D4510" s="8">
        <v>-50</v>
      </c>
      <c r="E4510" s="8">
        <f>E4509+(0-50)</f>
        <v>8650236.6899996158</v>
      </c>
    </row>
    <row r="4511" spans="1:5" x14ac:dyDescent="0.25">
      <c r="A4511" s="2" t="s">
        <v>38</v>
      </c>
      <c r="B4511" s="6">
        <v>45754</v>
      </c>
      <c r="C4511" s="2" t="s">
        <v>19</v>
      </c>
      <c r="D4511" s="8">
        <v>-110</v>
      </c>
      <c r="E4511" s="8">
        <f>E4510+(0-110)</f>
        <v>8650126.6899996158</v>
      </c>
    </row>
    <row r="4512" spans="1:5" x14ac:dyDescent="0.25">
      <c r="A4512" s="2" t="s">
        <v>38</v>
      </c>
      <c r="B4512" s="6">
        <v>45754</v>
      </c>
      <c r="C4512" s="2" t="s">
        <v>53</v>
      </c>
      <c r="D4512" s="8">
        <v>-26.88</v>
      </c>
      <c r="E4512" s="8">
        <f>E4511+(0-26.88)</f>
        <v>8650099.809999615</v>
      </c>
    </row>
    <row r="4513" spans="1:5" x14ac:dyDescent="0.25">
      <c r="A4513" s="2" t="s">
        <v>38</v>
      </c>
      <c r="B4513" s="6">
        <v>45754</v>
      </c>
      <c r="C4513" s="2" t="s">
        <v>19</v>
      </c>
      <c r="D4513" s="8">
        <v>-5</v>
      </c>
      <c r="E4513" s="8">
        <f>E4512+(0-5)</f>
        <v>8650094.809999615</v>
      </c>
    </row>
    <row r="4514" spans="1:5" x14ac:dyDescent="0.25">
      <c r="A4514" s="2" t="s">
        <v>38</v>
      </c>
      <c r="B4514" s="6">
        <v>45754</v>
      </c>
      <c r="C4514" s="2" t="s">
        <v>53</v>
      </c>
      <c r="D4514" s="8">
        <v>-35</v>
      </c>
      <c r="E4514" s="8">
        <f>E4513+(0-35)</f>
        <v>8650059.809999615</v>
      </c>
    </row>
    <row r="4515" spans="1:5" x14ac:dyDescent="0.25">
      <c r="A4515" s="2" t="s">
        <v>38</v>
      </c>
      <c r="B4515" s="6">
        <v>45754</v>
      </c>
      <c r="C4515" s="2" t="s">
        <v>19</v>
      </c>
      <c r="D4515" s="8">
        <v>-5</v>
      </c>
      <c r="E4515" s="8">
        <f>E4514+(0-5)</f>
        <v>8650054.809999615</v>
      </c>
    </row>
    <row r="4516" spans="1:5" x14ac:dyDescent="0.25">
      <c r="A4516" s="2" t="s">
        <v>38</v>
      </c>
      <c r="B4516" s="6">
        <v>45754</v>
      </c>
      <c r="C4516" s="2" t="s">
        <v>19</v>
      </c>
      <c r="D4516" s="8">
        <v>-5</v>
      </c>
      <c r="E4516" s="8">
        <f>E4515+(0-5)</f>
        <v>8650049.809999615</v>
      </c>
    </row>
    <row r="4517" spans="1:5" x14ac:dyDescent="0.25">
      <c r="A4517" s="2" t="s">
        <v>38</v>
      </c>
      <c r="B4517" s="6">
        <v>45754</v>
      </c>
      <c r="C4517" s="2" t="s">
        <v>19</v>
      </c>
      <c r="D4517" s="8">
        <v>-60</v>
      </c>
      <c r="E4517" s="8">
        <f>E4516+(0-60)</f>
        <v>8649989.809999615</v>
      </c>
    </row>
    <row r="4518" spans="1:5" x14ac:dyDescent="0.25">
      <c r="A4518" s="2" t="s">
        <v>38</v>
      </c>
      <c r="B4518" s="6">
        <v>45754</v>
      </c>
      <c r="C4518" s="2" t="s">
        <v>19</v>
      </c>
      <c r="D4518" s="8">
        <v>-105</v>
      </c>
      <c r="E4518" s="8">
        <f>E4517+(0-105)</f>
        <v>8649884.809999615</v>
      </c>
    </row>
    <row r="4519" spans="1:5" x14ac:dyDescent="0.25">
      <c r="A4519" s="2" t="s">
        <v>38</v>
      </c>
      <c r="B4519" s="6">
        <v>45754</v>
      </c>
      <c r="C4519" s="2" t="s">
        <v>19</v>
      </c>
      <c r="D4519" s="8">
        <v>-95</v>
      </c>
      <c r="E4519" s="8">
        <f>E4518+(0-95)</f>
        <v>8649789.809999615</v>
      </c>
    </row>
    <row r="4520" spans="1:5" x14ac:dyDescent="0.25">
      <c r="A4520" s="2" t="s">
        <v>38</v>
      </c>
      <c r="B4520" s="6">
        <v>45754</v>
      </c>
      <c r="C4520" s="2" t="s">
        <v>53</v>
      </c>
      <c r="D4520" s="8">
        <v>-26.88</v>
      </c>
      <c r="E4520" s="8">
        <f>E4519+(0-26.88)</f>
        <v>8649762.9299996141</v>
      </c>
    </row>
    <row r="4521" spans="1:5" x14ac:dyDescent="0.25">
      <c r="A4521" s="2" t="s">
        <v>38</v>
      </c>
      <c r="B4521" s="6">
        <v>45754</v>
      </c>
      <c r="C4521" s="2" t="s">
        <v>53</v>
      </c>
      <c r="D4521" s="8">
        <v>-26.88</v>
      </c>
      <c r="E4521" s="8">
        <f>E4520+(0-26.88)</f>
        <v>8649736.0499996133</v>
      </c>
    </row>
    <row r="4522" spans="1:5" x14ac:dyDescent="0.25">
      <c r="A4522" s="2" t="s">
        <v>38</v>
      </c>
      <c r="B4522" s="6">
        <v>45754</v>
      </c>
      <c r="C4522" s="2" t="s">
        <v>53</v>
      </c>
      <c r="D4522" s="8">
        <v>-53.75</v>
      </c>
      <c r="E4522" s="8">
        <f>E4521+(0-53.75)</f>
        <v>8649682.2999996133</v>
      </c>
    </row>
    <row r="4523" spans="1:5" x14ac:dyDescent="0.25">
      <c r="A4523" s="2" t="s">
        <v>38</v>
      </c>
      <c r="B4523" s="6">
        <v>45754</v>
      </c>
      <c r="C4523" s="2" t="s">
        <v>53</v>
      </c>
      <c r="D4523" s="8">
        <v>-26.88</v>
      </c>
      <c r="E4523" s="8">
        <f>E4522+(0-26.88)</f>
        <v>8649655.4199996125</v>
      </c>
    </row>
    <row r="4524" spans="1:5" x14ac:dyDescent="0.25">
      <c r="A4524" s="2" t="s">
        <v>38</v>
      </c>
      <c r="B4524" s="6">
        <v>45754</v>
      </c>
      <c r="C4524" s="2" t="s">
        <v>53</v>
      </c>
      <c r="D4524" s="8">
        <v>-53.75</v>
      </c>
      <c r="E4524" s="8">
        <f>E4523+(0-53.75)</f>
        <v>8649601.6699996125</v>
      </c>
    </row>
    <row r="4525" spans="1:5" x14ac:dyDescent="0.25">
      <c r="A4525" s="2" t="s">
        <v>38</v>
      </c>
      <c r="B4525" s="6">
        <v>45754</v>
      </c>
      <c r="C4525" s="2" t="s">
        <v>53</v>
      </c>
      <c r="D4525" s="8">
        <v>-650</v>
      </c>
      <c r="E4525" s="8">
        <f>E4524+(0-650)</f>
        <v>8648951.6699996125</v>
      </c>
    </row>
    <row r="4526" spans="1:5" x14ac:dyDescent="0.25">
      <c r="A4526" s="2" t="s">
        <v>38</v>
      </c>
      <c r="B4526" s="6">
        <v>45754</v>
      </c>
      <c r="C4526" s="2" t="s">
        <v>19</v>
      </c>
      <c r="D4526" s="8">
        <v>-15</v>
      </c>
      <c r="E4526" s="8">
        <f>E4525+(0-15)</f>
        <v>8648936.6699996125</v>
      </c>
    </row>
    <row r="4527" spans="1:5" x14ac:dyDescent="0.25">
      <c r="A4527" s="2" t="s">
        <v>38</v>
      </c>
      <c r="B4527" s="6">
        <v>45755</v>
      </c>
      <c r="C4527" s="2" t="s">
        <v>53</v>
      </c>
      <c r="D4527" s="8">
        <v>-53.75</v>
      </c>
      <c r="E4527" s="8">
        <f>E4526+(0-53.75)</f>
        <v>8648882.9199996125</v>
      </c>
    </row>
    <row r="4528" spans="1:5" x14ac:dyDescent="0.25">
      <c r="A4528" s="2" t="s">
        <v>38</v>
      </c>
      <c r="B4528" s="6">
        <v>45755</v>
      </c>
      <c r="C4528" s="2" t="s">
        <v>53</v>
      </c>
      <c r="D4528" s="8">
        <v>-100</v>
      </c>
      <c r="E4528" s="8">
        <f>E4527+(0-100)</f>
        <v>8648782.9199996125</v>
      </c>
    </row>
    <row r="4529" spans="1:5" x14ac:dyDescent="0.25">
      <c r="A4529" s="2" t="s">
        <v>38</v>
      </c>
      <c r="B4529" s="6">
        <v>45756</v>
      </c>
      <c r="C4529" s="2" t="s">
        <v>53</v>
      </c>
      <c r="D4529" s="8">
        <v>-53.75</v>
      </c>
      <c r="E4529" s="8">
        <f>E4528+(0-53.75)</f>
        <v>8648729.1699996125</v>
      </c>
    </row>
    <row r="4530" spans="1:5" x14ac:dyDescent="0.25">
      <c r="A4530" s="2" t="s">
        <v>38</v>
      </c>
      <c r="B4530" s="6">
        <v>45756</v>
      </c>
      <c r="C4530" s="2" t="s">
        <v>53</v>
      </c>
      <c r="D4530" s="8">
        <v>-50</v>
      </c>
      <c r="E4530" s="8">
        <f>E4529+(0-50)</f>
        <v>8648679.1699996125</v>
      </c>
    </row>
    <row r="4531" spans="1:5" x14ac:dyDescent="0.25">
      <c r="A4531" s="2" t="s">
        <v>38</v>
      </c>
      <c r="B4531" s="6">
        <v>45756</v>
      </c>
      <c r="C4531" s="2" t="s">
        <v>53</v>
      </c>
      <c r="D4531" s="8">
        <v>-950</v>
      </c>
      <c r="E4531" s="8">
        <f>E4530+(0-950)</f>
        <v>8647729.1699996125</v>
      </c>
    </row>
    <row r="4532" spans="1:5" x14ac:dyDescent="0.25">
      <c r="A4532" s="2" t="s">
        <v>38</v>
      </c>
      <c r="B4532" s="6">
        <v>45757</v>
      </c>
      <c r="C4532" s="2" t="s">
        <v>53</v>
      </c>
      <c r="D4532" s="8">
        <v>-50</v>
      </c>
      <c r="E4532" s="8">
        <f>E4531+(0-50)</f>
        <v>8647679.1699996125</v>
      </c>
    </row>
    <row r="4533" spans="1:5" x14ac:dyDescent="0.25">
      <c r="A4533" s="2" t="s">
        <v>38</v>
      </c>
      <c r="B4533" s="6">
        <v>45757</v>
      </c>
      <c r="C4533" s="2" t="s">
        <v>53</v>
      </c>
      <c r="D4533" s="8">
        <v>-250</v>
      </c>
      <c r="E4533" s="8">
        <f>E4532+(0-250)</f>
        <v>8647429.1699996125</v>
      </c>
    </row>
    <row r="4534" spans="1:5" x14ac:dyDescent="0.25">
      <c r="A4534" s="2" t="s">
        <v>38</v>
      </c>
      <c r="B4534" s="6">
        <v>45758</v>
      </c>
      <c r="C4534" s="2" t="s">
        <v>19</v>
      </c>
      <c r="D4534" s="8">
        <v>-120</v>
      </c>
      <c r="E4534" s="8">
        <f>E4533+(0-120)</f>
        <v>8647309.1699996125</v>
      </c>
    </row>
    <row r="4535" spans="1:5" x14ac:dyDescent="0.25">
      <c r="A4535" s="2" t="s">
        <v>38</v>
      </c>
      <c r="B4535" s="6">
        <v>45758</v>
      </c>
      <c r="C4535" s="2" t="s">
        <v>19</v>
      </c>
      <c r="D4535" s="8">
        <v>-60</v>
      </c>
      <c r="E4535" s="8">
        <f>E4534+(0-60)</f>
        <v>8647249.1699996125</v>
      </c>
    </row>
    <row r="4536" spans="1:5" x14ac:dyDescent="0.25">
      <c r="A4536" s="2" t="s">
        <v>38</v>
      </c>
      <c r="B4536" s="6">
        <v>45758</v>
      </c>
      <c r="C4536" s="2" t="s">
        <v>19</v>
      </c>
      <c r="D4536" s="8">
        <v>-120</v>
      </c>
      <c r="E4536" s="8">
        <f>E4535+(0-120)</f>
        <v>8647129.1699996125</v>
      </c>
    </row>
    <row r="4537" spans="1:5" x14ac:dyDescent="0.25">
      <c r="A4537" s="2" t="s">
        <v>38</v>
      </c>
      <c r="B4537" s="6">
        <v>45758</v>
      </c>
      <c r="C4537" s="2" t="s">
        <v>53</v>
      </c>
      <c r="D4537" s="8">
        <v>-53.75</v>
      </c>
      <c r="E4537" s="8">
        <f>E4536+(0-53.75)</f>
        <v>8647075.4199996125</v>
      </c>
    </row>
    <row r="4538" spans="1:5" x14ac:dyDescent="0.25">
      <c r="A4538" s="2" t="s">
        <v>38</v>
      </c>
      <c r="B4538" s="6">
        <v>45758</v>
      </c>
      <c r="C4538" s="2" t="s">
        <v>53</v>
      </c>
      <c r="D4538" s="8">
        <v>-550</v>
      </c>
      <c r="E4538" s="8">
        <f>E4537+(0-550)</f>
        <v>8646525.4199996125</v>
      </c>
    </row>
    <row r="4539" spans="1:5" x14ac:dyDescent="0.25">
      <c r="A4539" s="2" t="s">
        <v>38</v>
      </c>
      <c r="B4539" s="6">
        <v>45761</v>
      </c>
      <c r="C4539" s="2" t="s">
        <v>53</v>
      </c>
      <c r="D4539" s="8">
        <v>-53.75</v>
      </c>
      <c r="E4539" s="8">
        <f>E4538+(0-53.75)</f>
        <v>8646471.6699996125</v>
      </c>
    </row>
    <row r="4540" spans="1:5" x14ac:dyDescent="0.25">
      <c r="A4540" s="2" t="s">
        <v>38</v>
      </c>
      <c r="B4540" s="6">
        <v>45761</v>
      </c>
      <c r="C4540" s="2" t="s">
        <v>53</v>
      </c>
      <c r="D4540" s="8">
        <v>-53.75</v>
      </c>
      <c r="E4540" s="8">
        <f>E4539+(0-53.75)</f>
        <v>8646417.9199996125</v>
      </c>
    </row>
    <row r="4541" spans="1:5" x14ac:dyDescent="0.25">
      <c r="A4541" s="2" t="s">
        <v>38</v>
      </c>
      <c r="B4541" s="6">
        <v>45761</v>
      </c>
      <c r="C4541" s="2" t="s">
        <v>19</v>
      </c>
      <c r="D4541" s="8">
        <v>-25</v>
      </c>
      <c r="E4541" s="8">
        <f>E4540+(0-25)</f>
        <v>8646392.9199996125</v>
      </c>
    </row>
    <row r="4542" spans="1:5" x14ac:dyDescent="0.25">
      <c r="A4542" s="2" t="s">
        <v>38</v>
      </c>
      <c r="B4542" s="6">
        <v>45761</v>
      </c>
      <c r="C4542" s="2" t="s">
        <v>19</v>
      </c>
      <c r="D4542" s="8">
        <v>-80</v>
      </c>
      <c r="E4542" s="8">
        <f>E4541+(0-80)</f>
        <v>8646312.9199996125</v>
      </c>
    </row>
    <row r="4543" spans="1:5" x14ac:dyDescent="0.25">
      <c r="A4543" s="2" t="s">
        <v>38</v>
      </c>
      <c r="B4543" s="6">
        <v>45761</v>
      </c>
      <c r="C4543" s="2" t="s">
        <v>19</v>
      </c>
      <c r="D4543" s="8">
        <v>-30</v>
      </c>
      <c r="E4543" s="8">
        <f>E4542+(0-30)</f>
        <v>8646282.9199996125</v>
      </c>
    </row>
    <row r="4544" spans="1:5" x14ac:dyDescent="0.25">
      <c r="A4544" s="2" t="s">
        <v>38</v>
      </c>
      <c r="B4544" s="6">
        <v>45761</v>
      </c>
      <c r="C4544" s="2" t="s">
        <v>224</v>
      </c>
      <c r="D4544" s="8">
        <v>-3000</v>
      </c>
      <c r="E4544" s="8">
        <f>E4543+(0-3000)</f>
        <v>8643282.9199996125</v>
      </c>
    </row>
    <row r="4545" spans="1:5" x14ac:dyDescent="0.25">
      <c r="A4545" s="2" t="s">
        <v>38</v>
      </c>
      <c r="B4545" s="6">
        <v>45761</v>
      </c>
      <c r="C4545" s="2" t="s">
        <v>227</v>
      </c>
      <c r="D4545" s="8">
        <v>-5000</v>
      </c>
      <c r="E4545" s="8">
        <f>E4544+(0-5000)</f>
        <v>8638282.9199996125</v>
      </c>
    </row>
    <row r="4546" spans="1:5" x14ac:dyDescent="0.25">
      <c r="A4546" s="2" t="s">
        <v>38</v>
      </c>
      <c r="B4546" s="6">
        <v>45761</v>
      </c>
      <c r="C4546" s="2" t="s">
        <v>228</v>
      </c>
      <c r="D4546" s="8">
        <v>-225</v>
      </c>
      <c r="E4546" s="8">
        <f>E4545+(0-225)</f>
        <v>8638057.9199996125</v>
      </c>
    </row>
    <row r="4547" spans="1:5" x14ac:dyDescent="0.25">
      <c r="A4547" s="2" t="s">
        <v>38</v>
      </c>
      <c r="B4547" s="6">
        <v>45761</v>
      </c>
      <c r="C4547" s="2" t="s">
        <v>53</v>
      </c>
      <c r="D4547" s="8">
        <v>-26.88</v>
      </c>
      <c r="E4547" s="8">
        <f>E4546+(0-26.88)</f>
        <v>8638031.0399996117</v>
      </c>
    </row>
    <row r="4548" spans="1:5" x14ac:dyDescent="0.25">
      <c r="A4548" s="2" t="s">
        <v>38</v>
      </c>
      <c r="B4548" s="6">
        <v>45761</v>
      </c>
      <c r="C4548" s="2" t="s">
        <v>53</v>
      </c>
      <c r="D4548" s="8">
        <v>-53.75</v>
      </c>
      <c r="E4548" s="8">
        <f>E4547+(0-53.75)</f>
        <v>8637977.2899996117</v>
      </c>
    </row>
    <row r="4549" spans="1:5" x14ac:dyDescent="0.25">
      <c r="A4549" s="2" t="s">
        <v>38</v>
      </c>
      <c r="B4549" s="6">
        <v>45761</v>
      </c>
      <c r="C4549" s="2" t="s">
        <v>53</v>
      </c>
      <c r="D4549" s="8">
        <v>-53.75</v>
      </c>
      <c r="E4549" s="8">
        <f>E4548+(0-53.75)</f>
        <v>8637923.5399996117</v>
      </c>
    </row>
    <row r="4550" spans="1:5" x14ac:dyDescent="0.25">
      <c r="A4550" s="2" t="s">
        <v>38</v>
      </c>
      <c r="B4550" s="6">
        <v>45761</v>
      </c>
      <c r="C4550" s="2" t="s">
        <v>53</v>
      </c>
      <c r="D4550" s="8">
        <v>-26.88</v>
      </c>
      <c r="E4550" s="8">
        <f>E4549+(0-26.88)</f>
        <v>8637896.6599996109</v>
      </c>
    </row>
    <row r="4551" spans="1:5" x14ac:dyDescent="0.25">
      <c r="A4551" s="2" t="s">
        <v>38</v>
      </c>
      <c r="B4551" s="6">
        <v>45761</v>
      </c>
      <c r="C4551" s="2" t="s">
        <v>53</v>
      </c>
      <c r="D4551" s="8">
        <v>-53.75</v>
      </c>
      <c r="E4551" s="8">
        <f>E4550+(0-53.75)</f>
        <v>8637842.9099996109</v>
      </c>
    </row>
    <row r="4552" spans="1:5" x14ac:dyDescent="0.25">
      <c r="A4552" s="2" t="s">
        <v>38</v>
      </c>
      <c r="B4552" s="6">
        <v>45761</v>
      </c>
      <c r="C4552" s="2" t="s">
        <v>53</v>
      </c>
      <c r="D4552" s="8">
        <v>-750</v>
      </c>
      <c r="E4552" s="8">
        <f>E4551+(0-750)</f>
        <v>8637092.9099996109</v>
      </c>
    </row>
    <row r="4553" spans="1:5" x14ac:dyDescent="0.25">
      <c r="A4553" s="2" t="s">
        <v>38</v>
      </c>
      <c r="B4553" s="6">
        <v>45761</v>
      </c>
      <c r="C4553" s="2" t="s">
        <v>53</v>
      </c>
      <c r="D4553" s="8">
        <v>-50</v>
      </c>
      <c r="E4553" s="8">
        <f>E4552+(0-50)</f>
        <v>8637042.9099996109</v>
      </c>
    </row>
    <row r="4554" spans="1:5" x14ac:dyDescent="0.25">
      <c r="A4554" s="2" t="s">
        <v>38</v>
      </c>
      <c r="B4554" s="6">
        <v>45762</v>
      </c>
      <c r="C4554" s="2" t="s">
        <v>53</v>
      </c>
      <c r="D4554" s="8">
        <v>-26.88</v>
      </c>
      <c r="E4554" s="8">
        <f>E4553+(0-26.88)</f>
        <v>8637016.02999961</v>
      </c>
    </row>
    <row r="4555" spans="1:5" x14ac:dyDescent="0.25">
      <c r="A4555" s="2" t="s">
        <v>38</v>
      </c>
      <c r="B4555" s="6">
        <v>45762</v>
      </c>
      <c r="C4555" s="2" t="s">
        <v>53</v>
      </c>
      <c r="D4555" s="8">
        <v>-26.88</v>
      </c>
      <c r="E4555" s="8">
        <f>E4554+(0-26.88)</f>
        <v>8636989.1499996092</v>
      </c>
    </row>
    <row r="4556" spans="1:5" x14ac:dyDescent="0.25">
      <c r="A4556" s="2" t="s">
        <v>38</v>
      </c>
      <c r="B4556" s="6">
        <v>45762</v>
      </c>
      <c r="C4556" s="2" t="s">
        <v>53</v>
      </c>
      <c r="D4556" s="8">
        <v>-26.88</v>
      </c>
      <c r="E4556" s="8">
        <f>E4555+(0-26.88)</f>
        <v>8636962.2699996084</v>
      </c>
    </row>
    <row r="4557" spans="1:5" x14ac:dyDescent="0.25">
      <c r="A4557" s="2" t="s">
        <v>38</v>
      </c>
      <c r="B4557" s="6">
        <v>45762</v>
      </c>
      <c r="C4557" s="2" t="s">
        <v>53</v>
      </c>
      <c r="D4557" s="8">
        <v>-53.75</v>
      </c>
      <c r="E4557" s="8">
        <f>E4556+(0-53.75)</f>
        <v>8636908.5199996084</v>
      </c>
    </row>
    <row r="4558" spans="1:5" x14ac:dyDescent="0.25">
      <c r="A4558" s="2" t="s">
        <v>38</v>
      </c>
      <c r="B4558" s="6">
        <v>45762</v>
      </c>
      <c r="C4558" s="2" t="s">
        <v>53</v>
      </c>
      <c r="D4558" s="8">
        <v>-53.75</v>
      </c>
      <c r="E4558" s="8">
        <f>E4557+(0-53.75)</f>
        <v>8636854.7699996084</v>
      </c>
    </row>
    <row r="4559" spans="1:5" x14ac:dyDescent="0.25">
      <c r="A4559" s="2" t="s">
        <v>38</v>
      </c>
      <c r="B4559" s="6">
        <v>45762</v>
      </c>
      <c r="C4559" s="2" t="s">
        <v>53</v>
      </c>
      <c r="D4559" s="8">
        <v>-53.75</v>
      </c>
      <c r="E4559" s="8">
        <f>E4558+(0-53.75)</f>
        <v>8636801.0199996084</v>
      </c>
    </row>
    <row r="4560" spans="1:5" x14ac:dyDescent="0.25">
      <c r="A4560" s="2" t="s">
        <v>38</v>
      </c>
      <c r="B4560" s="6">
        <v>45762</v>
      </c>
      <c r="C4560" s="2" t="s">
        <v>53</v>
      </c>
      <c r="D4560" s="8">
        <v>-400</v>
      </c>
      <c r="E4560" s="8">
        <f>E4559+(0-400)</f>
        <v>8636401.0199996084</v>
      </c>
    </row>
    <row r="4561" spans="1:5" x14ac:dyDescent="0.25">
      <c r="A4561" s="2" t="s">
        <v>38</v>
      </c>
      <c r="B4561" s="6">
        <v>45763</v>
      </c>
      <c r="C4561" s="2" t="s">
        <v>53</v>
      </c>
      <c r="D4561" s="8">
        <v>-26.88</v>
      </c>
      <c r="E4561" s="8">
        <f>E4560+(0-26.88)</f>
        <v>8636374.1399996076</v>
      </c>
    </row>
    <row r="4562" spans="1:5" x14ac:dyDescent="0.25">
      <c r="A4562" s="2" t="s">
        <v>38</v>
      </c>
      <c r="B4562" s="6">
        <v>45763</v>
      </c>
      <c r="C4562" s="2" t="s">
        <v>53</v>
      </c>
      <c r="D4562" s="8">
        <v>-26.88</v>
      </c>
      <c r="E4562" s="8">
        <f>E4561+(0-26.88)</f>
        <v>8636347.2599996068</v>
      </c>
    </row>
    <row r="4563" spans="1:5" x14ac:dyDescent="0.25">
      <c r="A4563" s="2" t="s">
        <v>38</v>
      </c>
      <c r="B4563" s="6">
        <v>45763</v>
      </c>
      <c r="C4563" s="2" t="s">
        <v>53</v>
      </c>
      <c r="D4563" s="8">
        <v>-53.75</v>
      </c>
      <c r="E4563" s="8">
        <f>E4562+(0-53.75)</f>
        <v>8636293.5099996068</v>
      </c>
    </row>
    <row r="4564" spans="1:5" x14ac:dyDescent="0.25">
      <c r="A4564" s="2" t="s">
        <v>38</v>
      </c>
      <c r="B4564" s="6">
        <v>45763</v>
      </c>
      <c r="C4564" s="2" t="s">
        <v>53</v>
      </c>
      <c r="D4564" s="8">
        <v>-100</v>
      </c>
      <c r="E4564" s="8">
        <f>E4563+(0-100)</f>
        <v>8636193.5099996068</v>
      </c>
    </row>
    <row r="4565" spans="1:5" x14ac:dyDescent="0.25">
      <c r="A4565" s="2" t="s">
        <v>38</v>
      </c>
      <c r="B4565" s="6">
        <v>45763</v>
      </c>
      <c r="C4565" s="2" t="s">
        <v>53</v>
      </c>
      <c r="D4565" s="8">
        <v>-500</v>
      </c>
      <c r="E4565" s="8">
        <f>E4564+(0-500)</f>
        <v>8635693.5099996068</v>
      </c>
    </row>
    <row r="4566" spans="1:5" x14ac:dyDescent="0.25">
      <c r="A4566" s="2" t="s">
        <v>38</v>
      </c>
      <c r="B4566" s="6">
        <v>45764</v>
      </c>
      <c r="C4566" s="2" t="s">
        <v>19</v>
      </c>
      <c r="D4566" s="8">
        <v>-10</v>
      </c>
      <c r="E4566" s="8">
        <f>E4565+(0-10)</f>
        <v>8635683.5099996068</v>
      </c>
    </row>
    <row r="4567" spans="1:5" x14ac:dyDescent="0.25">
      <c r="A4567" s="2" t="s">
        <v>38</v>
      </c>
      <c r="B4567" s="6">
        <v>45764</v>
      </c>
      <c r="C4567" s="2" t="s">
        <v>53</v>
      </c>
      <c r="D4567" s="8">
        <v>-53.75</v>
      </c>
      <c r="E4567" s="8">
        <f>E4566+(0-53.75)</f>
        <v>8635629.7599996068</v>
      </c>
    </row>
    <row r="4568" spans="1:5" x14ac:dyDescent="0.25">
      <c r="A4568" s="2" t="s">
        <v>38</v>
      </c>
      <c r="B4568" s="6">
        <v>45764</v>
      </c>
      <c r="C4568" s="2" t="s">
        <v>53</v>
      </c>
      <c r="D4568" s="8">
        <v>-53.75</v>
      </c>
      <c r="E4568" s="8">
        <f>E4567+(0-53.75)</f>
        <v>8635576.0099996068</v>
      </c>
    </row>
    <row r="4569" spans="1:5" x14ac:dyDescent="0.25">
      <c r="A4569" s="2" t="s">
        <v>38</v>
      </c>
      <c r="B4569" s="6">
        <v>45764</v>
      </c>
      <c r="C4569" s="2" t="s">
        <v>53</v>
      </c>
      <c r="D4569" s="8">
        <v>-450</v>
      </c>
      <c r="E4569" s="8">
        <f>E4568+(0-450)</f>
        <v>8635126.0099996068</v>
      </c>
    </row>
    <row r="4570" spans="1:5" x14ac:dyDescent="0.25">
      <c r="A4570" s="2" t="s">
        <v>38</v>
      </c>
      <c r="B4570" s="6">
        <v>45764</v>
      </c>
      <c r="C4570" s="2" t="s">
        <v>53</v>
      </c>
      <c r="D4570" s="8">
        <v>-50</v>
      </c>
      <c r="E4570" s="8">
        <f>E4569+(0-50)</f>
        <v>8635076.0099996068</v>
      </c>
    </row>
    <row r="4571" spans="1:5" x14ac:dyDescent="0.25">
      <c r="A4571" s="2" t="s">
        <v>38</v>
      </c>
      <c r="B4571" s="6">
        <v>45764</v>
      </c>
      <c r="C4571" s="2" t="s">
        <v>229</v>
      </c>
      <c r="D4571" s="8">
        <v>-130</v>
      </c>
      <c r="E4571" s="8">
        <f>E4570+(0-130)</f>
        <v>8634946.0099996068</v>
      </c>
    </row>
    <row r="4572" spans="1:5" x14ac:dyDescent="0.25">
      <c r="A4572" s="2" t="s">
        <v>38</v>
      </c>
      <c r="B4572" s="6">
        <v>45765</v>
      </c>
      <c r="C4572" s="2" t="s">
        <v>229</v>
      </c>
      <c r="D4572" s="8">
        <v>-140</v>
      </c>
      <c r="E4572" s="8">
        <f>E4571+(0-140)</f>
        <v>8634806.0099996068</v>
      </c>
    </row>
    <row r="4573" spans="1:5" x14ac:dyDescent="0.25">
      <c r="A4573" s="2" t="s">
        <v>38</v>
      </c>
      <c r="B4573" s="6">
        <v>45765</v>
      </c>
      <c r="C4573" s="2" t="s">
        <v>229</v>
      </c>
      <c r="D4573" s="8">
        <v>-85</v>
      </c>
      <c r="E4573" s="8">
        <f>E4572+(0-85)</f>
        <v>8634721.0099996068</v>
      </c>
    </row>
    <row r="4574" spans="1:5" x14ac:dyDescent="0.25">
      <c r="A4574" s="2" t="s">
        <v>38</v>
      </c>
      <c r="B4574" s="6">
        <v>45765</v>
      </c>
      <c r="C4574" s="2" t="s">
        <v>53</v>
      </c>
      <c r="D4574" s="8">
        <v>-26.88</v>
      </c>
      <c r="E4574" s="8">
        <f>E4573+(0-26.88)</f>
        <v>8634694.1299996059</v>
      </c>
    </row>
    <row r="4575" spans="1:5" x14ac:dyDescent="0.25">
      <c r="A4575" s="2" t="s">
        <v>38</v>
      </c>
      <c r="B4575" s="6">
        <v>45766</v>
      </c>
      <c r="C4575" s="2" t="s">
        <v>53</v>
      </c>
      <c r="D4575" s="8">
        <v>-26.88</v>
      </c>
      <c r="E4575" s="8">
        <f>E4574+(0-26.88)</f>
        <v>8634667.2499996051</v>
      </c>
    </row>
    <row r="4576" spans="1:5" x14ac:dyDescent="0.25">
      <c r="A4576" s="2" t="s">
        <v>38</v>
      </c>
      <c r="B4576" s="6">
        <v>45769</v>
      </c>
      <c r="C4576" s="2" t="s">
        <v>19</v>
      </c>
      <c r="D4576" s="8">
        <v>-115</v>
      </c>
      <c r="E4576" s="8">
        <f>E4575+(0-115)</f>
        <v>8634552.2499996051</v>
      </c>
    </row>
    <row r="4577" spans="1:5" x14ac:dyDescent="0.25">
      <c r="A4577" s="2" t="s">
        <v>38</v>
      </c>
      <c r="B4577" s="6">
        <v>45769</v>
      </c>
      <c r="C4577" s="2" t="s">
        <v>19</v>
      </c>
      <c r="D4577" s="8">
        <v>-25</v>
      </c>
      <c r="E4577" s="8">
        <f>E4576+(0-25)</f>
        <v>8634527.2499996051</v>
      </c>
    </row>
    <row r="4578" spans="1:5" x14ac:dyDescent="0.25">
      <c r="A4578" s="2" t="s">
        <v>38</v>
      </c>
      <c r="B4578" s="6">
        <v>45769</v>
      </c>
      <c r="C4578" s="2" t="s">
        <v>53</v>
      </c>
      <c r="D4578" s="8">
        <v>-53.75</v>
      </c>
      <c r="E4578" s="8">
        <f>E4577+(0-53.75)</f>
        <v>8634473.4999996051</v>
      </c>
    </row>
    <row r="4579" spans="1:5" x14ac:dyDescent="0.25">
      <c r="A4579" s="2" t="s">
        <v>38</v>
      </c>
      <c r="B4579" s="6">
        <v>45769</v>
      </c>
      <c r="C4579" s="2" t="s">
        <v>53</v>
      </c>
      <c r="D4579" s="8">
        <v>-950</v>
      </c>
      <c r="E4579" s="8">
        <f>E4578+(0-950)</f>
        <v>8633523.4999996051</v>
      </c>
    </row>
    <row r="4580" spans="1:5" x14ac:dyDescent="0.25">
      <c r="A4580" s="2" t="s">
        <v>38</v>
      </c>
      <c r="B4580" s="6">
        <v>45770</v>
      </c>
      <c r="C4580" s="2" t="s">
        <v>19</v>
      </c>
      <c r="D4580" s="8">
        <v>-10</v>
      </c>
      <c r="E4580" s="8">
        <f>E4579+(0-10)</f>
        <v>8633513.4999996051</v>
      </c>
    </row>
    <row r="4581" spans="1:5" x14ac:dyDescent="0.25">
      <c r="A4581" s="2" t="s">
        <v>38</v>
      </c>
      <c r="B4581" s="6">
        <v>45770</v>
      </c>
      <c r="C4581" s="2" t="s">
        <v>19</v>
      </c>
      <c r="D4581" s="8">
        <v>-10</v>
      </c>
      <c r="E4581" s="8">
        <f>E4580+(0-10)</f>
        <v>8633503.4999996051</v>
      </c>
    </row>
    <row r="4582" spans="1:5" x14ac:dyDescent="0.25">
      <c r="A4582" s="2" t="s">
        <v>38</v>
      </c>
      <c r="B4582" s="6">
        <v>45770</v>
      </c>
      <c r="C4582" s="2" t="s">
        <v>53</v>
      </c>
      <c r="D4582" s="8">
        <v>-450</v>
      </c>
      <c r="E4582" s="8">
        <f>E4581+(0-450)</f>
        <v>8633053.4999996051</v>
      </c>
    </row>
    <row r="4583" spans="1:5" x14ac:dyDescent="0.25">
      <c r="A4583" s="2" t="s">
        <v>38</v>
      </c>
      <c r="B4583" s="6">
        <v>45771</v>
      </c>
      <c r="C4583" s="2" t="s">
        <v>53</v>
      </c>
      <c r="D4583" s="8">
        <v>-26.88</v>
      </c>
      <c r="E4583" s="8">
        <f>E4582+(0-26.88)</f>
        <v>8633026.6199996043</v>
      </c>
    </row>
    <row r="4584" spans="1:5" x14ac:dyDescent="0.25">
      <c r="A4584" s="2" t="s">
        <v>38</v>
      </c>
      <c r="B4584" s="6">
        <v>45771</v>
      </c>
      <c r="C4584" s="2" t="s">
        <v>53</v>
      </c>
      <c r="D4584" s="8">
        <v>-53.75</v>
      </c>
      <c r="E4584" s="8">
        <f>E4583+(0-53.75)</f>
        <v>8632972.8699996043</v>
      </c>
    </row>
    <row r="4585" spans="1:5" x14ac:dyDescent="0.25">
      <c r="A4585" s="2" t="s">
        <v>38</v>
      </c>
      <c r="B4585" s="6">
        <v>45772</v>
      </c>
      <c r="C4585" s="2" t="s">
        <v>53</v>
      </c>
      <c r="D4585" s="8">
        <v>-200</v>
      </c>
      <c r="E4585" s="8">
        <f>E4584+(0-200)</f>
        <v>8632772.8699996043</v>
      </c>
    </row>
    <row r="4586" spans="1:5" x14ac:dyDescent="0.25">
      <c r="A4586" s="2" t="s">
        <v>38</v>
      </c>
      <c r="B4586" s="6">
        <v>45772</v>
      </c>
      <c r="C4586" s="2" t="s">
        <v>53</v>
      </c>
      <c r="D4586" s="8">
        <v>-50</v>
      </c>
      <c r="E4586" s="8">
        <f>E4585+(0-50)</f>
        <v>8632722.8699996043</v>
      </c>
    </row>
    <row r="4587" spans="1:5" x14ac:dyDescent="0.25">
      <c r="A4587" s="2" t="s">
        <v>38</v>
      </c>
      <c r="B4587" s="6">
        <v>45772</v>
      </c>
      <c r="C4587" s="2" t="s">
        <v>53</v>
      </c>
      <c r="D4587" s="8">
        <v>-53.75</v>
      </c>
      <c r="E4587" s="8">
        <f>E4586+(0-53.75)</f>
        <v>8632669.1199996043</v>
      </c>
    </row>
    <row r="4588" spans="1:5" x14ac:dyDescent="0.25">
      <c r="A4588" s="2" t="s">
        <v>38</v>
      </c>
      <c r="B4588" s="6">
        <v>45772</v>
      </c>
      <c r="C4588" s="2" t="s">
        <v>53</v>
      </c>
      <c r="D4588" s="8">
        <v>-53.75</v>
      </c>
      <c r="E4588" s="8">
        <f>E4587+(0-53.75)</f>
        <v>8632615.3699996043</v>
      </c>
    </row>
    <row r="4589" spans="1:5" x14ac:dyDescent="0.25">
      <c r="A4589" s="2" t="s">
        <v>38</v>
      </c>
      <c r="B4589" s="6">
        <v>45772</v>
      </c>
      <c r="C4589" s="2" t="s">
        <v>53</v>
      </c>
      <c r="D4589" s="8">
        <v>-250</v>
      </c>
      <c r="E4589" s="8">
        <f>E4588+(0-250)</f>
        <v>8632365.3699996043</v>
      </c>
    </row>
    <row r="4590" spans="1:5" x14ac:dyDescent="0.25">
      <c r="A4590" s="2" t="s">
        <v>38</v>
      </c>
      <c r="B4590" s="6">
        <v>45772</v>
      </c>
      <c r="C4590" s="2" t="s">
        <v>230</v>
      </c>
      <c r="D4590" s="8">
        <v>-2126.12</v>
      </c>
      <c r="E4590" s="8">
        <f>E4589+(0-2126.12)</f>
        <v>8630239.2499996051</v>
      </c>
    </row>
    <row r="4591" spans="1:5" x14ac:dyDescent="0.25">
      <c r="A4591" s="2" t="s">
        <v>38</v>
      </c>
      <c r="B4591" s="6">
        <v>45775</v>
      </c>
      <c r="C4591" s="2" t="s">
        <v>53</v>
      </c>
      <c r="D4591" s="8">
        <v>-26.88</v>
      </c>
      <c r="E4591" s="8">
        <f>E4590+(0-26.88)</f>
        <v>8630212.3699996043</v>
      </c>
    </row>
    <row r="4592" spans="1:5" x14ac:dyDescent="0.25">
      <c r="A4592" s="2" t="s">
        <v>38</v>
      </c>
      <c r="B4592" s="6">
        <v>45775</v>
      </c>
      <c r="C4592" s="2" t="s">
        <v>53</v>
      </c>
      <c r="D4592" s="8">
        <v>-53.75</v>
      </c>
      <c r="E4592" s="8">
        <f>E4591+(0-53.75)</f>
        <v>8630158.6199996043</v>
      </c>
    </row>
    <row r="4593" spans="1:5" x14ac:dyDescent="0.25">
      <c r="A4593" s="2" t="s">
        <v>38</v>
      </c>
      <c r="B4593" s="6">
        <v>45775</v>
      </c>
      <c r="C4593" s="2" t="s">
        <v>53</v>
      </c>
      <c r="D4593" s="8">
        <v>-53.75</v>
      </c>
      <c r="E4593" s="8">
        <f>E4592+(0-53.75)</f>
        <v>8630104.8699996043</v>
      </c>
    </row>
    <row r="4594" spans="1:5" x14ac:dyDescent="0.25">
      <c r="A4594" s="2" t="s">
        <v>38</v>
      </c>
      <c r="B4594" s="6">
        <v>45775</v>
      </c>
      <c r="C4594" s="2" t="s">
        <v>19</v>
      </c>
      <c r="D4594" s="8">
        <v>-10</v>
      </c>
      <c r="E4594" s="8">
        <f>E4593+(0-10)</f>
        <v>8630094.8699996043</v>
      </c>
    </row>
    <row r="4595" spans="1:5" x14ac:dyDescent="0.25">
      <c r="A4595" s="2" t="s">
        <v>38</v>
      </c>
      <c r="B4595" s="6">
        <v>45775</v>
      </c>
      <c r="C4595" s="2" t="s">
        <v>19</v>
      </c>
      <c r="D4595" s="8">
        <v>-80</v>
      </c>
      <c r="E4595" s="8">
        <f>E4594+(0-80)</f>
        <v>8630014.8699996043</v>
      </c>
    </row>
    <row r="4596" spans="1:5" x14ac:dyDescent="0.25">
      <c r="A4596" s="2" t="s">
        <v>38</v>
      </c>
      <c r="B4596" s="6">
        <v>45775</v>
      </c>
      <c r="C4596" s="2" t="s">
        <v>19</v>
      </c>
      <c r="D4596" s="8">
        <v>-50</v>
      </c>
      <c r="E4596" s="8">
        <f>E4595+(0-50)</f>
        <v>8629964.8699996043</v>
      </c>
    </row>
    <row r="4597" spans="1:5" x14ac:dyDescent="0.25">
      <c r="A4597" s="2" t="s">
        <v>38</v>
      </c>
      <c r="B4597" s="6">
        <v>45775</v>
      </c>
      <c r="C4597" s="2" t="s">
        <v>19</v>
      </c>
      <c r="D4597" s="8">
        <v>-40</v>
      </c>
      <c r="E4597" s="8">
        <f>E4596+(0-40)</f>
        <v>8629924.8699996043</v>
      </c>
    </row>
    <row r="4598" spans="1:5" x14ac:dyDescent="0.25">
      <c r="A4598" s="2" t="s">
        <v>38</v>
      </c>
      <c r="B4598" s="6">
        <v>45775</v>
      </c>
      <c r="C4598" s="2" t="s">
        <v>19</v>
      </c>
      <c r="D4598" s="8">
        <v>-35</v>
      </c>
      <c r="E4598" s="8">
        <f>E4597+(0-35)</f>
        <v>8629889.8699996043</v>
      </c>
    </row>
    <row r="4599" spans="1:5" x14ac:dyDescent="0.25">
      <c r="A4599" s="2" t="s">
        <v>38</v>
      </c>
      <c r="B4599" s="6">
        <v>45775</v>
      </c>
      <c r="C4599" s="2" t="s">
        <v>19</v>
      </c>
      <c r="D4599" s="8">
        <v>-50</v>
      </c>
      <c r="E4599" s="8">
        <f>E4598+(0-50)</f>
        <v>8629839.8699996043</v>
      </c>
    </row>
    <row r="4600" spans="1:5" x14ac:dyDescent="0.25">
      <c r="A4600" s="2" t="s">
        <v>38</v>
      </c>
      <c r="B4600" s="6">
        <v>45775</v>
      </c>
      <c r="C4600" s="2" t="s">
        <v>53</v>
      </c>
      <c r="D4600" s="8">
        <v>-450</v>
      </c>
      <c r="E4600" s="8">
        <f>E4599+(0-450)</f>
        <v>8629389.8699996043</v>
      </c>
    </row>
    <row r="4601" spans="1:5" x14ac:dyDescent="0.25">
      <c r="A4601" s="2" t="s">
        <v>38</v>
      </c>
      <c r="B4601" s="6">
        <v>45776</v>
      </c>
      <c r="C4601" s="2" t="s">
        <v>53</v>
      </c>
      <c r="D4601" s="8">
        <v>-10.75</v>
      </c>
      <c r="E4601" s="8">
        <f>E4600+(0-10.75)</f>
        <v>8629379.1199996043</v>
      </c>
    </row>
    <row r="4602" spans="1:5" x14ac:dyDescent="0.25">
      <c r="A4602" s="2" t="s">
        <v>38</v>
      </c>
      <c r="B4602" s="6">
        <v>45776</v>
      </c>
      <c r="C4602" s="2" t="s">
        <v>53</v>
      </c>
      <c r="D4602" s="8">
        <v>-53.75</v>
      </c>
      <c r="E4602" s="8">
        <f>E4601+(0-53.75)</f>
        <v>8629325.3699996043</v>
      </c>
    </row>
    <row r="4603" spans="1:5" x14ac:dyDescent="0.25">
      <c r="A4603" s="2" t="s">
        <v>38</v>
      </c>
      <c r="B4603" s="6">
        <v>45776</v>
      </c>
      <c r="C4603" s="2" t="s">
        <v>53</v>
      </c>
      <c r="D4603" s="8">
        <v>-26.88</v>
      </c>
      <c r="E4603" s="8">
        <f>E4602+(0-26.88)</f>
        <v>8629298.4899996035</v>
      </c>
    </row>
    <row r="4604" spans="1:5" x14ac:dyDescent="0.25">
      <c r="A4604" s="2" t="s">
        <v>38</v>
      </c>
      <c r="B4604" s="6">
        <v>45776</v>
      </c>
      <c r="C4604" s="2" t="s">
        <v>53</v>
      </c>
      <c r="D4604" s="8">
        <v>-26.88</v>
      </c>
      <c r="E4604" s="8">
        <f>E4603+(0-26.88)</f>
        <v>8629271.6099996027</v>
      </c>
    </row>
    <row r="4605" spans="1:5" x14ac:dyDescent="0.25">
      <c r="A4605" s="2" t="s">
        <v>38</v>
      </c>
      <c r="B4605" s="6">
        <v>45776</v>
      </c>
      <c r="C4605" s="2" t="s">
        <v>53</v>
      </c>
      <c r="D4605" s="8">
        <v>-53.75</v>
      </c>
      <c r="E4605" s="8">
        <f>E4604+(0-53.75)</f>
        <v>8629217.8599996027</v>
      </c>
    </row>
    <row r="4606" spans="1:5" x14ac:dyDescent="0.25">
      <c r="A4606" s="2" t="s">
        <v>38</v>
      </c>
      <c r="B4606" s="6">
        <v>45776</v>
      </c>
      <c r="C4606" s="2" t="s">
        <v>53</v>
      </c>
      <c r="D4606" s="8">
        <v>-53.75</v>
      </c>
      <c r="E4606" s="8">
        <f>E4605+(0-53.75)</f>
        <v>8629164.1099996027</v>
      </c>
    </row>
    <row r="4607" spans="1:5" x14ac:dyDescent="0.25">
      <c r="A4607" s="2" t="s">
        <v>38</v>
      </c>
      <c r="B4607" s="6">
        <v>45776</v>
      </c>
      <c r="C4607" s="2" t="s">
        <v>53</v>
      </c>
      <c r="D4607" s="8">
        <v>-53.75</v>
      </c>
      <c r="E4607" s="8">
        <f>E4606+(0-53.75)</f>
        <v>8629110.3599996027</v>
      </c>
    </row>
    <row r="4608" spans="1:5" x14ac:dyDescent="0.25">
      <c r="A4608" s="2" t="s">
        <v>38</v>
      </c>
      <c r="B4608" s="6">
        <v>45776</v>
      </c>
      <c r="C4608" s="2" t="s">
        <v>213</v>
      </c>
      <c r="D4608" s="8">
        <v>-2687.5</v>
      </c>
      <c r="E4608" s="8">
        <f>E4607+(0-2687.5)</f>
        <v>8626422.8599996027</v>
      </c>
    </row>
    <row r="4609" spans="1:5" x14ac:dyDescent="0.25">
      <c r="A4609" s="2" t="s">
        <v>38</v>
      </c>
      <c r="B4609" s="6">
        <v>45776</v>
      </c>
      <c r="C4609" s="2" t="s">
        <v>53</v>
      </c>
      <c r="D4609" s="8">
        <v>-450</v>
      </c>
      <c r="E4609" s="8">
        <f>E4608+(0-450)</f>
        <v>8625972.8599996027</v>
      </c>
    </row>
    <row r="4610" spans="1:5" x14ac:dyDescent="0.25">
      <c r="A4610" s="2" t="s">
        <v>38</v>
      </c>
      <c r="B4610" s="6">
        <v>45776</v>
      </c>
      <c r="C4610" s="2" t="s">
        <v>53</v>
      </c>
      <c r="D4610" s="8">
        <v>-50</v>
      </c>
      <c r="E4610" s="8">
        <f>E4609+(0-50)</f>
        <v>8625922.8599996027</v>
      </c>
    </row>
    <row r="4611" spans="1:5" x14ac:dyDescent="0.25">
      <c r="A4611" s="2" t="s">
        <v>38</v>
      </c>
      <c r="B4611" s="6">
        <v>45777</v>
      </c>
      <c r="C4611" s="2" t="s">
        <v>19</v>
      </c>
      <c r="D4611" s="8">
        <v>-40</v>
      </c>
      <c r="E4611" s="8">
        <f>E4610+(0-40)</f>
        <v>8625882.8599996027</v>
      </c>
    </row>
    <row r="4612" spans="1:5" x14ac:dyDescent="0.25">
      <c r="A4612" s="2" t="s">
        <v>38</v>
      </c>
      <c r="B4612" s="6">
        <v>45777</v>
      </c>
      <c r="C4612" s="2" t="s">
        <v>53</v>
      </c>
      <c r="D4612" s="8">
        <v>-50</v>
      </c>
      <c r="E4612" s="8">
        <f>E4611+(0-50)</f>
        <v>8625832.8599996027</v>
      </c>
    </row>
    <row r="4613" spans="1:5" x14ac:dyDescent="0.25">
      <c r="A4613" s="2" t="s">
        <v>38</v>
      </c>
      <c r="B4613" s="6">
        <v>45777</v>
      </c>
      <c r="C4613" s="2" t="s">
        <v>53</v>
      </c>
      <c r="D4613" s="8">
        <v>-550</v>
      </c>
      <c r="E4613" s="8">
        <f>E4612+(0-550)</f>
        <v>8625282.8599996027</v>
      </c>
    </row>
    <row r="4614" spans="1:5" x14ac:dyDescent="0.25">
      <c r="A4614" s="2" t="s">
        <v>38</v>
      </c>
      <c r="B4614" s="6">
        <v>45779</v>
      </c>
      <c r="C4614" s="2" t="s">
        <v>53</v>
      </c>
      <c r="D4614" s="8">
        <v>-53.75</v>
      </c>
      <c r="E4614" s="8">
        <f>E4613+(0-53.75)</f>
        <v>8625229.1099996027</v>
      </c>
    </row>
    <row r="4615" spans="1:5" x14ac:dyDescent="0.25">
      <c r="A4615" s="2" t="s">
        <v>38</v>
      </c>
      <c r="B4615" s="6">
        <v>45779</v>
      </c>
      <c r="C4615" s="2" t="s">
        <v>53</v>
      </c>
      <c r="D4615" s="8">
        <v>-53.75</v>
      </c>
      <c r="E4615" s="8">
        <f>E4614+(0-53.75)</f>
        <v>8625175.3599996027</v>
      </c>
    </row>
    <row r="4616" spans="1:5" x14ac:dyDescent="0.25">
      <c r="A4616" s="2" t="s">
        <v>38</v>
      </c>
      <c r="B4616" s="6">
        <v>45779</v>
      </c>
      <c r="C4616" s="2" t="s">
        <v>19</v>
      </c>
      <c r="D4616" s="8">
        <v>-90</v>
      </c>
      <c r="E4616" s="8">
        <f>E4615+(0-90)</f>
        <v>8625085.3599996027</v>
      </c>
    </row>
    <row r="4617" spans="1:5" x14ac:dyDescent="0.25">
      <c r="A4617" s="2" t="s">
        <v>38</v>
      </c>
      <c r="B4617" s="6">
        <v>45779</v>
      </c>
      <c r="C4617" s="2" t="s">
        <v>53</v>
      </c>
      <c r="D4617" s="8">
        <v>-650</v>
      </c>
      <c r="E4617" s="8">
        <f>E4616+(0-650)</f>
        <v>8624435.3599996027</v>
      </c>
    </row>
    <row r="4618" spans="1:5" x14ac:dyDescent="0.25">
      <c r="A4618" s="2" t="s">
        <v>38</v>
      </c>
      <c r="B4618" s="6">
        <v>45779</v>
      </c>
      <c r="C4618" s="2" t="s">
        <v>53</v>
      </c>
      <c r="D4618" s="8">
        <v>-100</v>
      </c>
      <c r="E4618" s="8">
        <f>E4617+(0-100)</f>
        <v>8624335.3599996027</v>
      </c>
    </row>
    <row r="4619" spans="1:5" x14ac:dyDescent="0.25">
      <c r="A4619" s="2" t="s">
        <v>38</v>
      </c>
      <c r="B4619" s="6">
        <v>45782</v>
      </c>
      <c r="C4619" s="2" t="s">
        <v>53</v>
      </c>
      <c r="D4619" s="8">
        <v>-53.75</v>
      </c>
      <c r="E4619" s="8">
        <f>E4618+(0-53.75)</f>
        <v>8624281.6099996027</v>
      </c>
    </row>
    <row r="4620" spans="1:5" x14ac:dyDescent="0.25">
      <c r="A4620" s="2" t="s">
        <v>38</v>
      </c>
      <c r="B4620" s="6">
        <v>45782</v>
      </c>
      <c r="C4620" s="2" t="s">
        <v>53</v>
      </c>
      <c r="D4620" s="8">
        <v>-53.75</v>
      </c>
      <c r="E4620" s="8">
        <f>E4619+(0-53.75)</f>
        <v>8624227.8599996027</v>
      </c>
    </row>
    <row r="4621" spans="1:5" x14ac:dyDescent="0.25">
      <c r="A4621" s="2" t="s">
        <v>38</v>
      </c>
      <c r="B4621" s="6">
        <v>45782</v>
      </c>
      <c r="C4621" s="2" t="s">
        <v>19</v>
      </c>
      <c r="D4621" s="8">
        <v>-180</v>
      </c>
      <c r="E4621" s="8">
        <f>E4620+(0-180)</f>
        <v>8624047.8599996027</v>
      </c>
    </row>
    <row r="4622" spans="1:5" x14ac:dyDescent="0.25">
      <c r="A4622" s="2" t="s">
        <v>38</v>
      </c>
      <c r="B4622" s="6">
        <v>45782</v>
      </c>
      <c r="C4622" s="2" t="s">
        <v>19</v>
      </c>
      <c r="D4622" s="8">
        <v>-90</v>
      </c>
      <c r="E4622" s="8">
        <f>E4621+(0-90)</f>
        <v>8623957.8599996027</v>
      </c>
    </row>
    <row r="4623" spans="1:5" x14ac:dyDescent="0.25">
      <c r="A4623" s="2" t="s">
        <v>38</v>
      </c>
      <c r="B4623" s="6">
        <v>45782</v>
      </c>
      <c r="C4623" s="2" t="s">
        <v>19</v>
      </c>
      <c r="D4623" s="8">
        <v>-48</v>
      </c>
      <c r="E4623" s="8">
        <f>E4622+(0-48)</f>
        <v>8623909.8599996027</v>
      </c>
    </row>
    <row r="4624" spans="1:5" x14ac:dyDescent="0.25">
      <c r="A4624" s="2" t="s">
        <v>38</v>
      </c>
      <c r="B4624" s="6">
        <v>45782</v>
      </c>
      <c r="C4624" s="2" t="s">
        <v>19</v>
      </c>
      <c r="D4624" s="8">
        <v>-6</v>
      </c>
      <c r="E4624" s="8">
        <f>E4623+(0-6)</f>
        <v>8623903.8599996027</v>
      </c>
    </row>
    <row r="4625" spans="1:5" x14ac:dyDescent="0.25">
      <c r="A4625" s="2" t="s">
        <v>38</v>
      </c>
      <c r="B4625" s="6">
        <v>45782</v>
      </c>
      <c r="C4625" s="2" t="s">
        <v>53</v>
      </c>
      <c r="D4625" s="8">
        <v>-53.75</v>
      </c>
      <c r="E4625" s="8">
        <f>E4624+(0-53.75)</f>
        <v>8623850.1099996027</v>
      </c>
    </row>
    <row r="4626" spans="1:5" x14ac:dyDescent="0.25">
      <c r="A4626" s="2" t="s">
        <v>38</v>
      </c>
      <c r="B4626" s="6">
        <v>45782</v>
      </c>
      <c r="C4626" s="2" t="s">
        <v>53</v>
      </c>
      <c r="D4626" s="8">
        <v>-26.88</v>
      </c>
      <c r="E4626" s="8">
        <f>E4625+(0-26.88)</f>
        <v>8623823.2299996018</v>
      </c>
    </row>
    <row r="4627" spans="1:5" x14ac:dyDescent="0.25">
      <c r="A4627" s="2" t="s">
        <v>38</v>
      </c>
      <c r="B4627" s="6">
        <v>45782</v>
      </c>
      <c r="C4627" s="2" t="s">
        <v>19</v>
      </c>
      <c r="D4627" s="8">
        <v>-375</v>
      </c>
      <c r="E4627" s="8">
        <f>E4626+(0-375)</f>
        <v>8623448.2299996018</v>
      </c>
    </row>
    <row r="4628" spans="1:5" x14ac:dyDescent="0.25">
      <c r="A4628" s="2" t="s">
        <v>38</v>
      </c>
      <c r="B4628" s="6">
        <v>45782</v>
      </c>
      <c r="C4628" s="2" t="s">
        <v>53</v>
      </c>
      <c r="D4628" s="8">
        <v>-1050</v>
      </c>
      <c r="E4628" s="8">
        <f>E4627+(0-1050)</f>
        <v>8622398.2299996018</v>
      </c>
    </row>
    <row r="4629" spans="1:5" x14ac:dyDescent="0.25">
      <c r="A4629" s="2" t="s">
        <v>38</v>
      </c>
      <c r="B4629" s="6">
        <v>45782</v>
      </c>
      <c r="C4629" s="2" t="s">
        <v>53</v>
      </c>
      <c r="D4629" s="8">
        <v>-50</v>
      </c>
      <c r="E4629" s="8">
        <f>E4628+(0-50)</f>
        <v>8622348.2299996018</v>
      </c>
    </row>
    <row r="4630" spans="1:5" x14ac:dyDescent="0.25">
      <c r="A4630" s="2" t="s">
        <v>38</v>
      </c>
      <c r="B4630" s="6">
        <v>45783</v>
      </c>
      <c r="C4630" s="2" t="s">
        <v>19</v>
      </c>
      <c r="D4630" s="8">
        <v>-200</v>
      </c>
      <c r="E4630" s="8">
        <f>E4629+(0-200)</f>
        <v>8622148.2299996018</v>
      </c>
    </row>
    <row r="4631" spans="1:5" x14ac:dyDescent="0.25">
      <c r="A4631" s="2" t="s">
        <v>38</v>
      </c>
      <c r="B4631" s="6">
        <v>45783</v>
      </c>
      <c r="C4631" s="2" t="s">
        <v>19</v>
      </c>
      <c r="D4631" s="8">
        <v>-138</v>
      </c>
      <c r="E4631" s="8">
        <f>E4630+(0-138)</f>
        <v>8622010.2299996018</v>
      </c>
    </row>
    <row r="4632" spans="1:5" x14ac:dyDescent="0.25">
      <c r="A4632" s="2" t="s">
        <v>38</v>
      </c>
      <c r="B4632" s="6">
        <v>45783</v>
      </c>
      <c r="C4632" s="2" t="s">
        <v>53</v>
      </c>
      <c r="D4632" s="8">
        <v>-450</v>
      </c>
      <c r="E4632" s="8">
        <f>E4631+(0-450)</f>
        <v>8621560.2299996018</v>
      </c>
    </row>
    <row r="4633" spans="1:5" x14ac:dyDescent="0.25">
      <c r="A4633" s="2" t="s">
        <v>38</v>
      </c>
      <c r="B4633" s="6">
        <v>45783</v>
      </c>
      <c r="C4633" s="2" t="s">
        <v>53</v>
      </c>
      <c r="D4633" s="8">
        <v>-50</v>
      </c>
      <c r="E4633" s="8">
        <f>E4632+(0-50)</f>
        <v>8621510.2299996018</v>
      </c>
    </row>
    <row r="4634" spans="1:5" x14ac:dyDescent="0.25">
      <c r="A4634" s="2" t="s">
        <v>38</v>
      </c>
      <c r="B4634" s="6">
        <v>45783</v>
      </c>
      <c r="C4634" s="2" t="s">
        <v>53</v>
      </c>
      <c r="D4634" s="8">
        <v>-26.88</v>
      </c>
      <c r="E4634" s="8">
        <f>E4633+(0-26.88)</f>
        <v>8621483.349999601</v>
      </c>
    </row>
    <row r="4635" spans="1:5" x14ac:dyDescent="0.25">
      <c r="A4635" s="2" t="s">
        <v>38</v>
      </c>
      <c r="B4635" s="6">
        <v>45784</v>
      </c>
      <c r="C4635" s="2" t="s">
        <v>53</v>
      </c>
      <c r="D4635" s="8">
        <v>-100</v>
      </c>
      <c r="E4635" s="8">
        <f>E4634+(0-100)</f>
        <v>8621383.349999601</v>
      </c>
    </row>
    <row r="4636" spans="1:5" x14ac:dyDescent="0.25">
      <c r="A4636" s="2" t="s">
        <v>38</v>
      </c>
      <c r="B4636" s="6">
        <v>45784</v>
      </c>
      <c r="C4636" s="2" t="s">
        <v>53</v>
      </c>
      <c r="D4636" s="8">
        <v>-100</v>
      </c>
      <c r="E4636" s="8">
        <f>E4635+(0-100)</f>
        <v>8621283.349999601</v>
      </c>
    </row>
    <row r="4637" spans="1:5" x14ac:dyDescent="0.25">
      <c r="A4637" s="2" t="s">
        <v>38</v>
      </c>
      <c r="B4637" s="6">
        <v>45784</v>
      </c>
      <c r="C4637" s="2" t="s">
        <v>53</v>
      </c>
      <c r="D4637" s="8">
        <v>-650</v>
      </c>
      <c r="E4637" s="8">
        <f>E4636+(0-650)</f>
        <v>8620633.349999601</v>
      </c>
    </row>
    <row r="4638" spans="1:5" x14ac:dyDescent="0.25">
      <c r="A4638" s="2" t="s">
        <v>38</v>
      </c>
      <c r="B4638" s="6">
        <v>45785</v>
      </c>
      <c r="C4638" s="2" t="s">
        <v>19</v>
      </c>
      <c r="D4638" s="8">
        <v>-53.75</v>
      </c>
      <c r="E4638" s="8">
        <f>E4637+(0-53.75)</f>
        <v>8620579.599999601</v>
      </c>
    </row>
    <row r="4639" spans="1:5" x14ac:dyDescent="0.25">
      <c r="A4639" s="2" t="s">
        <v>38</v>
      </c>
      <c r="B4639" s="6">
        <v>45785</v>
      </c>
      <c r="C4639" s="2" t="s">
        <v>53</v>
      </c>
      <c r="D4639" s="8">
        <v>-350</v>
      </c>
      <c r="E4639" s="8">
        <f>E4638+(0-350)</f>
        <v>8620229.599999601</v>
      </c>
    </row>
    <row r="4640" spans="1:5" x14ac:dyDescent="0.25">
      <c r="A4640" s="2" t="s">
        <v>38</v>
      </c>
      <c r="B4640" s="6">
        <v>45786</v>
      </c>
      <c r="C4640" s="2" t="s">
        <v>53</v>
      </c>
      <c r="D4640" s="8">
        <v>-700</v>
      </c>
      <c r="E4640" s="8">
        <f>E4639+(0-700)</f>
        <v>8619529.599999601</v>
      </c>
    </row>
    <row r="4641" spans="1:5" x14ac:dyDescent="0.25">
      <c r="A4641" s="2" t="s">
        <v>38</v>
      </c>
      <c r="B4641" s="6">
        <v>45787</v>
      </c>
      <c r="C4641" s="2" t="s">
        <v>19</v>
      </c>
      <c r="D4641" s="8">
        <v>-120</v>
      </c>
      <c r="E4641" s="8">
        <f>E4640+(0-120)</f>
        <v>8619409.599999601</v>
      </c>
    </row>
    <row r="4642" spans="1:5" x14ac:dyDescent="0.25">
      <c r="A4642" s="2" t="s">
        <v>38</v>
      </c>
      <c r="B4642" s="6">
        <v>45789</v>
      </c>
      <c r="C4642" s="2" t="s">
        <v>19</v>
      </c>
      <c r="D4642" s="8">
        <v>-84</v>
      </c>
      <c r="E4642" s="8">
        <f>E4641+(0-84)</f>
        <v>8619325.599999601</v>
      </c>
    </row>
    <row r="4643" spans="1:5" x14ac:dyDescent="0.25">
      <c r="A4643" s="2" t="s">
        <v>38</v>
      </c>
      <c r="B4643" s="6">
        <v>45789</v>
      </c>
      <c r="C4643" s="2" t="s">
        <v>53</v>
      </c>
      <c r="D4643" s="8">
        <v>-53.75</v>
      </c>
      <c r="E4643" s="8">
        <f>E4642+(0-53.75)</f>
        <v>8619271.849999601</v>
      </c>
    </row>
    <row r="4644" spans="1:5" x14ac:dyDescent="0.25">
      <c r="A4644" s="2" t="s">
        <v>38</v>
      </c>
      <c r="B4644" s="6">
        <v>45789</v>
      </c>
      <c r="C4644" s="2" t="s">
        <v>19</v>
      </c>
      <c r="D4644" s="8">
        <v>-102</v>
      </c>
      <c r="E4644" s="8">
        <f>E4643+(0-102)</f>
        <v>8619169.849999601</v>
      </c>
    </row>
    <row r="4645" spans="1:5" x14ac:dyDescent="0.25">
      <c r="A4645" s="2" t="s">
        <v>38</v>
      </c>
      <c r="B4645" s="6">
        <v>45789</v>
      </c>
      <c r="C4645" s="2" t="s">
        <v>53</v>
      </c>
      <c r="D4645" s="8">
        <v>-26.88</v>
      </c>
      <c r="E4645" s="8">
        <f>E4644+(0-26.88)</f>
        <v>8619142.9699996002</v>
      </c>
    </row>
    <row r="4646" spans="1:5" x14ac:dyDescent="0.25">
      <c r="A4646" s="2" t="s">
        <v>38</v>
      </c>
      <c r="B4646" s="6">
        <v>45789</v>
      </c>
      <c r="C4646" s="2" t="s">
        <v>53</v>
      </c>
      <c r="D4646" s="8">
        <v>-26.88</v>
      </c>
      <c r="E4646" s="8">
        <f>E4645+(0-26.88)</f>
        <v>8619116.0899995994</v>
      </c>
    </row>
    <row r="4647" spans="1:5" x14ac:dyDescent="0.25">
      <c r="A4647" s="2" t="s">
        <v>38</v>
      </c>
      <c r="B4647" s="6">
        <v>45789</v>
      </c>
      <c r="C4647" s="2" t="s">
        <v>53</v>
      </c>
      <c r="D4647" s="8">
        <v>-650</v>
      </c>
      <c r="E4647" s="8">
        <f>E4646+(0-650)</f>
        <v>8618466.0899995994</v>
      </c>
    </row>
    <row r="4648" spans="1:5" x14ac:dyDescent="0.25">
      <c r="A4648" s="2" t="s">
        <v>38</v>
      </c>
      <c r="B4648" s="6">
        <v>45789</v>
      </c>
      <c r="C4648" s="2" t="s">
        <v>19</v>
      </c>
      <c r="D4648" s="8">
        <v>-84</v>
      </c>
      <c r="E4648" s="8">
        <f>E4647+(0-84)</f>
        <v>8618382.0899995994</v>
      </c>
    </row>
    <row r="4649" spans="1:5" x14ac:dyDescent="0.25">
      <c r="A4649" s="2" t="s">
        <v>38</v>
      </c>
      <c r="B4649" s="6">
        <v>45789</v>
      </c>
      <c r="C4649" s="2" t="s">
        <v>19</v>
      </c>
      <c r="D4649" s="8">
        <v>-84</v>
      </c>
      <c r="E4649" s="8">
        <f>E4648+(0-84)</f>
        <v>8618298.0899995994</v>
      </c>
    </row>
    <row r="4650" spans="1:5" x14ac:dyDescent="0.25">
      <c r="A4650" s="2" t="s">
        <v>38</v>
      </c>
      <c r="B4650" s="6">
        <v>45789</v>
      </c>
      <c r="C4650" s="2" t="s">
        <v>19</v>
      </c>
      <c r="D4650" s="8">
        <v>-6</v>
      </c>
      <c r="E4650" s="8">
        <f>E4649+(0-6)</f>
        <v>8618292.0899995994</v>
      </c>
    </row>
    <row r="4651" spans="1:5" x14ac:dyDescent="0.25">
      <c r="A4651" s="2" t="s">
        <v>38</v>
      </c>
      <c r="B4651" s="6">
        <v>45789</v>
      </c>
      <c r="C4651" s="2" t="s">
        <v>19</v>
      </c>
      <c r="D4651" s="8">
        <v>-30</v>
      </c>
      <c r="E4651" s="8">
        <f>E4650+(0-30)</f>
        <v>8618262.0899995994</v>
      </c>
    </row>
    <row r="4652" spans="1:5" x14ac:dyDescent="0.25">
      <c r="A4652" s="2" t="s">
        <v>38</v>
      </c>
      <c r="B4652" s="6">
        <v>45790</v>
      </c>
      <c r="C4652" s="2" t="s">
        <v>53</v>
      </c>
      <c r="D4652" s="8">
        <v>-350</v>
      </c>
      <c r="E4652" s="8">
        <f>E4651+(0-350)</f>
        <v>8617912.0899995994</v>
      </c>
    </row>
    <row r="4653" spans="1:5" x14ac:dyDescent="0.25">
      <c r="A4653" s="2" t="s">
        <v>38</v>
      </c>
      <c r="B4653" s="6">
        <v>45790</v>
      </c>
      <c r="C4653" s="2" t="s">
        <v>53</v>
      </c>
      <c r="D4653" s="8">
        <v>-250</v>
      </c>
      <c r="E4653" s="8">
        <f>E4652+(0-250)</f>
        <v>8617662.0899995994</v>
      </c>
    </row>
    <row r="4654" spans="1:5" x14ac:dyDescent="0.25">
      <c r="A4654" s="2" t="s">
        <v>38</v>
      </c>
      <c r="B4654" s="6">
        <v>45790</v>
      </c>
      <c r="C4654" s="2" t="s">
        <v>53</v>
      </c>
      <c r="D4654" s="8">
        <v>-26.88</v>
      </c>
      <c r="E4654" s="8">
        <f>E4653+(0-26.88)</f>
        <v>8617635.2099995986</v>
      </c>
    </row>
    <row r="4655" spans="1:5" x14ac:dyDescent="0.25">
      <c r="A4655" s="2" t="s">
        <v>38</v>
      </c>
      <c r="B4655" s="6">
        <v>45792</v>
      </c>
      <c r="C4655" s="2" t="s">
        <v>53</v>
      </c>
      <c r="D4655" s="8">
        <v>-300</v>
      </c>
      <c r="E4655" s="8">
        <f>E4654+(0-300)</f>
        <v>8617335.2099995986</v>
      </c>
    </row>
    <row r="4656" spans="1:5" x14ac:dyDescent="0.25">
      <c r="A4656" s="2" t="s">
        <v>38</v>
      </c>
      <c r="B4656" s="6">
        <v>45792</v>
      </c>
      <c r="C4656" s="2" t="s">
        <v>53</v>
      </c>
      <c r="D4656" s="8">
        <v>-50</v>
      </c>
      <c r="E4656" s="8">
        <f>E4655+(0-50)</f>
        <v>8617285.2099995986</v>
      </c>
    </row>
    <row r="4657" spans="1:5" x14ac:dyDescent="0.25">
      <c r="A4657" s="2" t="s">
        <v>38</v>
      </c>
      <c r="B4657" s="6">
        <v>45793</v>
      </c>
      <c r="C4657" s="2" t="s">
        <v>53</v>
      </c>
      <c r="D4657" s="8">
        <v>-53.75</v>
      </c>
      <c r="E4657" s="8">
        <f>E4656+(0-53.75)</f>
        <v>8617231.4599995986</v>
      </c>
    </row>
    <row r="4658" spans="1:5" x14ac:dyDescent="0.25">
      <c r="A4658" s="2" t="s">
        <v>38</v>
      </c>
      <c r="B4658" s="6">
        <v>45793</v>
      </c>
      <c r="C4658" s="2" t="s">
        <v>53</v>
      </c>
      <c r="D4658" s="8">
        <v>-50</v>
      </c>
      <c r="E4658" s="8">
        <f>E4657+(0-50)</f>
        <v>8617181.4599995986</v>
      </c>
    </row>
    <row r="4659" spans="1:5" x14ac:dyDescent="0.25">
      <c r="A4659" s="2" t="s">
        <v>38</v>
      </c>
      <c r="B4659" s="6">
        <v>45793</v>
      </c>
      <c r="C4659" s="2" t="s">
        <v>53</v>
      </c>
      <c r="D4659" s="8">
        <v>-50</v>
      </c>
      <c r="E4659" s="8">
        <f>E4658+(0-50)</f>
        <v>8617131.4599995986</v>
      </c>
    </row>
    <row r="4660" spans="1:5" x14ac:dyDescent="0.25">
      <c r="A4660" s="2" t="s">
        <v>38</v>
      </c>
      <c r="B4660" s="6">
        <v>45793</v>
      </c>
      <c r="C4660" s="2" t="s">
        <v>53</v>
      </c>
      <c r="D4660" s="8">
        <v>-550</v>
      </c>
      <c r="E4660" s="8">
        <f>E4659+(0-550)</f>
        <v>8616581.4599995986</v>
      </c>
    </row>
    <row r="4661" spans="1:5" x14ac:dyDescent="0.25">
      <c r="A4661" s="2" t="s">
        <v>38</v>
      </c>
      <c r="B4661" s="6">
        <v>45796</v>
      </c>
      <c r="C4661" s="2" t="s">
        <v>53</v>
      </c>
      <c r="D4661" s="8">
        <v>-53.75</v>
      </c>
      <c r="E4661" s="8">
        <f>E4660+(0-53.75)</f>
        <v>8616527.7099995986</v>
      </c>
    </row>
    <row r="4662" spans="1:5" x14ac:dyDescent="0.25">
      <c r="A4662" s="2" t="s">
        <v>38</v>
      </c>
      <c r="B4662" s="6">
        <v>45796</v>
      </c>
      <c r="C4662" s="2" t="s">
        <v>53</v>
      </c>
      <c r="D4662" s="8">
        <v>-53.75</v>
      </c>
      <c r="E4662" s="8">
        <f>E4661+(0-53.75)</f>
        <v>8616473.9599995986</v>
      </c>
    </row>
    <row r="4663" spans="1:5" x14ac:dyDescent="0.25">
      <c r="A4663" s="2" t="s">
        <v>38</v>
      </c>
      <c r="B4663" s="6">
        <v>45796</v>
      </c>
      <c r="C4663" s="2" t="s">
        <v>53</v>
      </c>
      <c r="D4663" s="8">
        <v>-53.75</v>
      </c>
      <c r="E4663" s="8">
        <f>E4662+(0-53.75)</f>
        <v>8616420.2099995986</v>
      </c>
    </row>
    <row r="4664" spans="1:5" x14ac:dyDescent="0.25">
      <c r="A4664" s="2" t="s">
        <v>38</v>
      </c>
      <c r="B4664" s="6">
        <v>45796</v>
      </c>
      <c r="C4664" s="2" t="s">
        <v>53</v>
      </c>
      <c r="D4664" s="8">
        <v>-26.88</v>
      </c>
      <c r="E4664" s="8">
        <f>E4663+(0-26.88)</f>
        <v>8616393.3299995977</v>
      </c>
    </row>
    <row r="4665" spans="1:5" x14ac:dyDescent="0.25">
      <c r="A4665" s="2" t="s">
        <v>38</v>
      </c>
      <c r="B4665" s="6">
        <v>45796</v>
      </c>
      <c r="C4665" s="2" t="s">
        <v>53</v>
      </c>
      <c r="D4665" s="8">
        <v>-26.88</v>
      </c>
      <c r="E4665" s="8">
        <f>E4664+(0-26.88)</f>
        <v>8616366.4499995969</v>
      </c>
    </row>
    <row r="4666" spans="1:5" x14ac:dyDescent="0.25">
      <c r="A4666" s="2" t="s">
        <v>38</v>
      </c>
      <c r="B4666" s="6">
        <v>45796</v>
      </c>
      <c r="C4666" s="2" t="s">
        <v>53</v>
      </c>
      <c r="D4666" s="8">
        <v>-53.75</v>
      </c>
      <c r="E4666" s="8">
        <f>E4665+(0-53.75)</f>
        <v>8616312.6999995969</v>
      </c>
    </row>
    <row r="4667" spans="1:5" x14ac:dyDescent="0.25">
      <c r="A4667" s="2" t="s">
        <v>38</v>
      </c>
      <c r="B4667" s="6">
        <v>45796</v>
      </c>
      <c r="C4667" s="2" t="s">
        <v>53</v>
      </c>
      <c r="D4667" s="8">
        <v>-200</v>
      </c>
      <c r="E4667" s="8">
        <f>E4666+(0-200)</f>
        <v>8616112.6999995969</v>
      </c>
    </row>
    <row r="4668" spans="1:5" x14ac:dyDescent="0.25">
      <c r="A4668" s="2" t="s">
        <v>38</v>
      </c>
      <c r="B4668" s="6">
        <v>45797</v>
      </c>
      <c r="C4668" s="2" t="s">
        <v>53</v>
      </c>
      <c r="D4668" s="8">
        <v>-53.75</v>
      </c>
      <c r="E4668" s="8">
        <f>E4667+(0-53.75)</f>
        <v>8616058.9499995969</v>
      </c>
    </row>
    <row r="4669" spans="1:5" x14ac:dyDescent="0.25">
      <c r="A4669" s="2" t="s">
        <v>38</v>
      </c>
      <c r="B4669" s="6">
        <v>45797</v>
      </c>
      <c r="C4669" s="2" t="s">
        <v>53</v>
      </c>
      <c r="D4669" s="8">
        <v>-53.75</v>
      </c>
      <c r="E4669" s="8">
        <f>E4668+(0-53.75)</f>
        <v>8616005.1999995969</v>
      </c>
    </row>
    <row r="4670" spans="1:5" x14ac:dyDescent="0.25">
      <c r="A4670" s="2" t="s">
        <v>38</v>
      </c>
      <c r="B4670" s="6">
        <v>45797</v>
      </c>
      <c r="C4670" s="2" t="s">
        <v>53</v>
      </c>
      <c r="D4670" s="8">
        <v>-100</v>
      </c>
      <c r="E4670" s="8">
        <f>E4669+(0-100)</f>
        <v>8615905.1999995969</v>
      </c>
    </row>
    <row r="4671" spans="1:5" x14ac:dyDescent="0.25">
      <c r="A4671" s="2" t="s">
        <v>38</v>
      </c>
      <c r="B4671" s="6">
        <v>45797</v>
      </c>
      <c r="C4671" s="2" t="s">
        <v>53</v>
      </c>
      <c r="D4671" s="8">
        <v>-250</v>
      </c>
      <c r="E4671" s="8">
        <f>E4670+(0-250)</f>
        <v>8615655.1999995969</v>
      </c>
    </row>
    <row r="4672" spans="1:5" x14ac:dyDescent="0.25">
      <c r="A4672" s="2" t="s">
        <v>38</v>
      </c>
      <c r="B4672" s="6">
        <v>45798</v>
      </c>
      <c r="C4672" s="2" t="s">
        <v>53</v>
      </c>
      <c r="D4672" s="8">
        <v>-53.75</v>
      </c>
      <c r="E4672" s="8">
        <f>E4671+(0-53.75)</f>
        <v>8615601.4499995969</v>
      </c>
    </row>
    <row r="4673" spans="1:5" x14ac:dyDescent="0.25">
      <c r="A4673" s="2" t="s">
        <v>38</v>
      </c>
      <c r="B4673" s="6">
        <v>45798</v>
      </c>
      <c r="C4673" s="2" t="s">
        <v>53</v>
      </c>
      <c r="D4673" s="8">
        <v>-53.75</v>
      </c>
      <c r="E4673" s="8">
        <f>E4672+(0-53.75)</f>
        <v>8615547.6999995969</v>
      </c>
    </row>
    <row r="4674" spans="1:5" x14ac:dyDescent="0.25">
      <c r="A4674" s="2" t="s">
        <v>38</v>
      </c>
      <c r="B4674" s="6">
        <v>45798</v>
      </c>
      <c r="C4674" s="2" t="s">
        <v>53</v>
      </c>
      <c r="D4674" s="8">
        <v>-50</v>
      </c>
      <c r="E4674" s="8">
        <f>E4673+(0-50)</f>
        <v>8615497.6999995969</v>
      </c>
    </row>
    <row r="4675" spans="1:5" x14ac:dyDescent="0.25">
      <c r="A4675" s="2" t="s">
        <v>38</v>
      </c>
      <c r="B4675" s="6">
        <v>45798</v>
      </c>
      <c r="C4675" s="2" t="s">
        <v>53</v>
      </c>
      <c r="D4675" s="8">
        <v>-350</v>
      </c>
      <c r="E4675" s="8">
        <f>E4674+(0-350)</f>
        <v>8615147.6999995969</v>
      </c>
    </row>
    <row r="4676" spans="1:5" x14ac:dyDescent="0.25">
      <c r="A4676" s="2" t="s">
        <v>38</v>
      </c>
      <c r="B4676" s="6">
        <v>45799</v>
      </c>
      <c r="C4676" s="2" t="s">
        <v>53</v>
      </c>
      <c r="D4676" s="8">
        <v>-53.75</v>
      </c>
      <c r="E4676" s="8">
        <f>E4675+(0-53.75)</f>
        <v>8615093.9499995969</v>
      </c>
    </row>
    <row r="4677" spans="1:5" x14ac:dyDescent="0.25">
      <c r="A4677" s="2" t="s">
        <v>38</v>
      </c>
      <c r="B4677" s="6">
        <v>45799</v>
      </c>
      <c r="C4677" s="2" t="s">
        <v>53</v>
      </c>
      <c r="D4677" s="8">
        <v>-50</v>
      </c>
      <c r="E4677" s="8">
        <f>E4676+(0-50)</f>
        <v>8615043.9499995969</v>
      </c>
    </row>
    <row r="4678" spans="1:5" x14ac:dyDescent="0.25">
      <c r="A4678" s="2" t="s">
        <v>38</v>
      </c>
      <c r="B4678" s="6">
        <v>45800</v>
      </c>
      <c r="C4678" s="2" t="s">
        <v>53</v>
      </c>
      <c r="D4678" s="8">
        <v>-26.88</v>
      </c>
      <c r="E4678" s="8">
        <f>E4677+(0-26.88)</f>
        <v>8615017.0699995961</v>
      </c>
    </row>
    <row r="4679" spans="1:5" x14ac:dyDescent="0.25">
      <c r="A4679" s="2" t="s">
        <v>38</v>
      </c>
      <c r="B4679" s="6">
        <v>45800</v>
      </c>
      <c r="C4679" s="2" t="s">
        <v>53</v>
      </c>
      <c r="D4679" s="8">
        <v>-53.75</v>
      </c>
      <c r="E4679" s="8">
        <f>E4678+(0-53.75)</f>
        <v>8614963.3199995961</v>
      </c>
    </row>
    <row r="4680" spans="1:5" x14ac:dyDescent="0.25">
      <c r="A4680" s="2" t="s">
        <v>38</v>
      </c>
      <c r="B4680" s="6">
        <v>45800</v>
      </c>
      <c r="C4680" s="2" t="s">
        <v>19</v>
      </c>
      <c r="D4680" s="8">
        <v>-78</v>
      </c>
      <c r="E4680" s="8">
        <f>E4679+(0-78)</f>
        <v>8614885.3199995961</v>
      </c>
    </row>
    <row r="4681" spans="1:5" x14ac:dyDescent="0.25">
      <c r="A4681" s="2" t="s">
        <v>38</v>
      </c>
      <c r="B4681" s="6">
        <v>45800</v>
      </c>
      <c r="C4681" s="2" t="s">
        <v>19</v>
      </c>
      <c r="D4681" s="8">
        <v>-72</v>
      </c>
      <c r="E4681" s="8">
        <f>E4680+(0-72)</f>
        <v>8614813.3199995961</v>
      </c>
    </row>
    <row r="4682" spans="1:5" x14ac:dyDescent="0.25">
      <c r="A4682" s="2" t="s">
        <v>38</v>
      </c>
      <c r="B4682" s="6">
        <v>45800</v>
      </c>
      <c r="C4682" s="2" t="s">
        <v>53</v>
      </c>
      <c r="D4682" s="8">
        <v>-400</v>
      </c>
      <c r="E4682" s="8">
        <f>E4681+(0-400)</f>
        <v>8614413.3199995961</v>
      </c>
    </row>
    <row r="4683" spans="1:5" x14ac:dyDescent="0.25">
      <c r="A4683" s="2" t="s">
        <v>38</v>
      </c>
      <c r="B4683" s="6">
        <v>45803</v>
      </c>
      <c r="C4683" s="2" t="s">
        <v>19</v>
      </c>
      <c r="D4683" s="8">
        <v>-90</v>
      </c>
      <c r="E4683" s="8">
        <f>E4682+(0-90)</f>
        <v>8614323.3199995961</v>
      </c>
    </row>
    <row r="4684" spans="1:5" x14ac:dyDescent="0.25">
      <c r="A4684" s="2" t="s">
        <v>38</v>
      </c>
      <c r="B4684" s="6">
        <v>45803</v>
      </c>
      <c r="C4684" s="2" t="s">
        <v>19</v>
      </c>
      <c r="D4684" s="8">
        <v>-54</v>
      </c>
      <c r="E4684" s="8">
        <f>E4683+(0-54)</f>
        <v>8614269.3199995961</v>
      </c>
    </row>
    <row r="4685" spans="1:5" x14ac:dyDescent="0.25">
      <c r="A4685" s="2" t="s">
        <v>38</v>
      </c>
      <c r="B4685" s="6">
        <v>45803</v>
      </c>
      <c r="C4685" s="2" t="s">
        <v>53</v>
      </c>
      <c r="D4685" s="8">
        <v>-26.88</v>
      </c>
      <c r="E4685" s="8">
        <f>E4684+(0-26.88)</f>
        <v>8614242.4399995953</v>
      </c>
    </row>
    <row r="4686" spans="1:5" x14ac:dyDescent="0.25">
      <c r="A4686" s="2" t="s">
        <v>38</v>
      </c>
      <c r="B4686" s="6">
        <v>45803</v>
      </c>
      <c r="C4686" s="2" t="s">
        <v>53</v>
      </c>
      <c r="D4686" s="8">
        <v>-53.75</v>
      </c>
      <c r="E4686" s="8">
        <f>E4685+(0-53.75)</f>
        <v>8614188.6899995953</v>
      </c>
    </row>
    <row r="4687" spans="1:5" x14ac:dyDescent="0.25">
      <c r="A4687" s="2" t="s">
        <v>38</v>
      </c>
      <c r="B4687" s="6">
        <v>45803</v>
      </c>
      <c r="C4687" s="2" t="s">
        <v>19</v>
      </c>
      <c r="D4687" s="8">
        <v>-114</v>
      </c>
      <c r="E4687" s="8">
        <f>E4686+(0-114)</f>
        <v>8614074.6899995953</v>
      </c>
    </row>
    <row r="4688" spans="1:5" x14ac:dyDescent="0.25">
      <c r="A4688" s="2" t="s">
        <v>38</v>
      </c>
      <c r="B4688" s="6">
        <v>45803</v>
      </c>
      <c r="C4688" s="2" t="s">
        <v>19</v>
      </c>
      <c r="D4688" s="8">
        <v>-30</v>
      </c>
      <c r="E4688" s="8">
        <f>E4687+(0-30)</f>
        <v>8614044.6899995953</v>
      </c>
    </row>
    <row r="4689" spans="1:5" x14ac:dyDescent="0.25">
      <c r="A4689" s="2" t="s">
        <v>38</v>
      </c>
      <c r="B4689" s="6">
        <v>45803</v>
      </c>
      <c r="C4689" s="2" t="s">
        <v>19</v>
      </c>
      <c r="D4689" s="8">
        <v>-108</v>
      </c>
      <c r="E4689" s="8">
        <f>E4688+(0-108)</f>
        <v>8613936.6899995953</v>
      </c>
    </row>
    <row r="4690" spans="1:5" x14ac:dyDescent="0.25">
      <c r="A4690" s="2" t="s">
        <v>38</v>
      </c>
      <c r="B4690" s="6">
        <v>45803</v>
      </c>
      <c r="C4690" s="2" t="s">
        <v>19</v>
      </c>
      <c r="D4690" s="8">
        <v>-48</v>
      </c>
      <c r="E4690" s="8">
        <f>E4689+(0-48)</f>
        <v>8613888.6899995953</v>
      </c>
    </row>
    <row r="4691" spans="1:5" x14ac:dyDescent="0.25">
      <c r="A4691" s="2" t="s">
        <v>38</v>
      </c>
      <c r="B4691" s="6">
        <v>45803</v>
      </c>
      <c r="C4691" s="2" t="s">
        <v>19</v>
      </c>
      <c r="D4691" s="8">
        <v>-84</v>
      </c>
      <c r="E4691" s="8">
        <f>E4690+(0-84)</f>
        <v>8613804.6899995953</v>
      </c>
    </row>
    <row r="4692" spans="1:5" x14ac:dyDescent="0.25">
      <c r="A4692" s="2" t="s">
        <v>38</v>
      </c>
      <c r="B4692" s="6">
        <v>45803</v>
      </c>
      <c r="C4692" s="2" t="s">
        <v>19</v>
      </c>
      <c r="D4692" s="8">
        <v>-48</v>
      </c>
      <c r="E4692" s="8">
        <f>E4691+(0-48)</f>
        <v>8613756.6899995953</v>
      </c>
    </row>
    <row r="4693" spans="1:5" x14ac:dyDescent="0.25">
      <c r="A4693" s="2" t="s">
        <v>38</v>
      </c>
      <c r="B4693" s="6">
        <v>45803</v>
      </c>
      <c r="C4693" s="2" t="s">
        <v>53</v>
      </c>
      <c r="D4693" s="8">
        <v>-53.75</v>
      </c>
      <c r="E4693" s="8">
        <f>E4692+(0-53.75)</f>
        <v>8613702.9399995953</v>
      </c>
    </row>
    <row r="4694" spans="1:5" x14ac:dyDescent="0.25">
      <c r="A4694" s="2" t="s">
        <v>38</v>
      </c>
      <c r="B4694" s="6">
        <v>45803</v>
      </c>
      <c r="C4694" s="2" t="s">
        <v>53</v>
      </c>
      <c r="D4694" s="8">
        <v>-50</v>
      </c>
      <c r="E4694" s="8">
        <f>E4693+(0-50)</f>
        <v>8613652.9399995953</v>
      </c>
    </row>
    <row r="4695" spans="1:5" x14ac:dyDescent="0.25">
      <c r="A4695" s="2" t="s">
        <v>38</v>
      </c>
      <c r="B4695" s="6">
        <v>45803</v>
      </c>
      <c r="C4695" s="2" t="s">
        <v>53</v>
      </c>
      <c r="D4695" s="8">
        <v>-550</v>
      </c>
      <c r="E4695" s="8">
        <f>E4694+(0-550)</f>
        <v>8613102.9399995953</v>
      </c>
    </row>
    <row r="4696" spans="1:5" x14ac:dyDescent="0.25">
      <c r="A4696" s="2" t="s">
        <v>38</v>
      </c>
      <c r="B4696" s="6">
        <v>45804</v>
      </c>
      <c r="C4696" s="2" t="s">
        <v>53</v>
      </c>
      <c r="D4696" s="8">
        <v>-53.75</v>
      </c>
      <c r="E4696" s="8">
        <f>E4695+(0-53.75)</f>
        <v>8613049.1899995953</v>
      </c>
    </row>
    <row r="4697" spans="1:5" x14ac:dyDescent="0.25">
      <c r="A4697" s="2" t="s">
        <v>38</v>
      </c>
      <c r="B4697" s="6">
        <v>45804</v>
      </c>
      <c r="C4697" s="2" t="s">
        <v>53</v>
      </c>
      <c r="D4697" s="8">
        <v>-26.88</v>
      </c>
      <c r="E4697" s="8">
        <f>E4696+(0-26.88)</f>
        <v>8613022.3099995945</v>
      </c>
    </row>
    <row r="4698" spans="1:5" x14ac:dyDescent="0.25">
      <c r="A4698" s="2" t="s">
        <v>38</v>
      </c>
      <c r="B4698" s="6">
        <v>45804</v>
      </c>
      <c r="C4698" s="2" t="s">
        <v>53</v>
      </c>
      <c r="D4698" s="8">
        <v>-26.88</v>
      </c>
      <c r="E4698" s="8">
        <f>E4697+(0-26.88)</f>
        <v>8612995.4299995936</v>
      </c>
    </row>
    <row r="4699" spans="1:5" x14ac:dyDescent="0.25">
      <c r="A4699" s="2" t="s">
        <v>38</v>
      </c>
      <c r="B4699" s="6">
        <v>45804</v>
      </c>
      <c r="C4699" s="2" t="s">
        <v>53</v>
      </c>
      <c r="D4699" s="8">
        <v>-53.75</v>
      </c>
      <c r="E4699" s="8">
        <f>E4698+(0-53.75)</f>
        <v>8612941.6799995936</v>
      </c>
    </row>
    <row r="4700" spans="1:5" x14ac:dyDescent="0.25">
      <c r="A4700" s="2" t="s">
        <v>38</v>
      </c>
      <c r="B4700" s="6">
        <v>45804</v>
      </c>
      <c r="C4700" s="2" t="s">
        <v>53</v>
      </c>
      <c r="D4700" s="8">
        <v>-53.75</v>
      </c>
      <c r="E4700" s="8">
        <f>E4699+(0-53.75)</f>
        <v>8612887.9299995936</v>
      </c>
    </row>
    <row r="4701" spans="1:5" x14ac:dyDescent="0.25">
      <c r="A4701" s="2" t="s">
        <v>38</v>
      </c>
      <c r="B4701" s="6">
        <v>45804</v>
      </c>
      <c r="C4701" s="2" t="s">
        <v>53</v>
      </c>
      <c r="D4701" s="8">
        <v>-53.75</v>
      </c>
      <c r="E4701" s="8">
        <f>E4700+(0-53.75)</f>
        <v>8612834.1799995936</v>
      </c>
    </row>
    <row r="4702" spans="1:5" x14ac:dyDescent="0.25">
      <c r="A4702" s="2" t="s">
        <v>38</v>
      </c>
      <c r="B4702" s="6">
        <v>45804</v>
      </c>
      <c r="C4702" s="2" t="s">
        <v>53</v>
      </c>
      <c r="D4702" s="8">
        <v>-26.88</v>
      </c>
      <c r="E4702" s="8">
        <f>E4701+(0-26.88)</f>
        <v>8612807.2999995928</v>
      </c>
    </row>
    <row r="4703" spans="1:5" x14ac:dyDescent="0.25">
      <c r="A4703" s="2" t="s">
        <v>38</v>
      </c>
      <c r="B4703" s="6">
        <v>45804</v>
      </c>
      <c r="C4703" s="2" t="s">
        <v>53</v>
      </c>
      <c r="D4703" s="8">
        <v>-26.88</v>
      </c>
      <c r="E4703" s="8">
        <f>E4702+(0-26.88)</f>
        <v>8612780.419999592</v>
      </c>
    </row>
    <row r="4704" spans="1:5" x14ac:dyDescent="0.25">
      <c r="A4704" s="2" t="s">
        <v>38</v>
      </c>
      <c r="B4704" s="6">
        <v>45804</v>
      </c>
      <c r="C4704" s="2" t="s">
        <v>53</v>
      </c>
      <c r="D4704" s="8">
        <v>-200</v>
      </c>
      <c r="E4704" s="8">
        <f>E4703+(0-200)</f>
        <v>8612580.419999592</v>
      </c>
    </row>
    <row r="4705" spans="1:5" x14ac:dyDescent="0.25">
      <c r="A4705" s="2" t="s">
        <v>38</v>
      </c>
      <c r="B4705" s="6">
        <v>45805</v>
      </c>
      <c r="C4705" s="2" t="s">
        <v>19</v>
      </c>
      <c r="D4705" s="8">
        <v>-72</v>
      </c>
      <c r="E4705" s="8">
        <f>E4704+(0-72)</f>
        <v>8612508.419999592</v>
      </c>
    </row>
    <row r="4706" spans="1:5" x14ac:dyDescent="0.25">
      <c r="A4706" s="2" t="s">
        <v>38</v>
      </c>
      <c r="B4706" s="6">
        <v>45805</v>
      </c>
      <c r="C4706" s="2" t="s">
        <v>19</v>
      </c>
      <c r="D4706" s="8">
        <v>-54</v>
      </c>
      <c r="E4706" s="8">
        <f>E4705+(0-54)</f>
        <v>8612454.419999592</v>
      </c>
    </row>
    <row r="4707" spans="1:5" x14ac:dyDescent="0.25">
      <c r="A4707" s="2" t="s">
        <v>38</v>
      </c>
      <c r="B4707" s="6">
        <v>45805</v>
      </c>
      <c r="C4707" s="2" t="s">
        <v>53</v>
      </c>
      <c r="D4707" s="8">
        <v>-53.75</v>
      </c>
      <c r="E4707" s="8">
        <f>E4706+(0-53.75)</f>
        <v>8612400.669999592</v>
      </c>
    </row>
    <row r="4708" spans="1:5" x14ac:dyDescent="0.25">
      <c r="A4708" s="2" t="s">
        <v>38</v>
      </c>
      <c r="B4708" s="6">
        <v>45805</v>
      </c>
      <c r="C4708" s="2" t="s">
        <v>53</v>
      </c>
      <c r="D4708" s="8">
        <v>-53.75</v>
      </c>
      <c r="E4708" s="8">
        <f>E4707+(0-53.75)</f>
        <v>8612346.919999592</v>
      </c>
    </row>
    <row r="4709" spans="1:5" x14ac:dyDescent="0.25">
      <c r="A4709" s="2" t="s">
        <v>38</v>
      </c>
      <c r="B4709" s="6">
        <v>45805</v>
      </c>
      <c r="C4709" s="2" t="s">
        <v>19</v>
      </c>
      <c r="D4709" s="8">
        <v>-6</v>
      </c>
      <c r="E4709" s="8">
        <f>E4708+(0-6)</f>
        <v>8612340.919999592</v>
      </c>
    </row>
    <row r="4710" spans="1:5" x14ac:dyDescent="0.25">
      <c r="A4710" s="2" t="s">
        <v>38</v>
      </c>
      <c r="B4710" s="6">
        <v>45805</v>
      </c>
      <c r="C4710" s="2" t="s">
        <v>19</v>
      </c>
      <c r="D4710" s="8">
        <v>-84</v>
      </c>
      <c r="E4710" s="8">
        <f>E4709+(0-84)</f>
        <v>8612256.919999592</v>
      </c>
    </row>
    <row r="4711" spans="1:5" x14ac:dyDescent="0.25">
      <c r="A4711" s="2" t="s">
        <v>38</v>
      </c>
      <c r="B4711" s="6">
        <v>45805</v>
      </c>
      <c r="C4711" s="2" t="s">
        <v>53</v>
      </c>
      <c r="D4711" s="8">
        <v>-50</v>
      </c>
      <c r="E4711" s="8">
        <f>E4710+(0-50)</f>
        <v>8612206.919999592</v>
      </c>
    </row>
    <row r="4712" spans="1:5" x14ac:dyDescent="0.25">
      <c r="A4712" s="2" t="s">
        <v>38</v>
      </c>
      <c r="B4712" s="6">
        <v>45805</v>
      </c>
      <c r="C4712" s="2" t="s">
        <v>53</v>
      </c>
      <c r="D4712" s="8">
        <v>-650</v>
      </c>
      <c r="E4712" s="8">
        <f>E4711+(0-650)</f>
        <v>8611556.919999592</v>
      </c>
    </row>
    <row r="4713" spans="1:5" x14ac:dyDescent="0.25">
      <c r="A4713" s="2" t="s">
        <v>38</v>
      </c>
      <c r="B4713" s="6">
        <v>45805</v>
      </c>
      <c r="C4713" s="2" t="s">
        <v>178</v>
      </c>
      <c r="D4713" s="8">
        <v>-186</v>
      </c>
      <c r="E4713" s="8">
        <f>E4712+(0-186)</f>
        <v>8611370.919999592</v>
      </c>
    </row>
    <row r="4714" spans="1:5" x14ac:dyDescent="0.25">
      <c r="A4714" s="2" t="s">
        <v>38</v>
      </c>
      <c r="B4714" s="6">
        <v>45805</v>
      </c>
      <c r="C4714" s="2" t="s">
        <v>53</v>
      </c>
      <c r="D4714" s="8">
        <v>-53.75</v>
      </c>
      <c r="E4714" s="8">
        <f>E4713+(0-53.75)</f>
        <v>8611317.169999592</v>
      </c>
    </row>
    <row r="4715" spans="1:5" x14ac:dyDescent="0.25">
      <c r="A4715" s="2" t="s">
        <v>38</v>
      </c>
      <c r="B4715" s="6">
        <v>45806</v>
      </c>
      <c r="C4715" s="2" t="s">
        <v>53</v>
      </c>
      <c r="D4715" s="8">
        <v>-26.88</v>
      </c>
      <c r="E4715" s="8">
        <f>E4714+(0-26.88)</f>
        <v>8611290.2899995912</v>
      </c>
    </row>
    <row r="4716" spans="1:5" x14ac:dyDescent="0.25">
      <c r="A4716" s="2" t="s">
        <v>38</v>
      </c>
      <c r="B4716" s="6">
        <v>45806</v>
      </c>
      <c r="C4716" s="2" t="s">
        <v>53</v>
      </c>
      <c r="D4716" s="8">
        <v>-200</v>
      </c>
      <c r="E4716" s="8">
        <f>E4715+(0-200)</f>
        <v>8611090.2899995912</v>
      </c>
    </row>
    <row r="4717" spans="1:5" x14ac:dyDescent="0.25">
      <c r="A4717" s="2" t="s">
        <v>38</v>
      </c>
      <c r="B4717" s="6">
        <v>45807</v>
      </c>
      <c r="C4717" s="2" t="s">
        <v>19</v>
      </c>
      <c r="D4717" s="8">
        <v>-108</v>
      </c>
      <c r="E4717" s="8">
        <f>E4716+(0-108)</f>
        <v>8610982.2899995912</v>
      </c>
    </row>
    <row r="4718" spans="1:5" x14ac:dyDescent="0.25">
      <c r="A4718" s="2" t="s">
        <v>38</v>
      </c>
      <c r="B4718" s="6">
        <v>45807</v>
      </c>
      <c r="C4718" s="2" t="s">
        <v>215</v>
      </c>
      <c r="D4718" s="8">
        <v>-78</v>
      </c>
      <c r="E4718" s="8">
        <f>E4717+(0-78)</f>
        <v>8610904.2899995912</v>
      </c>
    </row>
    <row r="4719" spans="1:5" x14ac:dyDescent="0.25">
      <c r="A4719" s="2" t="s">
        <v>38</v>
      </c>
      <c r="B4719" s="6">
        <v>45807</v>
      </c>
      <c r="C4719" s="2" t="s">
        <v>53</v>
      </c>
      <c r="D4719" s="8">
        <v>-50</v>
      </c>
      <c r="E4719" s="8">
        <f>E4718+(0-50)</f>
        <v>8610854.2899995912</v>
      </c>
    </row>
    <row r="4720" spans="1:5" x14ac:dyDescent="0.25">
      <c r="A4720" s="2" t="s">
        <v>38</v>
      </c>
      <c r="B4720" s="6">
        <v>45807</v>
      </c>
      <c r="C4720" s="2" t="s">
        <v>53</v>
      </c>
      <c r="D4720" s="8">
        <v>-600</v>
      </c>
      <c r="E4720" s="8">
        <f>E4719+(0-600)</f>
        <v>8610254.2899995912</v>
      </c>
    </row>
    <row r="4721" spans="1:5" x14ac:dyDescent="0.25">
      <c r="A4721" s="2" t="s">
        <v>38</v>
      </c>
      <c r="B4721" s="6">
        <v>45807</v>
      </c>
      <c r="C4721" s="2" t="s">
        <v>53</v>
      </c>
      <c r="D4721" s="8">
        <v>-100</v>
      </c>
      <c r="E4721" s="8">
        <f>E4720+(0-100)</f>
        <v>8610154.2899995912</v>
      </c>
    </row>
    <row r="4722" spans="1:5" x14ac:dyDescent="0.25">
      <c r="A4722" s="2" t="s">
        <v>38</v>
      </c>
      <c r="B4722" s="6">
        <v>45810</v>
      </c>
      <c r="C4722" s="2" t="s">
        <v>53</v>
      </c>
      <c r="D4722" s="8">
        <v>-50</v>
      </c>
      <c r="E4722" s="8">
        <f>E4721+(0-50)</f>
        <v>8610104.2899995912</v>
      </c>
    </row>
    <row r="4723" spans="1:5" x14ac:dyDescent="0.25">
      <c r="A4723" s="2" t="s">
        <v>38</v>
      </c>
      <c r="B4723" s="6">
        <v>45810</v>
      </c>
      <c r="C4723" s="2" t="s">
        <v>19</v>
      </c>
      <c r="D4723" s="8">
        <v>-78</v>
      </c>
      <c r="E4723" s="8">
        <f>E4722+(0-78)</f>
        <v>8610026.2899995912</v>
      </c>
    </row>
    <row r="4724" spans="1:5" x14ac:dyDescent="0.25">
      <c r="A4724" s="2" t="s">
        <v>38</v>
      </c>
      <c r="B4724" s="6">
        <v>45810</v>
      </c>
      <c r="C4724" s="2" t="s">
        <v>53</v>
      </c>
      <c r="D4724" s="8">
        <v>-26.88</v>
      </c>
      <c r="E4724" s="8">
        <f>E4723+(0-26.88)</f>
        <v>8609999.4099995904</v>
      </c>
    </row>
    <row r="4725" spans="1:5" x14ac:dyDescent="0.25">
      <c r="A4725" s="2" t="s">
        <v>38</v>
      </c>
      <c r="B4725" s="6">
        <v>45810</v>
      </c>
      <c r="C4725" s="2" t="s">
        <v>53</v>
      </c>
      <c r="D4725" s="8">
        <v>-300</v>
      </c>
      <c r="E4725" s="8">
        <f>E4724+(0-300)</f>
        <v>8609699.4099995904</v>
      </c>
    </row>
    <row r="4726" spans="1:5" x14ac:dyDescent="0.25">
      <c r="A4726" s="2" t="s">
        <v>38</v>
      </c>
      <c r="B4726" s="6">
        <v>45810</v>
      </c>
      <c r="C4726" s="2" t="s">
        <v>19</v>
      </c>
      <c r="D4726" s="8">
        <v>-6</v>
      </c>
      <c r="E4726" s="8">
        <f>E4725+(0-6)</f>
        <v>8609693.4099995904</v>
      </c>
    </row>
    <row r="4727" spans="1:5" x14ac:dyDescent="0.25">
      <c r="A4727" s="2" t="s">
        <v>38</v>
      </c>
      <c r="B4727" s="6">
        <v>45811</v>
      </c>
      <c r="C4727" s="2" t="s">
        <v>53</v>
      </c>
      <c r="D4727" s="8">
        <v>-400</v>
      </c>
      <c r="E4727" s="8">
        <f>E4726+(0-400)</f>
        <v>8609293.4099995904</v>
      </c>
    </row>
    <row r="4728" spans="1:5" x14ac:dyDescent="0.25">
      <c r="A4728" s="2" t="s">
        <v>38</v>
      </c>
      <c r="B4728" s="6">
        <v>45812</v>
      </c>
      <c r="C4728" s="2" t="s">
        <v>19</v>
      </c>
      <c r="D4728" s="8">
        <v>-6</v>
      </c>
      <c r="E4728" s="8">
        <f>E4727+(0-6)</f>
        <v>8609287.4099995904</v>
      </c>
    </row>
    <row r="4729" spans="1:5" x14ac:dyDescent="0.25">
      <c r="A4729" s="2" t="s">
        <v>38</v>
      </c>
      <c r="B4729" s="6">
        <v>45812</v>
      </c>
      <c r="C4729" s="2" t="s">
        <v>53</v>
      </c>
      <c r="D4729" s="8">
        <v>-50</v>
      </c>
      <c r="E4729" s="8">
        <f>E4728+(0-50)</f>
        <v>8609237.4099995904</v>
      </c>
    </row>
    <row r="4730" spans="1:5" x14ac:dyDescent="0.25">
      <c r="A4730" s="2" t="s">
        <v>38</v>
      </c>
      <c r="B4730" s="6">
        <v>45812</v>
      </c>
      <c r="C4730" s="2" t="s">
        <v>53</v>
      </c>
      <c r="D4730" s="8">
        <v>-50</v>
      </c>
      <c r="E4730" s="8">
        <f>E4729+(0-50)</f>
        <v>8609187.4099995904</v>
      </c>
    </row>
    <row r="4731" spans="1:5" x14ac:dyDescent="0.25">
      <c r="A4731" s="2" t="s">
        <v>38</v>
      </c>
      <c r="B4731" s="6">
        <v>45812</v>
      </c>
      <c r="C4731" s="2" t="s">
        <v>19</v>
      </c>
      <c r="D4731" s="8">
        <v>-42</v>
      </c>
      <c r="E4731" s="8">
        <f>E4730+(0-42)</f>
        <v>8609145.4099995904</v>
      </c>
    </row>
    <row r="4732" spans="1:5" x14ac:dyDescent="0.25">
      <c r="A4732" s="2" t="s">
        <v>38</v>
      </c>
      <c r="B4732" s="6">
        <v>45812</v>
      </c>
      <c r="C4732" s="2" t="s">
        <v>231</v>
      </c>
      <c r="D4732" s="8">
        <v>-1500</v>
      </c>
      <c r="E4732" s="8">
        <f>E4731+(0-1500)</f>
        <v>8607645.4099995904</v>
      </c>
    </row>
    <row r="4733" spans="1:5" x14ac:dyDescent="0.25">
      <c r="A4733" s="2" t="s">
        <v>38</v>
      </c>
      <c r="B4733" s="6">
        <v>45812</v>
      </c>
      <c r="C4733" s="2" t="s">
        <v>181</v>
      </c>
      <c r="D4733" s="8">
        <v>-112.5</v>
      </c>
      <c r="E4733" s="8">
        <f>E4732+(0-112.5)</f>
        <v>8607532.9099995904</v>
      </c>
    </row>
    <row r="4734" spans="1:5" x14ac:dyDescent="0.25">
      <c r="A4734" s="2" t="s">
        <v>38</v>
      </c>
      <c r="B4734" s="6">
        <v>45812</v>
      </c>
      <c r="C4734" s="2" t="s">
        <v>53</v>
      </c>
      <c r="D4734" s="8">
        <v>-53.75</v>
      </c>
      <c r="E4734" s="8">
        <f>E4733+(0-53.75)</f>
        <v>8607479.1599995904</v>
      </c>
    </row>
    <row r="4735" spans="1:5" x14ac:dyDescent="0.25">
      <c r="A4735" s="2" t="s">
        <v>38</v>
      </c>
      <c r="B4735" s="6">
        <v>45812</v>
      </c>
      <c r="C4735" s="2" t="s">
        <v>53</v>
      </c>
      <c r="D4735" s="8">
        <v>-600</v>
      </c>
      <c r="E4735" s="8">
        <f>E4734+(0-600)</f>
        <v>8606879.1599995904</v>
      </c>
    </row>
    <row r="4736" spans="1:5" x14ac:dyDescent="0.25">
      <c r="A4736" s="2" t="s">
        <v>38</v>
      </c>
      <c r="B4736" s="6">
        <v>45812</v>
      </c>
      <c r="C4736" s="2" t="s">
        <v>53</v>
      </c>
      <c r="D4736" s="8">
        <v>-50</v>
      </c>
      <c r="E4736" s="8">
        <f>E4735+(0-50)</f>
        <v>8606829.1599995904</v>
      </c>
    </row>
    <row r="4737" spans="1:5" x14ac:dyDescent="0.25">
      <c r="A4737" s="2" t="s">
        <v>38</v>
      </c>
      <c r="B4737" s="6">
        <v>45813</v>
      </c>
      <c r="C4737" s="2" t="s">
        <v>19</v>
      </c>
      <c r="D4737" s="8">
        <v>-72</v>
      </c>
      <c r="E4737" s="8">
        <f>E4736+(0-72)</f>
        <v>8606757.1599995904</v>
      </c>
    </row>
    <row r="4738" spans="1:5" x14ac:dyDescent="0.25">
      <c r="A4738" s="2" t="s">
        <v>38</v>
      </c>
      <c r="B4738" s="6">
        <v>45813</v>
      </c>
      <c r="C4738" s="2" t="s">
        <v>53</v>
      </c>
      <c r="D4738" s="8">
        <v>-53.75</v>
      </c>
      <c r="E4738" s="8">
        <f>E4737+(0-53.75)</f>
        <v>8606703.4099995904</v>
      </c>
    </row>
    <row r="4739" spans="1:5" x14ac:dyDescent="0.25">
      <c r="A4739" s="2" t="s">
        <v>38</v>
      </c>
      <c r="B4739" s="6">
        <v>45813</v>
      </c>
      <c r="C4739" s="2" t="s">
        <v>53</v>
      </c>
      <c r="D4739" s="8">
        <v>-450</v>
      </c>
      <c r="E4739" s="8">
        <f>E4738+(0-450)</f>
        <v>8606253.4099995904</v>
      </c>
    </row>
    <row r="4740" spans="1:5" x14ac:dyDescent="0.25">
      <c r="A4740" s="2" t="s">
        <v>38</v>
      </c>
      <c r="B4740" s="6">
        <v>45818</v>
      </c>
      <c r="C4740" s="2" t="s">
        <v>53</v>
      </c>
      <c r="D4740" s="8">
        <v>-53.75</v>
      </c>
      <c r="E4740" s="8">
        <f>E4739+(0-53.75)</f>
        <v>8606199.6599995904</v>
      </c>
    </row>
    <row r="4741" spans="1:5" x14ac:dyDescent="0.25">
      <c r="A4741" s="2" t="s">
        <v>38</v>
      </c>
      <c r="B4741" s="6">
        <v>45818</v>
      </c>
      <c r="C4741" s="2" t="s">
        <v>19</v>
      </c>
      <c r="D4741" s="8">
        <v>-114</v>
      </c>
      <c r="E4741" s="8">
        <f>E4740+(0-114)</f>
        <v>8606085.6599995904</v>
      </c>
    </row>
    <row r="4742" spans="1:5" x14ac:dyDescent="0.25">
      <c r="A4742" s="2" t="s">
        <v>38</v>
      </c>
      <c r="B4742" s="6">
        <v>45818</v>
      </c>
      <c r="C4742" s="2" t="s">
        <v>19</v>
      </c>
      <c r="D4742" s="8">
        <v>-72</v>
      </c>
      <c r="E4742" s="8">
        <f>E4741+(0-72)</f>
        <v>8606013.6599995904</v>
      </c>
    </row>
    <row r="4743" spans="1:5" x14ac:dyDescent="0.25">
      <c r="A4743" s="2" t="s">
        <v>38</v>
      </c>
      <c r="B4743" s="6">
        <v>45818</v>
      </c>
      <c r="C4743" s="2" t="s">
        <v>19</v>
      </c>
      <c r="D4743" s="8">
        <v>-6</v>
      </c>
      <c r="E4743" s="8">
        <f>E4742+(0-6)</f>
        <v>8606007.6599995904</v>
      </c>
    </row>
    <row r="4744" spans="1:5" x14ac:dyDescent="0.25">
      <c r="A4744" s="2" t="s">
        <v>38</v>
      </c>
      <c r="B4744" s="6">
        <v>45818</v>
      </c>
      <c r="C4744" s="2" t="s">
        <v>53</v>
      </c>
      <c r="D4744" s="8">
        <v>-26.88</v>
      </c>
      <c r="E4744" s="8">
        <f>E4743+(0-26.88)</f>
        <v>8605980.7799995895</v>
      </c>
    </row>
    <row r="4745" spans="1:5" x14ac:dyDescent="0.25">
      <c r="A4745" s="2" t="s">
        <v>38</v>
      </c>
      <c r="B4745" s="6">
        <v>45818</v>
      </c>
      <c r="C4745" s="2" t="s">
        <v>19</v>
      </c>
      <c r="D4745" s="8">
        <v>-24</v>
      </c>
      <c r="E4745" s="8">
        <f>E4744+(0-24)</f>
        <v>8605956.7799995895</v>
      </c>
    </row>
    <row r="4746" spans="1:5" x14ac:dyDescent="0.25">
      <c r="A4746" s="2" t="s">
        <v>38</v>
      </c>
      <c r="B4746" s="6">
        <v>45818</v>
      </c>
      <c r="C4746" s="2" t="s">
        <v>53</v>
      </c>
      <c r="D4746" s="8">
        <v>-53.75</v>
      </c>
      <c r="E4746" s="8">
        <f>E4745+(0-53.75)</f>
        <v>8605903.0299995895</v>
      </c>
    </row>
    <row r="4747" spans="1:5" x14ac:dyDescent="0.25">
      <c r="A4747" s="2" t="s">
        <v>38</v>
      </c>
      <c r="B4747" s="6">
        <v>45818</v>
      </c>
      <c r="C4747" s="2" t="s">
        <v>53</v>
      </c>
      <c r="D4747" s="8">
        <v>-26.88</v>
      </c>
      <c r="E4747" s="8">
        <f>E4746+(0-26.88)</f>
        <v>8605876.1499995887</v>
      </c>
    </row>
    <row r="4748" spans="1:5" x14ac:dyDescent="0.25">
      <c r="A4748" s="2" t="s">
        <v>38</v>
      </c>
      <c r="B4748" s="6">
        <v>45818</v>
      </c>
      <c r="C4748" s="2" t="s">
        <v>53</v>
      </c>
      <c r="D4748" s="8">
        <v>-26.88</v>
      </c>
      <c r="E4748" s="8">
        <f>E4747+(0-26.88)</f>
        <v>8605849.2699995879</v>
      </c>
    </row>
    <row r="4749" spans="1:5" x14ac:dyDescent="0.25">
      <c r="A4749" s="2" t="s">
        <v>38</v>
      </c>
      <c r="B4749" s="6">
        <v>45818</v>
      </c>
      <c r="C4749" s="2" t="s">
        <v>53</v>
      </c>
      <c r="D4749" s="8">
        <v>-53.75</v>
      </c>
      <c r="E4749" s="8">
        <f>E4748+(0-53.75)</f>
        <v>8605795.5199995879</v>
      </c>
    </row>
    <row r="4750" spans="1:5" x14ac:dyDescent="0.25">
      <c r="A4750" s="2" t="s">
        <v>38</v>
      </c>
      <c r="B4750" s="6">
        <v>45818</v>
      </c>
      <c r="C4750" s="2" t="s">
        <v>53</v>
      </c>
      <c r="D4750" s="8">
        <v>-53.75</v>
      </c>
      <c r="E4750" s="8">
        <f>E4749+(0-53.75)</f>
        <v>8605741.7699995879</v>
      </c>
    </row>
    <row r="4751" spans="1:5" x14ac:dyDescent="0.25">
      <c r="A4751" s="2" t="s">
        <v>38</v>
      </c>
      <c r="B4751" s="6">
        <v>45818</v>
      </c>
      <c r="C4751" s="2" t="s">
        <v>53</v>
      </c>
      <c r="D4751" s="8">
        <v>-550</v>
      </c>
      <c r="E4751" s="8">
        <f>E4750+(0-550)</f>
        <v>8605191.7699995879</v>
      </c>
    </row>
    <row r="4752" spans="1:5" x14ac:dyDescent="0.25">
      <c r="A4752" s="2" t="s">
        <v>38</v>
      </c>
      <c r="B4752" s="6">
        <v>45819</v>
      </c>
      <c r="C4752" s="2" t="s">
        <v>53</v>
      </c>
      <c r="D4752" s="8">
        <v>-53.75</v>
      </c>
      <c r="E4752" s="8">
        <f>E4751+(0-53.75)</f>
        <v>8605138.0199995879</v>
      </c>
    </row>
    <row r="4753" spans="1:5" x14ac:dyDescent="0.25">
      <c r="A4753" s="2" t="s">
        <v>38</v>
      </c>
      <c r="B4753" s="6">
        <v>45819</v>
      </c>
      <c r="C4753" s="2" t="s">
        <v>53</v>
      </c>
      <c r="D4753" s="8">
        <v>-53.75</v>
      </c>
      <c r="E4753" s="8">
        <f>E4752+(0-53.75)</f>
        <v>8605084.2699995879</v>
      </c>
    </row>
    <row r="4754" spans="1:5" x14ac:dyDescent="0.25">
      <c r="A4754" s="2" t="s">
        <v>38</v>
      </c>
      <c r="B4754" s="6">
        <v>45819</v>
      </c>
      <c r="C4754" s="2" t="s">
        <v>53</v>
      </c>
      <c r="D4754" s="8">
        <v>-300</v>
      </c>
      <c r="E4754" s="8">
        <f>E4753+(0-300)</f>
        <v>8604784.2699995879</v>
      </c>
    </row>
    <row r="4755" spans="1:5" x14ac:dyDescent="0.25">
      <c r="A4755" s="2" t="s">
        <v>38</v>
      </c>
      <c r="B4755" s="6">
        <v>45821</v>
      </c>
      <c r="C4755" s="2" t="s">
        <v>53</v>
      </c>
      <c r="D4755" s="8">
        <v>-53.75</v>
      </c>
      <c r="E4755" s="8">
        <f>E4754+(0-53.75)</f>
        <v>8604730.5199995879</v>
      </c>
    </row>
    <row r="4756" spans="1:5" x14ac:dyDescent="0.25">
      <c r="A4756" s="2" t="s">
        <v>38</v>
      </c>
      <c r="B4756" s="6">
        <v>45821</v>
      </c>
      <c r="C4756" s="2" t="s">
        <v>53</v>
      </c>
      <c r="D4756" s="8">
        <v>-26.88</v>
      </c>
      <c r="E4756" s="8">
        <f>E4755+(0-26.88)</f>
        <v>8604703.6399995871</v>
      </c>
    </row>
    <row r="4757" spans="1:5" x14ac:dyDescent="0.25">
      <c r="A4757" s="2" t="s">
        <v>38</v>
      </c>
      <c r="B4757" s="6">
        <v>45821</v>
      </c>
      <c r="C4757" s="2" t="s">
        <v>232</v>
      </c>
      <c r="D4757" s="8">
        <v>-645</v>
      </c>
      <c r="E4757" s="8">
        <f>E4756+(0-645)</f>
        <v>8604058.6399995871</v>
      </c>
    </row>
    <row r="4758" spans="1:5" x14ac:dyDescent="0.25">
      <c r="A4758" s="2" t="s">
        <v>38</v>
      </c>
      <c r="B4758" s="6">
        <v>45821</v>
      </c>
      <c r="C4758" s="2" t="s">
        <v>53</v>
      </c>
      <c r="D4758" s="8">
        <v>-700</v>
      </c>
      <c r="E4758" s="8">
        <f>E4757+(0-700)</f>
        <v>8603358.6399995871</v>
      </c>
    </row>
    <row r="4759" spans="1:5" x14ac:dyDescent="0.25">
      <c r="A4759" s="2" t="s">
        <v>38</v>
      </c>
      <c r="B4759" s="6">
        <v>45821</v>
      </c>
      <c r="C4759" s="2" t="s">
        <v>53</v>
      </c>
      <c r="D4759" s="8">
        <v>-100</v>
      </c>
      <c r="E4759" s="8">
        <f>E4758+(0-100)</f>
        <v>8603258.6399995871</v>
      </c>
    </row>
    <row r="4760" spans="1:5" x14ac:dyDescent="0.25">
      <c r="A4760" s="2" t="s">
        <v>38</v>
      </c>
      <c r="B4760" s="6">
        <v>45824</v>
      </c>
      <c r="C4760" s="2" t="s">
        <v>53</v>
      </c>
      <c r="D4760" s="8">
        <v>-53.75</v>
      </c>
      <c r="E4760" s="8">
        <f>E4759+(0-53.75)</f>
        <v>8603204.8899995871</v>
      </c>
    </row>
    <row r="4761" spans="1:5" x14ac:dyDescent="0.25">
      <c r="A4761" s="2" t="s">
        <v>38</v>
      </c>
      <c r="B4761" s="6">
        <v>45824</v>
      </c>
      <c r="C4761" s="2" t="s">
        <v>53</v>
      </c>
      <c r="D4761" s="8">
        <v>-26.88</v>
      </c>
      <c r="E4761" s="8">
        <f>E4760+(0-26.88)</f>
        <v>8603178.0099995863</v>
      </c>
    </row>
    <row r="4762" spans="1:5" x14ac:dyDescent="0.25">
      <c r="A4762" s="2" t="s">
        <v>38</v>
      </c>
      <c r="B4762" s="6">
        <v>45824</v>
      </c>
      <c r="C4762" s="2" t="s">
        <v>53</v>
      </c>
      <c r="D4762" s="8">
        <v>-53.75</v>
      </c>
      <c r="E4762" s="8">
        <f>E4761+(0-53.75)</f>
        <v>8603124.2599995863</v>
      </c>
    </row>
    <row r="4763" spans="1:5" x14ac:dyDescent="0.25">
      <c r="A4763" s="2" t="s">
        <v>38</v>
      </c>
      <c r="B4763" s="6">
        <v>45824</v>
      </c>
      <c r="C4763" s="2" t="s">
        <v>53</v>
      </c>
      <c r="D4763" s="8">
        <v>-53.75</v>
      </c>
      <c r="E4763" s="8">
        <f>E4762+(0-53.75)</f>
        <v>8603070.5099995863</v>
      </c>
    </row>
    <row r="4764" spans="1:5" x14ac:dyDescent="0.25">
      <c r="A4764" s="2" t="s">
        <v>38</v>
      </c>
      <c r="B4764" s="6">
        <v>45824</v>
      </c>
      <c r="C4764" s="2" t="s">
        <v>53</v>
      </c>
      <c r="D4764" s="8">
        <v>-500</v>
      </c>
      <c r="E4764" s="8">
        <f>E4763+(0-500)</f>
        <v>8602570.5099995863</v>
      </c>
    </row>
    <row r="4765" spans="1:5" x14ac:dyDescent="0.25">
      <c r="A4765" s="2" t="s">
        <v>38</v>
      </c>
      <c r="B4765" s="6">
        <v>45825</v>
      </c>
      <c r="C4765" s="2" t="s">
        <v>53</v>
      </c>
      <c r="D4765" s="8">
        <v>-53.75</v>
      </c>
      <c r="E4765" s="8">
        <f>E4764+(0-53.75)</f>
        <v>8602516.7599995863</v>
      </c>
    </row>
    <row r="4766" spans="1:5" x14ac:dyDescent="0.25">
      <c r="A4766" s="2" t="s">
        <v>38</v>
      </c>
      <c r="B4766" s="6">
        <v>45825</v>
      </c>
      <c r="C4766" s="2" t="s">
        <v>53</v>
      </c>
      <c r="D4766" s="8">
        <v>-500</v>
      </c>
      <c r="E4766" s="8">
        <f>E4765+(0-500)</f>
        <v>8602016.7599995863</v>
      </c>
    </row>
    <row r="4767" spans="1:5" x14ac:dyDescent="0.25">
      <c r="A4767" s="2" t="s">
        <v>38</v>
      </c>
      <c r="B4767" s="6">
        <v>45826</v>
      </c>
      <c r="C4767" s="2" t="s">
        <v>19</v>
      </c>
      <c r="D4767" s="8">
        <v>-24</v>
      </c>
      <c r="E4767" s="8">
        <f>E4766+(0-24)</f>
        <v>8601992.7599995863</v>
      </c>
    </row>
    <row r="4768" spans="1:5" x14ac:dyDescent="0.25">
      <c r="A4768" s="2" t="s">
        <v>38</v>
      </c>
      <c r="B4768" s="6">
        <v>45826</v>
      </c>
      <c r="C4768" s="2" t="s">
        <v>53</v>
      </c>
      <c r="D4768" s="8">
        <v>-26.88</v>
      </c>
      <c r="E4768" s="8">
        <f>E4767+(0-26.88)</f>
        <v>8601965.8799995854</v>
      </c>
    </row>
    <row r="4769" spans="1:5" x14ac:dyDescent="0.25">
      <c r="A4769" s="2" t="s">
        <v>38</v>
      </c>
      <c r="B4769" s="6">
        <v>45826</v>
      </c>
      <c r="C4769" s="2" t="s">
        <v>53</v>
      </c>
      <c r="D4769" s="8">
        <v>-53.75</v>
      </c>
      <c r="E4769" s="8">
        <f>E4768+(0-53.75)</f>
        <v>8601912.1299995854</v>
      </c>
    </row>
    <row r="4770" spans="1:5" x14ac:dyDescent="0.25">
      <c r="A4770" s="2" t="s">
        <v>38</v>
      </c>
      <c r="B4770" s="6">
        <v>45826</v>
      </c>
      <c r="C4770" s="2" t="s">
        <v>19</v>
      </c>
      <c r="D4770" s="8">
        <v>-102</v>
      </c>
      <c r="E4770" s="8">
        <f>E4769+(0-102)</f>
        <v>8601810.1299995854</v>
      </c>
    </row>
    <row r="4771" spans="1:5" x14ac:dyDescent="0.25">
      <c r="A4771" s="2" t="s">
        <v>38</v>
      </c>
      <c r="B4771" s="6">
        <v>45826</v>
      </c>
      <c r="C4771" s="2" t="s">
        <v>19</v>
      </c>
      <c r="D4771" s="8">
        <v>-72</v>
      </c>
      <c r="E4771" s="8">
        <f>E4770+(0-72)</f>
        <v>8601738.1299995854</v>
      </c>
    </row>
    <row r="4772" spans="1:5" x14ac:dyDescent="0.25">
      <c r="A4772" s="2" t="s">
        <v>38</v>
      </c>
      <c r="B4772" s="6">
        <v>45826</v>
      </c>
      <c r="C4772" s="2" t="s">
        <v>53</v>
      </c>
      <c r="D4772" s="8">
        <v>-50</v>
      </c>
      <c r="E4772" s="8">
        <f>E4771+(0-50)</f>
        <v>8601688.1299995854</v>
      </c>
    </row>
    <row r="4773" spans="1:5" x14ac:dyDescent="0.25">
      <c r="A4773" s="2" t="s">
        <v>38</v>
      </c>
      <c r="B4773" s="6">
        <v>45826</v>
      </c>
      <c r="C4773" s="2" t="s">
        <v>53</v>
      </c>
      <c r="D4773" s="8">
        <v>-550</v>
      </c>
      <c r="E4773" s="8">
        <f>E4772+(0-550)</f>
        <v>8601138.1299995854</v>
      </c>
    </row>
    <row r="4774" spans="1:5" x14ac:dyDescent="0.25">
      <c r="A4774" s="2" t="s">
        <v>38</v>
      </c>
      <c r="B4774" s="6">
        <v>45826</v>
      </c>
      <c r="C4774" s="2" t="s">
        <v>53</v>
      </c>
      <c r="D4774" s="8">
        <v>-53.75</v>
      </c>
      <c r="E4774" s="8">
        <f>E4773+(0-53.75)</f>
        <v>8601084.3799995854</v>
      </c>
    </row>
    <row r="4775" spans="1:5" x14ac:dyDescent="0.25">
      <c r="A4775" s="2" t="s">
        <v>38</v>
      </c>
      <c r="B4775" s="6">
        <v>45826</v>
      </c>
      <c r="C4775" s="2" t="s">
        <v>19</v>
      </c>
      <c r="D4775" s="8">
        <v>-48</v>
      </c>
      <c r="E4775" s="8">
        <f>E4774+(0-48)</f>
        <v>8601036.3799995854</v>
      </c>
    </row>
    <row r="4776" spans="1:5" x14ac:dyDescent="0.25">
      <c r="A4776" s="2" t="s">
        <v>38</v>
      </c>
      <c r="B4776" s="6">
        <v>45827</v>
      </c>
      <c r="C4776" s="2" t="s">
        <v>53</v>
      </c>
      <c r="D4776" s="8">
        <v>-53.75</v>
      </c>
      <c r="E4776" s="8">
        <f>E4775+(0-53.75)</f>
        <v>8600982.6299995854</v>
      </c>
    </row>
    <row r="4777" spans="1:5" x14ac:dyDescent="0.25">
      <c r="A4777" s="2" t="s">
        <v>38</v>
      </c>
      <c r="B4777" s="6">
        <v>45827</v>
      </c>
      <c r="C4777" s="2" t="s">
        <v>53</v>
      </c>
      <c r="D4777" s="8">
        <v>-550</v>
      </c>
      <c r="E4777" s="8">
        <f>E4776+(0-550)</f>
        <v>8600432.6299995854</v>
      </c>
    </row>
    <row r="4778" spans="1:5" x14ac:dyDescent="0.25">
      <c r="A4778" s="2" t="s">
        <v>38</v>
      </c>
      <c r="B4778" s="6">
        <v>45827</v>
      </c>
      <c r="C4778" s="2" t="s">
        <v>53</v>
      </c>
      <c r="D4778" s="8">
        <v>-50</v>
      </c>
      <c r="E4778" s="8">
        <f>E4777+(0-50)</f>
        <v>8600382.6299995854</v>
      </c>
    </row>
    <row r="4779" spans="1:5" x14ac:dyDescent="0.25">
      <c r="A4779" s="2" t="s">
        <v>38</v>
      </c>
      <c r="B4779" s="6">
        <v>45828</v>
      </c>
      <c r="C4779" s="2" t="s">
        <v>53</v>
      </c>
      <c r="D4779" s="8">
        <v>-500</v>
      </c>
      <c r="E4779" s="8">
        <f>E4778+(0-500)</f>
        <v>8599882.6299995854</v>
      </c>
    </row>
    <row r="4780" spans="1:5" x14ac:dyDescent="0.25">
      <c r="A4780" s="2" t="s">
        <v>38</v>
      </c>
      <c r="B4780" s="6">
        <v>45831</v>
      </c>
      <c r="C4780" s="2" t="s">
        <v>53</v>
      </c>
      <c r="D4780" s="8">
        <v>-26.88</v>
      </c>
      <c r="E4780" s="8">
        <f>E4779+(0-26.88)</f>
        <v>8599855.7499995846</v>
      </c>
    </row>
    <row r="4781" spans="1:5" x14ac:dyDescent="0.25">
      <c r="A4781" s="2" t="s">
        <v>38</v>
      </c>
      <c r="B4781" s="6">
        <v>45831</v>
      </c>
      <c r="C4781" s="2" t="s">
        <v>53</v>
      </c>
      <c r="D4781" s="8">
        <v>-53.75</v>
      </c>
      <c r="E4781" s="8">
        <f>E4780+(0-53.75)</f>
        <v>8599801.9999995846</v>
      </c>
    </row>
    <row r="4782" spans="1:5" x14ac:dyDescent="0.25">
      <c r="A4782" s="2" t="s">
        <v>38</v>
      </c>
      <c r="B4782" s="6">
        <v>45831</v>
      </c>
      <c r="C4782" s="2" t="s">
        <v>53</v>
      </c>
      <c r="D4782" s="8">
        <v>-250</v>
      </c>
      <c r="E4782" s="8">
        <f>E4781+(0-250)</f>
        <v>8599551.9999995846</v>
      </c>
    </row>
    <row r="4783" spans="1:5" x14ac:dyDescent="0.25">
      <c r="A4783" s="2" t="s">
        <v>38</v>
      </c>
      <c r="B4783" s="6">
        <v>45831</v>
      </c>
      <c r="C4783" s="2" t="s">
        <v>53</v>
      </c>
      <c r="D4783" s="8">
        <v>-50</v>
      </c>
      <c r="E4783" s="8">
        <f>E4782+(0-50)</f>
        <v>8599501.9999995846</v>
      </c>
    </row>
    <row r="4784" spans="1:5" x14ac:dyDescent="0.25">
      <c r="A4784" s="2" t="s">
        <v>38</v>
      </c>
      <c r="B4784" s="6">
        <v>45831</v>
      </c>
      <c r="C4784" s="2" t="s">
        <v>53</v>
      </c>
      <c r="D4784" s="8">
        <v>-50</v>
      </c>
      <c r="E4784" s="8">
        <f>E4783+(0-50)</f>
        <v>8599451.9999995846</v>
      </c>
    </row>
    <row r="4785" spans="1:5" x14ac:dyDescent="0.25">
      <c r="A4785" s="2" t="s">
        <v>38</v>
      </c>
      <c r="B4785" s="6">
        <v>45832</v>
      </c>
      <c r="C4785" s="2" t="s">
        <v>53</v>
      </c>
      <c r="D4785" s="8">
        <v>-53.75</v>
      </c>
      <c r="E4785" s="8">
        <f>E4784+(0-53.75)</f>
        <v>8599398.2499995846</v>
      </c>
    </row>
    <row r="4786" spans="1:5" x14ac:dyDescent="0.25">
      <c r="A4786" s="2" t="s">
        <v>38</v>
      </c>
      <c r="B4786" s="6">
        <v>45832</v>
      </c>
      <c r="C4786" s="2" t="s">
        <v>53</v>
      </c>
      <c r="D4786" s="8">
        <v>-53.75</v>
      </c>
      <c r="E4786" s="8">
        <f>E4785+(0-53.75)</f>
        <v>8599344.4999995846</v>
      </c>
    </row>
    <row r="4787" spans="1:5" x14ac:dyDescent="0.25">
      <c r="A4787" s="2" t="s">
        <v>38</v>
      </c>
      <c r="B4787" s="6">
        <v>45832</v>
      </c>
      <c r="C4787" s="2" t="s">
        <v>53</v>
      </c>
      <c r="D4787" s="8">
        <v>-53.75</v>
      </c>
      <c r="E4787" s="8">
        <f>E4786+(0-53.75)</f>
        <v>8599290.7499995846</v>
      </c>
    </row>
    <row r="4788" spans="1:5" x14ac:dyDescent="0.25">
      <c r="A4788" s="2" t="s">
        <v>38</v>
      </c>
      <c r="B4788" s="6">
        <v>45832</v>
      </c>
      <c r="C4788" s="2" t="s">
        <v>53</v>
      </c>
      <c r="D4788" s="8">
        <v>-50</v>
      </c>
      <c r="E4788" s="8">
        <f>E4787+(0-50)</f>
        <v>8599240.7499995846</v>
      </c>
    </row>
    <row r="4789" spans="1:5" x14ac:dyDescent="0.25">
      <c r="A4789" s="2" t="s">
        <v>38</v>
      </c>
      <c r="B4789" s="6">
        <v>45832</v>
      </c>
      <c r="C4789" s="2" t="s">
        <v>53</v>
      </c>
      <c r="D4789" s="8">
        <v>-400</v>
      </c>
      <c r="E4789" s="8">
        <f>E4788+(0-400)</f>
        <v>8598840.7499995846</v>
      </c>
    </row>
    <row r="4790" spans="1:5" x14ac:dyDescent="0.25">
      <c r="A4790" s="2" t="s">
        <v>38</v>
      </c>
      <c r="B4790" s="6">
        <v>45833</v>
      </c>
      <c r="C4790" s="2" t="s">
        <v>53</v>
      </c>
      <c r="D4790" s="8">
        <v>-200</v>
      </c>
      <c r="E4790" s="8">
        <f>E4789+(0-200)</f>
        <v>8598640.7499995846</v>
      </c>
    </row>
    <row r="4791" spans="1:5" x14ac:dyDescent="0.25">
      <c r="A4791" s="2" t="s">
        <v>38</v>
      </c>
      <c r="B4791" s="6">
        <v>45833</v>
      </c>
      <c r="C4791" s="2" t="s">
        <v>19</v>
      </c>
      <c r="D4791" s="8">
        <v>-84</v>
      </c>
      <c r="E4791" s="8">
        <f>E4790+(0-84)</f>
        <v>8598556.7499995846</v>
      </c>
    </row>
    <row r="4792" spans="1:5" x14ac:dyDescent="0.25">
      <c r="A4792" s="2" t="s">
        <v>38</v>
      </c>
      <c r="B4792" s="6">
        <v>45834</v>
      </c>
      <c r="C4792" s="2" t="s">
        <v>19</v>
      </c>
      <c r="D4792" s="8">
        <v>-30</v>
      </c>
      <c r="E4792" s="8">
        <f>E4791+(0-30)</f>
        <v>8598526.7499995846</v>
      </c>
    </row>
    <row r="4793" spans="1:5" x14ac:dyDescent="0.25">
      <c r="A4793" s="2" t="s">
        <v>38</v>
      </c>
      <c r="B4793" s="6">
        <v>45834</v>
      </c>
      <c r="C4793" s="2" t="s">
        <v>19</v>
      </c>
      <c r="D4793" s="8">
        <v>-6</v>
      </c>
      <c r="E4793" s="8">
        <f>E4792+(0-6)</f>
        <v>8598520.7499995846</v>
      </c>
    </row>
    <row r="4794" spans="1:5" x14ac:dyDescent="0.25">
      <c r="A4794" s="2" t="s">
        <v>38</v>
      </c>
      <c r="B4794" s="6">
        <v>45834</v>
      </c>
      <c r="C4794" s="2" t="s">
        <v>53</v>
      </c>
      <c r="D4794" s="8">
        <v>-53.75</v>
      </c>
      <c r="E4794" s="8">
        <f>E4793+(0-53.75)</f>
        <v>8598466.9999995846</v>
      </c>
    </row>
    <row r="4795" spans="1:5" x14ac:dyDescent="0.25">
      <c r="A4795" s="2" t="s">
        <v>38</v>
      </c>
      <c r="B4795" s="6">
        <v>45834</v>
      </c>
      <c r="C4795" s="2" t="s">
        <v>19</v>
      </c>
      <c r="D4795" s="8">
        <v>-132</v>
      </c>
      <c r="E4795" s="8">
        <f>E4794+(0-132)</f>
        <v>8598334.9999995846</v>
      </c>
    </row>
    <row r="4796" spans="1:5" x14ac:dyDescent="0.25">
      <c r="A4796" s="2" t="s">
        <v>38</v>
      </c>
      <c r="B4796" s="6">
        <v>45834</v>
      </c>
      <c r="C4796" s="2" t="s">
        <v>19</v>
      </c>
      <c r="D4796" s="8">
        <v>-126</v>
      </c>
      <c r="E4796" s="8">
        <f>E4795+(0-126)</f>
        <v>8598208.9999995846</v>
      </c>
    </row>
    <row r="4797" spans="1:5" x14ac:dyDescent="0.25">
      <c r="A4797" s="2" t="s">
        <v>38</v>
      </c>
      <c r="B4797" s="6">
        <v>45834</v>
      </c>
      <c r="C4797" s="2" t="s">
        <v>19</v>
      </c>
      <c r="D4797" s="8">
        <v>-132</v>
      </c>
      <c r="E4797" s="8">
        <f>E4796+(0-132)</f>
        <v>8598076.9999995846</v>
      </c>
    </row>
    <row r="4798" spans="1:5" x14ac:dyDescent="0.25">
      <c r="A4798" s="2" t="s">
        <v>38</v>
      </c>
      <c r="B4798" s="6">
        <v>45834</v>
      </c>
      <c r="C4798" s="2" t="s">
        <v>19</v>
      </c>
      <c r="D4798" s="8">
        <v>-120</v>
      </c>
      <c r="E4798" s="8">
        <f>E4797+(0-120)</f>
        <v>8597956.9999995846</v>
      </c>
    </row>
    <row r="4799" spans="1:5" x14ac:dyDescent="0.25">
      <c r="A4799" s="2" t="s">
        <v>38</v>
      </c>
      <c r="B4799" s="6">
        <v>45834</v>
      </c>
      <c r="C4799" s="2" t="s">
        <v>53</v>
      </c>
      <c r="D4799" s="8">
        <v>-53.75</v>
      </c>
      <c r="E4799" s="8">
        <f>E4798+(0-53.75)</f>
        <v>8597903.2499995846</v>
      </c>
    </row>
    <row r="4800" spans="1:5" x14ac:dyDescent="0.25">
      <c r="A4800" s="2" t="s">
        <v>38</v>
      </c>
      <c r="B4800" s="6">
        <v>45834</v>
      </c>
      <c r="C4800" s="2" t="s">
        <v>19</v>
      </c>
      <c r="D4800" s="8">
        <v>-30</v>
      </c>
      <c r="E4800" s="8">
        <f>E4799+(0-30)</f>
        <v>8597873.2499995846</v>
      </c>
    </row>
    <row r="4801" spans="1:5" x14ac:dyDescent="0.25">
      <c r="A4801" s="2" t="s">
        <v>38</v>
      </c>
      <c r="B4801" s="6">
        <v>45834</v>
      </c>
      <c r="C4801" s="2" t="s">
        <v>53</v>
      </c>
      <c r="D4801" s="8">
        <v>-450</v>
      </c>
      <c r="E4801" s="8">
        <f>E4800+(0-450)</f>
        <v>8597423.2499995846</v>
      </c>
    </row>
    <row r="4802" spans="1:5" x14ac:dyDescent="0.25">
      <c r="A4802" s="2" t="s">
        <v>38</v>
      </c>
      <c r="B4802" s="6">
        <v>45834</v>
      </c>
      <c r="C4802" s="2" t="s">
        <v>19</v>
      </c>
      <c r="D4802" s="8">
        <v>-18</v>
      </c>
      <c r="E4802" s="8">
        <f>E4801+(0-18)</f>
        <v>8597405.2499995846</v>
      </c>
    </row>
    <row r="4803" spans="1:5" x14ac:dyDescent="0.25">
      <c r="A4803" s="2" t="s">
        <v>38</v>
      </c>
      <c r="B4803" s="6">
        <v>45835</v>
      </c>
      <c r="C4803" s="2" t="s">
        <v>19</v>
      </c>
      <c r="D4803" s="8">
        <v>-48</v>
      </c>
      <c r="E4803" s="8">
        <f>E4802+(0-48)</f>
        <v>8597357.2499995846</v>
      </c>
    </row>
    <row r="4804" spans="1:5" x14ac:dyDescent="0.25">
      <c r="A4804" s="2" t="s">
        <v>38</v>
      </c>
      <c r="B4804" s="6">
        <v>45835</v>
      </c>
      <c r="C4804" s="2" t="s">
        <v>19</v>
      </c>
      <c r="D4804" s="8">
        <v>-18</v>
      </c>
      <c r="E4804" s="8">
        <f>E4803+(0-18)</f>
        <v>8597339.2499995846</v>
      </c>
    </row>
    <row r="4805" spans="1:5" x14ac:dyDescent="0.25">
      <c r="A4805" s="2" t="s">
        <v>38</v>
      </c>
      <c r="B4805" s="6">
        <v>45835</v>
      </c>
      <c r="C4805" s="2" t="s">
        <v>53</v>
      </c>
      <c r="D4805" s="8">
        <v>-53.75</v>
      </c>
      <c r="E4805" s="8">
        <f>E4804+(0-53.75)</f>
        <v>8597285.4999995846</v>
      </c>
    </row>
    <row r="4806" spans="1:5" x14ac:dyDescent="0.25">
      <c r="A4806" s="2" t="s">
        <v>38</v>
      </c>
      <c r="B4806" s="6">
        <v>45835</v>
      </c>
      <c r="C4806" s="2" t="s">
        <v>53</v>
      </c>
      <c r="D4806" s="8">
        <v>-53.75</v>
      </c>
      <c r="E4806" s="8">
        <f>E4805+(0-53.75)</f>
        <v>8597231.7499995846</v>
      </c>
    </row>
    <row r="4807" spans="1:5" x14ac:dyDescent="0.25">
      <c r="A4807" s="2" t="s">
        <v>38</v>
      </c>
      <c r="B4807" s="6">
        <v>45835</v>
      </c>
      <c r="C4807" s="2" t="s">
        <v>53</v>
      </c>
      <c r="D4807" s="8">
        <v>-26.88</v>
      </c>
      <c r="E4807" s="8">
        <f>E4806+(0-26.88)</f>
        <v>8597204.8699995838</v>
      </c>
    </row>
    <row r="4808" spans="1:5" x14ac:dyDescent="0.25">
      <c r="A4808" s="2" t="s">
        <v>38</v>
      </c>
      <c r="B4808" s="6">
        <v>45835</v>
      </c>
      <c r="C4808" s="2" t="s">
        <v>53</v>
      </c>
      <c r="D4808" s="8">
        <v>-53.75</v>
      </c>
      <c r="E4808" s="8">
        <f>E4807+(0-53.75)</f>
        <v>8597151.1199995838</v>
      </c>
    </row>
    <row r="4809" spans="1:5" x14ac:dyDescent="0.25">
      <c r="A4809" s="2" t="s">
        <v>38</v>
      </c>
      <c r="B4809" s="6">
        <v>45835</v>
      </c>
      <c r="C4809" s="2" t="s">
        <v>53</v>
      </c>
      <c r="D4809" s="8">
        <v>-53.75</v>
      </c>
      <c r="E4809" s="8">
        <f>E4808+(0-53.75)</f>
        <v>8597097.3699995838</v>
      </c>
    </row>
    <row r="4810" spans="1:5" x14ac:dyDescent="0.25">
      <c r="A4810" s="2" t="s">
        <v>38</v>
      </c>
      <c r="B4810" s="6">
        <v>45835</v>
      </c>
      <c r="C4810" s="2" t="s">
        <v>53</v>
      </c>
      <c r="D4810" s="8">
        <v>-53.75</v>
      </c>
      <c r="E4810" s="8">
        <f>E4809+(0-53.75)</f>
        <v>8597043.6199995838</v>
      </c>
    </row>
    <row r="4811" spans="1:5" x14ac:dyDescent="0.25">
      <c r="A4811" s="2" t="s">
        <v>38</v>
      </c>
      <c r="B4811" s="6">
        <v>45835</v>
      </c>
      <c r="C4811" s="2" t="s">
        <v>53</v>
      </c>
      <c r="D4811" s="8">
        <v>-50</v>
      </c>
      <c r="E4811" s="8">
        <f>E4810+(0-50)</f>
        <v>8596993.6199995838</v>
      </c>
    </row>
    <row r="4812" spans="1:5" x14ac:dyDescent="0.25">
      <c r="A4812" s="2" t="s">
        <v>38</v>
      </c>
      <c r="B4812" s="6">
        <v>45835</v>
      </c>
      <c r="C4812" s="2" t="s">
        <v>53</v>
      </c>
      <c r="D4812" s="8">
        <v>-50</v>
      </c>
      <c r="E4812" s="8">
        <f>E4811+(0-50)</f>
        <v>8596943.6199995838</v>
      </c>
    </row>
    <row r="4813" spans="1:5" x14ac:dyDescent="0.25">
      <c r="A4813" s="2" t="s">
        <v>38</v>
      </c>
      <c r="B4813" s="6">
        <v>45835</v>
      </c>
      <c r="C4813" s="2" t="s">
        <v>53</v>
      </c>
      <c r="D4813" s="8">
        <v>-500</v>
      </c>
      <c r="E4813" s="8">
        <f>E4812+(0-500)</f>
        <v>8596443.6199995838</v>
      </c>
    </row>
    <row r="4814" spans="1:5" x14ac:dyDescent="0.25">
      <c r="A4814" s="2" t="s">
        <v>38</v>
      </c>
      <c r="B4814" s="6">
        <v>45838</v>
      </c>
      <c r="C4814" s="2" t="s">
        <v>19</v>
      </c>
      <c r="D4814" s="8">
        <v>-30</v>
      </c>
      <c r="E4814" s="8">
        <f>E4813+(0-30)</f>
        <v>8596413.6199995838</v>
      </c>
    </row>
    <row r="4815" spans="1:5" x14ac:dyDescent="0.25">
      <c r="A4815" s="2" t="s">
        <v>38</v>
      </c>
      <c r="B4815" s="6">
        <v>45838</v>
      </c>
      <c r="C4815" s="2" t="s">
        <v>19</v>
      </c>
      <c r="D4815" s="8">
        <v>-84</v>
      </c>
      <c r="E4815" s="8">
        <f>E4814+(0-84)</f>
        <v>8596329.6199995838</v>
      </c>
    </row>
    <row r="4816" spans="1:5" x14ac:dyDescent="0.25">
      <c r="A4816" s="2" t="s">
        <v>38</v>
      </c>
      <c r="B4816" s="6">
        <v>45838</v>
      </c>
      <c r="C4816" s="2" t="s">
        <v>19</v>
      </c>
      <c r="D4816" s="8">
        <v>-186</v>
      </c>
      <c r="E4816" s="8">
        <f>E4815+(0-186)</f>
        <v>8596143.6199995838</v>
      </c>
    </row>
    <row r="4817" spans="1:5" x14ac:dyDescent="0.25">
      <c r="A4817" s="2" t="s">
        <v>38</v>
      </c>
      <c r="B4817" s="6">
        <v>45838</v>
      </c>
      <c r="C4817" s="2" t="s">
        <v>53</v>
      </c>
      <c r="D4817" s="8">
        <v>-26.88</v>
      </c>
      <c r="E4817" s="8">
        <f>E4816+(0-26.88)</f>
        <v>8596116.739999583</v>
      </c>
    </row>
    <row r="4818" spans="1:5" x14ac:dyDescent="0.25">
      <c r="A4818" s="2" t="s">
        <v>38</v>
      </c>
      <c r="B4818" s="6">
        <v>45838</v>
      </c>
      <c r="C4818" s="2" t="s">
        <v>19</v>
      </c>
      <c r="D4818" s="8">
        <v>-30</v>
      </c>
      <c r="E4818" s="8">
        <f>E4817+(0-30)</f>
        <v>8596086.739999583</v>
      </c>
    </row>
    <row r="4819" spans="1:5" x14ac:dyDescent="0.25">
      <c r="A4819" s="2" t="s">
        <v>38</v>
      </c>
      <c r="B4819" s="6">
        <v>45838</v>
      </c>
      <c r="C4819" s="2" t="s">
        <v>19</v>
      </c>
      <c r="D4819" s="8">
        <v>-6</v>
      </c>
      <c r="E4819" s="8">
        <f>E4818+(0-6)</f>
        <v>8596080.739999583</v>
      </c>
    </row>
    <row r="4820" spans="1:5" x14ac:dyDescent="0.25">
      <c r="A4820" s="2" t="s">
        <v>38</v>
      </c>
      <c r="B4820" s="6">
        <v>45838</v>
      </c>
      <c r="C4820" s="2" t="s">
        <v>53</v>
      </c>
      <c r="D4820" s="8">
        <v>-26.88</v>
      </c>
      <c r="E4820" s="8">
        <f>E4819+(0-26.88)</f>
        <v>8596053.8599995822</v>
      </c>
    </row>
    <row r="4821" spans="1:5" x14ac:dyDescent="0.25">
      <c r="A4821" s="2" t="s">
        <v>38</v>
      </c>
      <c r="B4821" s="6">
        <v>45838</v>
      </c>
      <c r="C4821" s="2" t="s">
        <v>53</v>
      </c>
      <c r="D4821" s="8">
        <v>-50</v>
      </c>
      <c r="E4821" s="8">
        <f>E4820+(0-50)</f>
        <v>8596003.8599995822</v>
      </c>
    </row>
    <row r="4822" spans="1:5" x14ac:dyDescent="0.25">
      <c r="A4822" s="2" t="s">
        <v>38</v>
      </c>
      <c r="B4822" s="6">
        <v>45838</v>
      </c>
      <c r="C4822" s="2" t="s">
        <v>53</v>
      </c>
      <c r="D4822" s="8">
        <v>-450</v>
      </c>
      <c r="E4822" s="8">
        <f>E4821+(0-450)</f>
        <v>8595553.8599995822</v>
      </c>
    </row>
    <row r="4823" spans="1:5" x14ac:dyDescent="0.25">
      <c r="A4823" s="2" t="s">
        <v>38</v>
      </c>
      <c r="B4823" s="6">
        <v>45839</v>
      </c>
      <c r="C4823" s="2" t="s">
        <v>53</v>
      </c>
      <c r="D4823" s="8">
        <v>-53.75</v>
      </c>
      <c r="E4823" s="8">
        <f>E4822+(0-53.75)</f>
        <v>8595500.1099995822</v>
      </c>
    </row>
    <row r="4824" spans="1:5" x14ac:dyDescent="0.25">
      <c r="A4824" s="2" t="s">
        <v>38</v>
      </c>
      <c r="B4824" s="6">
        <v>45839</v>
      </c>
      <c r="C4824" s="2" t="s">
        <v>53</v>
      </c>
      <c r="D4824" s="8">
        <v>-200</v>
      </c>
      <c r="E4824" s="8">
        <f>E4823+(0-200)</f>
        <v>8595300.1099995822</v>
      </c>
    </row>
    <row r="4825" spans="1:5" x14ac:dyDescent="0.25">
      <c r="A4825" s="2" t="s">
        <v>38</v>
      </c>
      <c r="B4825" s="6">
        <v>45840</v>
      </c>
      <c r="C4825" s="2" t="s">
        <v>19</v>
      </c>
      <c r="D4825" s="8">
        <v>-102</v>
      </c>
      <c r="E4825" s="8">
        <f>E4824+(0-102)</f>
        <v>8595198.1099995822</v>
      </c>
    </row>
    <row r="4826" spans="1:5" x14ac:dyDescent="0.25">
      <c r="A4826" s="2" t="s">
        <v>38</v>
      </c>
      <c r="B4826" s="6">
        <v>45840</v>
      </c>
      <c r="C4826" s="2" t="s">
        <v>19</v>
      </c>
      <c r="D4826" s="8">
        <v>-66</v>
      </c>
      <c r="E4826" s="8">
        <f>E4825+(0-66)</f>
        <v>8595132.1099995822</v>
      </c>
    </row>
    <row r="4827" spans="1:5" x14ac:dyDescent="0.25">
      <c r="A4827" s="2" t="s">
        <v>38</v>
      </c>
      <c r="B4827" s="6">
        <v>45840</v>
      </c>
      <c r="C4827" s="2" t="s">
        <v>53</v>
      </c>
      <c r="D4827" s="8">
        <v>-53.75</v>
      </c>
      <c r="E4827" s="8">
        <f>E4826+(0-53.75)</f>
        <v>8595078.3599995822</v>
      </c>
    </row>
    <row r="4828" spans="1:5" x14ac:dyDescent="0.25">
      <c r="A4828" s="2" t="s">
        <v>38</v>
      </c>
      <c r="B4828" s="6">
        <v>45840</v>
      </c>
      <c r="C4828" s="2" t="s">
        <v>53</v>
      </c>
      <c r="D4828" s="8">
        <v>-50</v>
      </c>
      <c r="E4828" s="8">
        <f>E4827+(0-50)</f>
        <v>8595028.3599995822</v>
      </c>
    </row>
    <row r="4829" spans="1:5" x14ac:dyDescent="0.25">
      <c r="A4829" s="2" t="s">
        <v>38</v>
      </c>
      <c r="B4829" s="6">
        <v>45840</v>
      </c>
      <c r="C4829" s="2" t="s">
        <v>53</v>
      </c>
      <c r="D4829" s="8">
        <v>-100</v>
      </c>
      <c r="E4829" s="8">
        <f>E4828+(0-100)</f>
        <v>8594928.3599995822</v>
      </c>
    </row>
    <row r="4830" spans="1:5" x14ac:dyDescent="0.25">
      <c r="A4830" s="2" t="s">
        <v>38</v>
      </c>
      <c r="B4830" s="6">
        <v>45840</v>
      </c>
      <c r="C4830" s="2" t="s">
        <v>53</v>
      </c>
      <c r="D4830" s="8">
        <v>-300</v>
      </c>
      <c r="E4830" s="8">
        <f>E4829+(0-300)</f>
        <v>8594628.3599995822</v>
      </c>
    </row>
    <row r="4831" spans="1:5" x14ac:dyDescent="0.25">
      <c r="A4831" s="2" t="s">
        <v>38</v>
      </c>
      <c r="B4831" s="6">
        <v>45841</v>
      </c>
      <c r="C4831" s="2" t="s">
        <v>19</v>
      </c>
      <c r="D4831" s="8">
        <v>-78</v>
      </c>
      <c r="E4831" s="8">
        <f>E4830+(0-78)</f>
        <v>8594550.3599995822</v>
      </c>
    </row>
    <row r="4832" spans="1:5" x14ac:dyDescent="0.25">
      <c r="A4832" s="2" t="s">
        <v>38</v>
      </c>
      <c r="B4832" s="6">
        <v>45841</v>
      </c>
      <c r="C4832" s="2" t="s">
        <v>53</v>
      </c>
      <c r="D4832" s="8">
        <v>-53.75</v>
      </c>
      <c r="E4832" s="8">
        <f>E4831+(0-53.75)</f>
        <v>8594496.6099995822</v>
      </c>
    </row>
    <row r="4833" spans="1:5" x14ac:dyDescent="0.25">
      <c r="A4833" s="2" t="s">
        <v>38</v>
      </c>
      <c r="B4833" s="6">
        <v>45841</v>
      </c>
      <c r="C4833" s="2" t="s">
        <v>53</v>
      </c>
      <c r="D4833" s="8">
        <v>-53.75</v>
      </c>
      <c r="E4833" s="8">
        <f>E4832+(0-53.75)</f>
        <v>8594442.8599995822</v>
      </c>
    </row>
    <row r="4834" spans="1:5" x14ac:dyDescent="0.25">
      <c r="A4834" s="2" t="s">
        <v>38</v>
      </c>
      <c r="B4834" s="6">
        <v>45841</v>
      </c>
      <c r="C4834" s="2" t="s">
        <v>53</v>
      </c>
      <c r="D4834" s="8">
        <v>-50</v>
      </c>
      <c r="E4834" s="8">
        <f>E4833+(0-50)</f>
        <v>8594392.8599995822</v>
      </c>
    </row>
    <row r="4835" spans="1:5" x14ac:dyDescent="0.25">
      <c r="A4835" s="2" t="s">
        <v>38</v>
      </c>
      <c r="B4835" s="6">
        <v>45841</v>
      </c>
      <c r="C4835" s="2" t="s">
        <v>53</v>
      </c>
      <c r="D4835" s="8">
        <v>-500</v>
      </c>
      <c r="E4835" s="8">
        <f>E4834+(0-500)</f>
        <v>8593892.8599995822</v>
      </c>
    </row>
    <row r="4836" spans="1:5" x14ac:dyDescent="0.25">
      <c r="A4836" s="2" t="s">
        <v>38</v>
      </c>
      <c r="B4836" s="6">
        <v>45842</v>
      </c>
      <c r="C4836" s="2" t="s">
        <v>53</v>
      </c>
      <c r="D4836" s="8">
        <v>-50</v>
      </c>
      <c r="E4836" s="8">
        <f>E4835+(0-50)</f>
        <v>8593842.8599995822</v>
      </c>
    </row>
    <row r="4837" spans="1:5" x14ac:dyDescent="0.25">
      <c r="A4837" s="2" t="s">
        <v>38</v>
      </c>
      <c r="B4837" s="6">
        <v>45842</v>
      </c>
      <c r="C4837" s="2" t="s">
        <v>53</v>
      </c>
      <c r="D4837" s="8">
        <v>-50</v>
      </c>
      <c r="E4837" s="8">
        <f>E4836+(0-50)</f>
        <v>8593792.8599995822</v>
      </c>
    </row>
    <row r="4838" spans="1:5" x14ac:dyDescent="0.25">
      <c r="A4838" s="2" t="s">
        <v>38</v>
      </c>
      <c r="B4838" s="6">
        <v>45842</v>
      </c>
      <c r="C4838" s="2" t="s">
        <v>53</v>
      </c>
      <c r="D4838" s="8">
        <v>-550</v>
      </c>
      <c r="E4838" s="8">
        <f>E4837+(0-550)</f>
        <v>8593242.8599995822</v>
      </c>
    </row>
    <row r="4839" spans="1:5" x14ac:dyDescent="0.25">
      <c r="A4839" s="2" t="s">
        <v>38</v>
      </c>
      <c r="B4839" s="6">
        <v>45845</v>
      </c>
      <c r="C4839" s="2" t="s">
        <v>19</v>
      </c>
      <c r="D4839" s="8">
        <v>-102</v>
      </c>
      <c r="E4839" s="8">
        <f>E4838+(0-102)</f>
        <v>8593140.8599995822</v>
      </c>
    </row>
    <row r="4840" spans="1:5" x14ac:dyDescent="0.25">
      <c r="A4840" s="2" t="s">
        <v>38</v>
      </c>
      <c r="B4840" s="6">
        <v>45845</v>
      </c>
      <c r="C4840" s="2" t="s">
        <v>19</v>
      </c>
      <c r="D4840" s="8">
        <v>-84</v>
      </c>
      <c r="E4840" s="8">
        <f>E4839+(0-84)</f>
        <v>8593056.8599995822</v>
      </c>
    </row>
    <row r="4841" spans="1:5" x14ac:dyDescent="0.25">
      <c r="A4841" s="2" t="s">
        <v>38</v>
      </c>
      <c r="B4841" s="6">
        <v>45845</v>
      </c>
      <c r="C4841" s="2" t="s">
        <v>19</v>
      </c>
      <c r="D4841" s="8">
        <v>-6</v>
      </c>
      <c r="E4841" s="8">
        <f>E4840+(0-6)</f>
        <v>8593050.8599995822</v>
      </c>
    </row>
    <row r="4842" spans="1:5" x14ac:dyDescent="0.25">
      <c r="A4842" s="2" t="s">
        <v>38</v>
      </c>
      <c r="B4842" s="6">
        <v>45845</v>
      </c>
      <c r="C4842" s="2" t="s">
        <v>19</v>
      </c>
      <c r="D4842" s="8">
        <v>-12</v>
      </c>
      <c r="E4842" s="8">
        <f>E4841+(0-12)</f>
        <v>8593038.8599995822</v>
      </c>
    </row>
    <row r="4843" spans="1:5" x14ac:dyDescent="0.25">
      <c r="A4843" s="2" t="s">
        <v>38</v>
      </c>
      <c r="B4843" s="6">
        <v>45845</v>
      </c>
      <c r="C4843" s="2" t="s">
        <v>53</v>
      </c>
      <c r="D4843" s="8">
        <v>-53.75</v>
      </c>
      <c r="E4843" s="8">
        <f>E4842+(0-53.75)</f>
        <v>8592985.1099995822</v>
      </c>
    </row>
    <row r="4844" spans="1:5" x14ac:dyDescent="0.25">
      <c r="A4844" s="2" t="s">
        <v>38</v>
      </c>
      <c r="B4844" s="6">
        <v>45845</v>
      </c>
      <c r="C4844" s="2" t="s">
        <v>53</v>
      </c>
      <c r="D4844" s="8">
        <v>-550</v>
      </c>
      <c r="E4844" s="8">
        <f>E4843+(0-550)</f>
        <v>8592435.1099995822</v>
      </c>
    </row>
    <row r="4845" spans="1:5" x14ac:dyDescent="0.25">
      <c r="A4845" s="2" t="s">
        <v>38</v>
      </c>
      <c r="B4845" s="6">
        <v>45846</v>
      </c>
      <c r="C4845" s="2" t="s">
        <v>19</v>
      </c>
      <c r="D4845" s="8">
        <v>-96</v>
      </c>
      <c r="E4845" s="8">
        <f>E4844+(0-96)</f>
        <v>8592339.1099995822</v>
      </c>
    </row>
    <row r="4846" spans="1:5" x14ac:dyDescent="0.25">
      <c r="A4846" s="2" t="s">
        <v>38</v>
      </c>
      <c r="B4846" s="6">
        <v>45846</v>
      </c>
      <c r="C4846" s="2" t="s">
        <v>53</v>
      </c>
      <c r="D4846" s="8">
        <v>-26.88</v>
      </c>
      <c r="E4846" s="8">
        <f>E4845+(0-26.88)</f>
        <v>8592312.2299995814</v>
      </c>
    </row>
    <row r="4847" spans="1:5" x14ac:dyDescent="0.25">
      <c r="A4847" s="2" t="s">
        <v>38</v>
      </c>
      <c r="B4847" s="6">
        <v>45846</v>
      </c>
      <c r="C4847" s="2" t="s">
        <v>53</v>
      </c>
      <c r="D4847" s="8">
        <v>-53.75</v>
      </c>
      <c r="E4847" s="8">
        <f>E4846+(0-53.75)</f>
        <v>8592258.4799995814</v>
      </c>
    </row>
    <row r="4848" spans="1:5" x14ac:dyDescent="0.25">
      <c r="A4848" s="2" t="s">
        <v>38</v>
      </c>
      <c r="B4848" s="6">
        <v>45846</v>
      </c>
      <c r="C4848" s="2" t="s">
        <v>53</v>
      </c>
      <c r="D4848" s="8">
        <v>-50</v>
      </c>
      <c r="E4848" s="8">
        <f>E4847+(0-50)</f>
        <v>8592208.4799995814</v>
      </c>
    </row>
    <row r="4849" spans="1:5" x14ac:dyDescent="0.25">
      <c r="A4849" s="2" t="s">
        <v>38</v>
      </c>
      <c r="B4849" s="6">
        <v>45846</v>
      </c>
      <c r="C4849" s="2" t="s">
        <v>53</v>
      </c>
      <c r="D4849" s="8">
        <v>-450</v>
      </c>
      <c r="E4849" s="8">
        <f>E4848+(0-450)</f>
        <v>8591758.4799995814</v>
      </c>
    </row>
    <row r="4850" spans="1:5" x14ac:dyDescent="0.25">
      <c r="A4850" s="2" t="s">
        <v>38</v>
      </c>
      <c r="B4850" s="6">
        <v>45847</v>
      </c>
      <c r="C4850" s="2" t="s">
        <v>53</v>
      </c>
      <c r="D4850" s="8">
        <v>-53.75</v>
      </c>
      <c r="E4850" s="8">
        <f>E4849+(0-53.75)</f>
        <v>8591704.7299995814</v>
      </c>
    </row>
    <row r="4851" spans="1:5" x14ac:dyDescent="0.25">
      <c r="A4851" s="2" t="s">
        <v>38</v>
      </c>
      <c r="B4851" s="6">
        <v>45847</v>
      </c>
      <c r="C4851" s="2" t="s">
        <v>53</v>
      </c>
      <c r="D4851" s="8">
        <v>-450</v>
      </c>
      <c r="E4851" s="8">
        <f>E4850+(0-450)</f>
        <v>8591254.7299995814</v>
      </c>
    </row>
    <row r="4852" spans="1:5" x14ac:dyDescent="0.25">
      <c r="A4852" s="2" t="s">
        <v>38</v>
      </c>
      <c r="B4852" s="6">
        <v>45848</v>
      </c>
      <c r="C4852" s="2" t="s">
        <v>19</v>
      </c>
      <c r="D4852" s="8">
        <v>-78</v>
      </c>
      <c r="E4852" s="8">
        <f>E4851+(0-78)</f>
        <v>8591176.7299995814</v>
      </c>
    </row>
    <row r="4853" spans="1:5" x14ac:dyDescent="0.25">
      <c r="A4853" s="2" t="s">
        <v>38</v>
      </c>
      <c r="B4853" s="6">
        <v>45848</v>
      </c>
      <c r="C4853" s="2" t="s">
        <v>19</v>
      </c>
      <c r="D4853" s="8">
        <v>-78</v>
      </c>
      <c r="E4853" s="8">
        <f>E4852+(0-78)</f>
        <v>8591098.7299995814</v>
      </c>
    </row>
    <row r="4854" spans="1:5" x14ac:dyDescent="0.25">
      <c r="A4854" s="2" t="s">
        <v>38</v>
      </c>
      <c r="B4854" s="6">
        <v>45848</v>
      </c>
      <c r="C4854" s="2" t="s">
        <v>53</v>
      </c>
      <c r="D4854" s="8">
        <v>-200</v>
      </c>
      <c r="E4854" s="8">
        <f>E4853+(0-200)</f>
        <v>8590898.7299995814</v>
      </c>
    </row>
    <row r="4855" spans="1:5" x14ac:dyDescent="0.25">
      <c r="A4855" s="2" t="s">
        <v>38</v>
      </c>
      <c r="B4855" s="6">
        <v>45848</v>
      </c>
      <c r="C4855" s="2" t="s">
        <v>53</v>
      </c>
      <c r="D4855" s="8">
        <v>-50</v>
      </c>
      <c r="E4855" s="8">
        <f>E4854+(0-50)</f>
        <v>8590848.7299995814</v>
      </c>
    </row>
    <row r="4856" spans="1:5" x14ac:dyDescent="0.25">
      <c r="A4856" s="2" t="s">
        <v>38</v>
      </c>
      <c r="B4856" s="6">
        <v>45848</v>
      </c>
      <c r="C4856" s="2" t="s">
        <v>53</v>
      </c>
      <c r="D4856" s="8">
        <v>-50</v>
      </c>
      <c r="E4856" s="8">
        <f>E4855+(0-50)</f>
        <v>8590798.7299995814</v>
      </c>
    </row>
    <row r="4857" spans="1:5" x14ac:dyDescent="0.25">
      <c r="A4857" s="2" t="s">
        <v>38</v>
      </c>
      <c r="B4857" s="6">
        <v>45849</v>
      </c>
      <c r="C4857" s="2" t="s">
        <v>53</v>
      </c>
      <c r="D4857" s="8">
        <v>-53.75</v>
      </c>
      <c r="E4857" s="8">
        <f>E4856+(0-53.75)</f>
        <v>8590744.9799995814</v>
      </c>
    </row>
    <row r="4858" spans="1:5" x14ac:dyDescent="0.25">
      <c r="A4858" s="2" t="s">
        <v>38</v>
      </c>
      <c r="B4858" s="6">
        <v>45849</v>
      </c>
      <c r="C4858" s="2" t="s">
        <v>53</v>
      </c>
      <c r="D4858" s="8">
        <v>-53.75</v>
      </c>
      <c r="E4858" s="8">
        <f>E4857+(0-53.75)</f>
        <v>8590691.2299995814</v>
      </c>
    </row>
    <row r="4859" spans="1:5" x14ac:dyDescent="0.25">
      <c r="A4859" s="2" t="s">
        <v>38</v>
      </c>
      <c r="B4859" s="6">
        <v>45849</v>
      </c>
      <c r="C4859" s="2" t="s">
        <v>53</v>
      </c>
      <c r="D4859" s="8">
        <v>-53.75</v>
      </c>
      <c r="E4859" s="8">
        <f>E4858+(0-53.75)</f>
        <v>8590637.4799995814</v>
      </c>
    </row>
    <row r="4860" spans="1:5" x14ac:dyDescent="0.25">
      <c r="A4860" s="2" t="s">
        <v>38</v>
      </c>
      <c r="B4860" s="6">
        <v>45849</v>
      </c>
      <c r="C4860" s="2" t="s">
        <v>53</v>
      </c>
      <c r="D4860" s="8">
        <v>-26.88</v>
      </c>
      <c r="E4860" s="8">
        <f>E4859+(0-26.88)</f>
        <v>8590610.5999995805</v>
      </c>
    </row>
    <row r="4861" spans="1:5" x14ac:dyDescent="0.25">
      <c r="A4861" s="2" t="s">
        <v>38</v>
      </c>
      <c r="B4861" s="6">
        <v>45849</v>
      </c>
      <c r="C4861" s="2" t="s">
        <v>53</v>
      </c>
      <c r="D4861" s="8">
        <v>-26.88</v>
      </c>
      <c r="E4861" s="8">
        <f>E4860+(0-26.88)</f>
        <v>8590583.7199995797</v>
      </c>
    </row>
    <row r="4862" spans="1:5" x14ac:dyDescent="0.25">
      <c r="A4862" s="2" t="s">
        <v>38</v>
      </c>
      <c r="B4862" s="6">
        <v>45849</v>
      </c>
      <c r="C4862" s="2" t="s">
        <v>53</v>
      </c>
      <c r="D4862" s="8">
        <v>-500</v>
      </c>
      <c r="E4862" s="8">
        <f>E4861+(0-500)</f>
        <v>8590083.7199995797</v>
      </c>
    </row>
    <row r="4863" spans="1:5" x14ac:dyDescent="0.25">
      <c r="A4863" s="2" t="s">
        <v>38</v>
      </c>
      <c r="B4863" s="6">
        <v>45852</v>
      </c>
      <c r="C4863" s="2" t="s">
        <v>19</v>
      </c>
      <c r="D4863" s="8">
        <v>-30</v>
      </c>
      <c r="E4863" s="8">
        <f>E4862+(0-30)</f>
        <v>8590053.7199995797</v>
      </c>
    </row>
    <row r="4864" spans="1:5" x14ac:dyDescent="0.25">
      <c r="A4864" s="2" t="s">
        <v>38</v>
      </c>
      <c r="B4864" s="6">
        <v>45852</v>
      </c>
      <c r="C4864" s="2" t="s">
        <v>19</v>
      </c>
      <c r="D4864" s="8">
        <v>-132</v>
      </c>
      <c r="E4864" s="8">
        <f>E4863+(0-132)</f>
        <v>8589921.7199995797</v>
      </c>
    </row>
    <row r="4865" spans="1:5" x14ac:dyDescent="0.25">
      <c r="A4865" s="2" t="s">
        <v>38</v>
      </c>
      <c r="B4865" s="6">
        <v>45852</v>
      </c>
      <c r="C4865" s="2" t="s">
        <v>19</v>
      </c>
      <c r="D4865" s="8">
        <v>-18</v>
      </c>
      <c r="E4865" s="8">
        <f>E4864+(0-18)</f>
        <v>8589903.7199995797</v>
      </c>
    </row>
    <row r="4866" spans="1:5" x14ac:dyDescent="0.25">
      <c r="A4866" s="2" t="s">
        <v>38</v>
      </c>
      <c r="B4866" s="6">
        <v>45852</v>
      </c>
      <c r="C4866" s="2" t="s">
        <v>53</v>
      </c>
      <c r="D4866" s="8">
        <v>-53.75</v>
      </c>
      <c r="E4866" s="8">
        <f>E4865+(0-53.75)</f>
        <v>8589849.9699995797</v>
      </c>
    </row>
    <row r="4867" spans="1:5" x14ac:dyDescent="0.25">
      <c r="A4867" s="2" t="s">
        <v>38</v>
      </c>
      <c r="B4867" s="6">
        <v>45854</v>
      </c>
      <c r="C4867" s="2" t="s">
        <v>19</v>
      </c>
      <c r="D4867" s="8">
        <v>-6</v>
      </c>
      <c r="E4867" s="8">
        <f>E4866+(0-6)</f>
        <v>8589843.9699995797</v>
      </c>
    </row>
    <row r="4868" spans="1:5" x14ac:dyDescent="0.25">
      <c r="A4868" s="2" t="s">
        <v>38</v>
      </c>
      <c r="B4868" s="6">
        <v>45854</v>
      </c>
      <c r="C4868" s="2" t="s">
        <v>19</v>
      </c>
      <c r="D4868" s="8">
        <v>-60</v>
      </c>
      <c r="E4868" s="8">
        <f>E4867+(0-60)</f>
        <v>8589783.9699995797</v>
      </c>
    </row>
    <row r="4869" spans="1:5" x14ac:dyDescent="0.25">
      <c r="A4869" s="2" t="s">
        <v>38</v>
      </c>
      <c r="B4869" s="6">
        <v>45854</v>
      </c>
      <c r="C4869" s="2" t="s">
        <v>19</v>
      </c>
      <c r="D4869" s="8">
        <v>-24</v>
      </c>
      <c r="E4869" s="8">
        <f>E4868+(0-24)</f>
        <v>8589759.9699995797</v>
      </c>
    </row>
    <row r="4870" spans="1:5" x14ac:dyDescent="0.25">
      <c r="A4870" s="2" t="s">
        <v>38</v>
      </c>
      <c r="B4870" s="6">
        <v>45854</v>
      </c>
      <c r="C4870" s="2" t="s">
        <v>53</v>
      </c>
      <c r="D4870" s="8">
        <v>-53.75</v>
      </c>
      <c r="E4870" s="8">
        <f>E4869+(0-53.75)</f>
        <v>8589706.2199995797</v>
      </c>
    </row>
    <row r="4871" spans="1:5" x14ac:dyDescent="0.25">
      <c r="A4871" s="2" t="s">
        <v>38</v>
      </c>
      <c r="B4871" s="6">
        <v>45854</v>
      </c>
      <c r="C4871" s="2" t="s">
        <v>53</v>
      </c>
      <c r="D4871" s="8">
        <v>-53.75</v>
      </c>
      <c r="E4871" s="8">
        <f>E4870+(0-53.75)</f>
        <v>8589652.4699995797</v>
      </c>
    </row>
    <row r="4872" spans="1:5" x14ac:dyDescent="0.25">
      <c r="A4872" s="2" t="s">
        <v>38</v>
      </c>
      <c r="B4872" s="6">
        <v>45854</v>
      </c>
      <c r="C4872" s="2" t="s">
        <v>53</v>
      </c>
      <c r="D4872" s="8">
        <v>-53.75</v>
      </c>
      <c r="E4872" s="8">
        <f>E4871+(0-53.75)</f>
        <v>8589598.7199995797</v>
      </c>
    </row>
    <row r="4873" spans="1:5" x14ac:dyDescent="0.25">
      <c r="A4873" s="2" t="s">
        <v>38</v>
      </c>
      <c r="B4873" s="6">
        <v>45854</v>
      </c>
      <c r="C4873" s="2" t="s">
        <v>53</v>
      </c>
      <c r="D4873" s="8">
        <v>-50</v>
      </c>
      <c r="E4873" s="8">
        <f>E4872+(0-50)</f>
        <v>8589548.7199995797</v>
      </c>
    </row>
    <row r="4874" spans="1:5" x14ac:dyDescent="0.25">
      <c r="A4874" s="2" t="s">
        <v>38</v>
      </c>
      <c r="B4874" s="6">
        <v>45854</v>
      </c>
      <c r="C4874" s="2" t="s">
        <v>53</v>
      </c>
      <c r="D4874" s="8">
        <v>-600</v>
      </c>
      <c r="E4874" s="8">
        <f>E4873+(0-600)</f>
        <v>8588948.7199995797</v>
      </c>
    </row>
    <row r="4875" spans="1:5" x14ac:dyDescent="0.25">
      <c r="A4875" s="2" t="s">
        <v>38</v>
      </c>
      <c r="B4875" s="6">
        <v>45854</v>
      </c>
      <c r="C4875" s="2" t="s">
        <v>53</v>
      </c>
      <c r="D4875" s="8">
        <v>-800</v>
      </c>
      <c r="E4875" s="8">
        <f>E4874+(0-800)</f>
        <v>8588148.7199995797</v>
      </c>
    </row>
    <row r="4876" spans="1:5" x14ac:dyDescent="0.25">
      <c r="A4876" s="2" t="s">
        <v>38</v>
      </c>
      <c r="B4876" s="6">
        <v>45855</v>
      </c>
      <c r="C4876" s="2" t="s">
        <v>53</v>
      </c>
      <c r="D4876" s="8">
        <v>-50</v>
      </c>
      <c r="E4876" s="8">
        <f>E4875+(0-50)</f>
        <v>8588098.7199995797</v>
      </c>
    </row>
    <row r="4877" spans="1:5" x14ac:dyDescent="0.25">
      <c r="A4877" s="2" t="s">
        <v>38</v>
      </c>
      <c r="B4877" s="6">
        <v>45855</v>
      </c>
      <c r="C4877" s="2" t="s">
        <v>53</v>
      </c>
      <c r="D4877" s="8">
        <v>-50</v>
      </c>
      <c r="E4877" s="8">
        <f>E4876+(0-50)</f>
        <v>8588048.7199995797</v>
      </c>
    </row>
    <row r="4878" spans="1:5" x14ac:dyDescent="0.25">
      <c r="A4878" s="2" t="s">
        <v>38</v>
      </c>
      <c r="B4878" s="6">
        <v>45855</v>
      </c>
      <c r="C4878" s="2" t="s">
        <v>53</v>
      </c>
      <c r="D4878" s="8">
        <v>-53.75</v>
      </c>
      <c r="E4878" s="8">
        <f>E4877+(0-53.75)</f>
        <v>8587994.9699995797</v>
      </c>
    </row>
    <row r="4879" spans="1:5" x14ac:dyDescent="0.25">
      <c r="A4879" s="2" t="s">
        <v>38</v>
      </c>
      <c r="B4879" s="6">
        <v>45855</v>
      </c>
      <c r="C4879" s="2" t="s">
        <v>53</v>
      </c>
      <c r="D4879" s="8">
        <v>-500</v>
      </c>
      <c r="E4879" s="8">
        <f>E4878+(0-500)</f>
        <v>8587494.9699995797</v>
      </c>
    </row>
    <row r="4880" spans="1:5" x14ac:dyDescent="0.25">
      <c r="A4880" s="2" t="s">
        <v>38</v>
      </c>
      <c r="B4880" s="6">
        <v>45855</v>
      </c>
      <c r="C4880" s="2" t="s">
        <v>53</v>
      </c>
      <c r="D4880" s="8">
        <v>-100</v>
      </c>
      <c r="E4880" s="8">
        <f>E4879+(0-100)</f>
        <v>8587394.9699995797</v>
      </c>
    </row>
    <row r="4881" spans="1:5" x14ac:dyDescent="0.25">
      <c r="A4881" s="2" t="s">
        <v>38</v>
      </c>
      <c r="B4881" s="6">
        <v>45856</v>
      </c>
      <c r="C4881" s="2" t="s">
        <v>53</v>
      </c>
      <c r="D4881" s="8">
        <v>-53.75</v>
      </c>
      <c r="E4881" s="8">
        <f>E4880+(0-53.75)</f>
        <v>8587341.2199995797</v>
      </c>
    </row>
    <row r="4882" spans="1:5" x14ac:dyDescent="0.25">
      <c r="A4882" s="2" t="s">
        <v>38</v>
      </c>
      <c r="B4882" s="6">
        <v>45856</v>
      </c>
      <c r="C4882" s="2" t="s">
        <v>53</v>
      </c>
      <c r="D4882" s="8">
        <v>-53.75</v>
      </c>
      <c r="E4882" s="8">
        <f>E4881+(0-53.75)</f>
        <v>8587287.4699995797</v>
      </c>
    </row>
    <row r="4883" spans="1:5" x14ac:dyDescent="0.25">
      <c r="A4883" s="2" t="s">
        <v>38</v>
      </c>
      <c r="B4883" s="6">
        <v>45856</v>
      </c>
      <c r="C4883" s="2" t="s">
        <v>53</v>
      </c>
      <c r="D4883" s="8">
        <v>-53.75</v>
      </c>
      <c r="E4883" s="8">
        <f>E4882+(0-53.75)</f>
        <v>8587233.7199995797</v>
      </c>
    </row>
    <row r="4884" spans="1:5" x14ac:dyDescent="0.25">
      <c r="A4884" s="2" t="s">
        <v>38</v>
      </c>
      <c r="B4884" s="6">
        <v>45856</v>
      </c>
      <c r="C4884" s="2" t="s">
        <v>53</v>
      </c>
      <c r="D4884" s="8">
        <v>-550</v>
      </c>
      <c r="E4884" s="8">
        <f>E4883+(0-550)</f>
        <v>8586683.7199995797</v>
      </c>
    </row>
    <row r="4885" spans="1:5" x14ac:dyDescent="0.25">
      <c r="A4885" s="2" t="s">
        <v>38</v>
      </c>
      <c r="B4885" s="6">
        <v>45859</v>
      </c>
      <c r="C4885" s="2" t="s">
        <v>53</v>
      </c>
      <c r="D4885" s="8">
        <v>-26.88</v>
      </c>
      <c r="E4885" s="8">
        <f>E4884+(0-26.88)</f>
        <v>8586656.8399995789</v>
      </c>
    </row>
    <row r="4886" spans="1:5" x14ac:dyDescent="0.25">
      <c r="A4886" s="2" t="s">
        <v>38</v>
      </c>
      <c r="B4886" s="6">
        <v>45859</v>
      </c>
      <c r="C4886" s="2" t="s">
        <v>53</v>
      </c>
      <c r="D4886" s="8">
        <v>-26.88</v>
      </c>
      <c r="E4886" s="8">
        <f>E4885+(0-26.88)</f>
        <v>8586629.9599995781</v>
      </c>
    </row>
    <row r="4887" spans="1:5" x14ac:dyDescent="0.25">
      <c r="A4887" s="2" t="s">
        <v>38</v>
      </c>
      <c r="B4887" s="6">
        <v>45859</v>
      </c>
      <c r="C4887" s="2" t="s">
        <v>53</v>
      </c>
      <c r="D4887" s="8">
        <v>-26.88</v>
      </c>
      <c r="E4887" s="8">
        <f>E4886+(0-26.88)</f>
        <v>8586603.0799995773</v>
      </c>
    </row>
    <row r="4888" spans="1:5" x14ac:dyDescent="0.25">
      <c r="A4888" s="2" t="s">
        <v>38</v>
      </c>
      <c r="B4888" s="6">
        <v>45859</v>
      </c>
      <c r="C4888" s="2" t="s">
        <v>53</v>
      </c>
      <c r="D4888" s="8">
        <v>-600</v>
      </c>
      <c r="E4888" s="8">
        <f>E4887+(0-600)</f>
        <v>8586003.0799995773</v>
      </c>
    </row>
    <row r="4889" spans="1:5" x14ac:dyDescent="0.25">
      <c r="A4889" s="2" t="s">
        <v>38</v>
      </c>
      <c r="B4889" s="6">
        <v>45860</v>
      </c>
      <c r="C4889" s="2" t="s">
        <v>53</v>
      </c>
      <c r="D4889" s="8">
        <v>-700</v>
      </c>
      <c r="E4889" s="8">
        <f>E4888+(0-700)</f>
        <v>8585303.0799995773</v>
      </c>
    </row>
    <row r="4890" spans="1:5" x14ac:dyDescent="0.25">
      <c r="A4890" s="2" t="s">
        <v>38</v>
      </c>
      <c r="B4890" s="6">
        <v>45860</v>
      </c>
      <c r="C4890" s="2" t="s">
        <v>19</v>
      </c>
      <c r="D4890" s="8">
        <v>-138</v>
      </c>
      <c r="E4890" s="8">
        <f>E4889+(0-138)</f>
        <v>8585165.0799995773</v>
      </c>
    </row>
    <row r="4891" spans="1:5" x14ac:dyDescent="0.25">
      <c r="A4891" s="2" t="s">
        <v>38</v>
      </c>
      <c r="B4891" s="6">
        <v>45860</v>
      </c>
      <c r="C4891" s="2" t="s">
        <v>19</v>
      </c>
      <c r="D4891" s="8">
        <v>-96</v>
      </c>
      <c r="E4891" s="8">
        <f>E4890+(0-96)</f>
        <v>8585069.0799995773</v>
      </c>
    </row>
    <row r="4892" spans="1:5" x14ac:dyDescent="0.25">
      <c r="A4892" s="2" t="s">
        <v>38</v>
      </c>
      <c r="B4892" s="6">
        <v>45860</v>
      </c>
      <c r="C4892" s="2" t="s">
        <v>19</v>
      </c>
      <c r="D4892" s="8">
        <v>-126</v>
      </c>
      <c r="E4892" s="8">
        <f>E4891+(0-126)</f>
        <v>8584943.0799995773</v>
      </c>
    </row>
    <row r="4893" spans="1:5" x14ac:dyDescent="0.25">
      <c r="A4893" s="2" t="s">
        <v>38</v>
      </c>
      <c r="B4893" s="6">
        <v>45861</v>
      </c>
      <c r="C4893" s="2" t="s">
        <v>19</v>
      </c>
      <c r="D4893" s="8">
        <v>-42</v>
      </c>
      <c r="E4893" s="8">
        <f>E4892+(0-42)</f>
        <v>8584901.0799995773</v>
      </c>
    </row>
    <row r="4894" spans="1:5" x14ac:dyDescent="0.25">
      <c r="A4894" s="2" t="s">
        <v>38</v>
      </c>
      <c r="B4894" s="6">
        <v>45861</v>
      </c>
      <c r="C4894" s="2" t="s">
        <v>19</v>
      </c>
      <c r="D4894" s="8">
        <v>-24</v>
      </c>
      <c r="E4894" s="8">
        <f>E4893+(0-24)</f>
        <v>8584877.0799995773</v>
      </c>
    </row>
    <row r="4895" spans="1:5" x14ac:dyDescent="0.25">
      <c r="A4895" s="2" t="s">
        <v>38</v>
      </c>
      <c r="B4895" s="6">
        <v>45861</v>
      </c>
      <c r="C4895" s="2" t="s">
        <v>53</v>
      </c>
      <c r="D4895" s="8">
        <v>-250</v>
      </c>
      <c r="E4895" s="8">
        <f>E4894+(0-250)</f>
        <v>8584627.0799995773</v>
      </c>
    </row>
    <row r="4896" spans="1:5" x14ac:dyDescent="0.25">
      <c r="A4896" s="2" t="s">
        <v>38</v>
      </c>
      <c r="B4896" s="6">
        <v>45861</v>
      </c>
      <c r="C4896" s="2" t="s">
        <v>53</v>
      </c>
      <c r="D4896" s="8">
        <v>-50</v>
      </c>
      <c r="E4896" s="8">
        <f>E4895+(0-50)</f>
        <v>8584577.0799995773</v>
      </c>
    </row>
    <row r="4897" spans="1:5" x14ac:dyDescent="0.25">
      <c r="A4897" s="2" t="s">
        <v>38</v>
      </c>
      <c r="B4897" s="6">
        <v>45861</v>
      </c>
      <c r="C4897" s="2" t="s">
        <v>53</v>
      </c>
      <c r="D4897" s="8">
        <v>-50</v>
      </c>
      <c r="E4897" s="8">
        <f>E4896+(0-50)</f>
        <v>8584527.0799995773</v>
      </c>
    </row>
    <row r="4898" spans="1:5" x14ac:dyDescent="0.25">
      <c r="A4898" s="2" t="s">
        <v>38</v>
      </c>
      <c r="B4898" s="6">
        <v>45861</v>
      </c>
      <c r="C4898" s="2" t="s">
        <v>19</v>
      </c>
      <c r="D4898" s="8">
        <v>-54</v>
      </c>
      <c r="E4898" s="8">
        <f>E4897+(0-54)</f>
        <v>8584473.0799995773</v>
      </c>
    </row>
    <row r="4899" spans="1:5" x14ac:dyDescent="0.25">
      <c r="A4899" s="2" t="s">
        <v>38</v>
      </c>
      <c r="B4899" s="6">
        <v>45861</v>
      </c>
      <c r="C4899" s="2" t="s">
        <v>19</v>
      </c>
      <c r="D4899" s="8">
        <v>-126</v>
      </c>
      <c r="E4899" s="8">
        <f>E4898+(0-126)</f>
        <v>8584347.0799995773</v>
      </c>
    </row>
    <row r="4900" spans="1:5" x14ac:dyDescent="0.25">
      <c r="A4900" s="2" t="s">
        <v>38</v>
      </c>
      <c r="B4900" s="6">
        <v>45862</v>
      </c>
      <c r="C4900" s="2" t="s">
        <v>53</v>
      </c>
      <c r="D4900" s="8">
        <v>-53.75</v>
      </c>
      <c r="E4900" s="8">
        <f>E4899+(0-53.75)</f>
        <v>8584293.3299995773</v>
      </c>
    </row>
    <row r="4901" spans="1:5" x14ac:dyDescent="0.25">
      <c r="A4901" s="2" t="s">
        <v>38</v>
      </c>
      <c r="B4901" s="6">
        <v>45862</v>
      </c>
      <c r="C4901" s="2" t="s">
        <v>53</v>
      </c>
      <c r="D4901" s="8">
        <v>-400</v>
      </c>
      <c r="E4901" s="8">
        <f>E4900+(0-400)</f>
        <v>8583893.3299995773</v>
      </c>
    </row>
    <row r="4902" spans="1:5" x14ac:dyDescent="0.25">
      <c r="A4902" s="2" t="s">
        <v>38</v>
      </c>
      <c r="B4902" s="6">
        <v>45863</v>
      </c>
      <c r="C4902" s="2" t="s">
        <v>53</v>
      </c>
      <c r="D4902" s="8">
        <v>-50</v>
      </c>
      <c r="E4902" s="8">
        <f>E4901+(0-50)</f>
        <v>8583843.3299995773</v>
      </c>
    </row>
    <row r="4903" spans="1:5" x14ac:dyDescent="0.25">
      <c r="A4903" s="2" t="s">
        <v>38</v>
      </c>
      <c r="B4903" s="6">
        <v>45863</v>
      </c>
      <c r="C4903" s="2" t="s">
        <v>53</v>
      </c>
      <c r="D4903" s="8">
        <v>-50</v>
      </c>
      <c r="E4903" s="8">
        <f>E4902+(0-50)</f>
        <v>8583793.3299995773</v>
      </c>
    </row>
    <row r="4904" spans="1:5" x14ac:dyDescent="0.25">
      <c r="A4904" s="2" t="s">
        <v>38</v>
      </c>
      <c r="B4904" s="6">
        <v>45863</v>
      </c>
      <c r="C4904" s="2" t="s">
        <v>53</v>
      </c>
      <c r="D4904" s="8">
        <v>-400</v>
      </c>
      <c r="E4904" s="8">
        <f>E4903+(0-400)</f>
        <v>8583393.3299995773</v>
      </c>
    </row>
    <row r="4905" spans="1:5" x14ac:dyDescent="0.25">
      <c r="A4905" s="2" t="s">
        <v>38</v>
      </c>
      <c r="B4905" s="6">
        <v>45866</v>
      </c>
      <c r="C4905" s="2" t="s">
        <v>19</v>
      </c>
      <c r="D4905" s="8">
        <v>-36</v>
      </c>
      <c r="E4905" s="8">
        <f>E4904+(0-36)</f>
        <v>8583357.3299995773</v>
      </c>
    </row>
    <row r="4906" spans="1:5" x14ac:dyDescent="0.25">
      <c r="A4906" s="2" t="s">
        <v>38</v>
      </c>
      <c r="B4906" s="6">
        <v>45866</v>
      </c>
      <c r="C4906" s="2" t="s">
        <v>19</v>
      </c>
      <c r="D4906" s="8">
        <v>-90</v>
      </c>
      <c r="E4906" s="8">
        <f>E4905+(0-90)</f>
        <v>8583267.3299995773</v>
      </c>
    </row>
    <row r="4907" spans="1:5" x14ac:dyDescent="0.25">
      <c r="A4907" s="2" t="s">
        <v>38</v>
      </c>
      <c r="B4907" s="6">
        <v>45866</v>
      </c>
      <c r="C4907" s="2" t="s">
        <v>53</v>
      </c>
      <c r="D4907" s="8">
        <v>-53.75</v>
      </c>
      <c r="E4907" s="8">
        <f>E4906+(0-53.75)</f>
        <v>8583213.5799995773</v>
      </c>
    </row>
    <row r="4908" spans="1:5" x14ac:dyDescent="0.25">
      <c r="A4908" s="2" t="s">
        <v>38</v>
      </c>
      <c r="B4908" s="6">
        <v>45866</v>
      </c>
      <c r="C4908" s="2" t="s">
        <v>53</v>
      </c>
      <c r="D4908" s="8">
        <v>-53.75</v>
      </c>
      <c r="E4908" s="8">
        <f>E4907+(0-53.75)</f>
        <v>8583159.8299995773</v>
      </c>
    </row>
    <row r="4909" spans="1:5" x14ac:dyDescent="0.25">
      <c r="A4909" s="2" t="s">
        <v>38</v>
      </c>
      <c r="B4909" s="6">
        <v>45866</v>
      </c>
      <c r="C4909" s="2" t="s">
        <v>53</v>
      </c>
      <c r="D4909" s="8">
        <v>-53.75</v>
      </c>
      <c r="E4909" s="8">
        <f>E4908+(0-53.75)</f>
        <v>8583106.0799995773</v>
      </c>
    </row>
    <row r="4910" spans="1:5" x14ac:dyDescent="0.25">
      <c r="A4910" s="2" t="s">
        <v>38</v>
      </c>
      <c r="B4910" s="6">
        <v>45866</v>
      </c>
      <c r="C4910" s="2" t="s">
        <v>53</v>
      </c>
      <c r="D4910" s="8">
        <v>-26.88</v>
      </c>
      <c r="E4910" s="8">
        <f>E4909+(0-26.88)</f>
        <v>8583079.1999995764</v>
      </c>
    </row>
    <row r="4911" spans="1:5" x14ac:dyDescent="0.25">
      <c r="A4911" s="2" t="s">
        <v>38</v>
      </c>
      <c r="B4911" s="6">
        <v>45866</v>
      </c>
      <c r="C4911" s="2" t="s">
        <v>53</v>
      </c>
      <c r="D4911" s="8">
        <v>-53.75</v>
      </c>
      <c r="E4911" s="8">
        <f>E4910+(0-53.75)</f>
        <v>8583025.4499995764</v>
      </c>
    </row>
    <row r="4912" spans="1:5" x14ac:dyDescent="0.25">
      <c r="A4912" s="2" t="s">
        <v>38</v>
      </c>
      <c r="B4912" s="6">
        <v>45866</v>
      </c>
      <c r="C4912" s="2" t="s">
        <v>53</v>
      </c>
      <c r="D4912" s="8">
        <v>-26.88</v>
      </c>
      <c r="E4912" s="8">
        <f>E4911+(0-26.88)</f>
        <v>8582998.5699995756</v>
      </c>
    </row>
    <row r="4913" spans="1:5" x14ac:dyDescent="0.25">
      <c r="A4913" s="2" t="s">
        <v>38</v>
      </c>
      <c r="B4913" s="6">
        <v>45866</v>
      </c>
      <c r="C4913" s="2" t="s">
        <v>53</v>
      </c>
      <c r="D4913" s="8">
        <v>-53.75</v>
      </c>
      <c r="E4913" s="8">
        <f>E4912+(0-53.75)</f>
        <v>8582944.8199995756</v>
      </c>
    </row>
    <row r="4914" spans="1:5" x14ac:dyDescent="0.25">
      <c r="A4914" s="2" t="s">
        <v>38</v>
      </c>
      <c r="B4914" s="6">
        <v>45866</v>
      </c>
      <c r="C4914" s="2" t="s">
        <v>233</v>
      </c>
      <c r="D4914" s="8">
        <v>-1284</v>
      </c>
      <c r="E4914" s="8">
        <f>E4913+(0-1284)</f>
        <v>8581660.8199995756</v>
      </c>
    </row>
    <row r="4915" spans="1:5" x14ac:dyDescent="0.25">
      <c r="A4915" s="2" t="s">
        <v>38</v>
      </c>
      <c r="B4915" s="6">
        <v>45866</v>
      </c>
      <c r="C4915" s="2" t="s">
        <v>53</v>
      </c>
      <c r="D4915" s="8">
        <v>-400</v>
      </c>
      <c r="E4915" s="8">
        <f>E4914+(0-400)</f>
        <v>8581260.8199995756</v>
      </c>
    </row>
    <row r="4916" spans="1:5" x14ac:dyDescent="0.25">
      <c r="A4916" s="2" t="s">
        <v>38</v>
      </c>
      <c r="B4916" s="6">
        <v>45867</v>
      </c>
      <c r="C4916" s="2" t="s">
        <v>53</v>
      </c>
      <c r="D4916" s="8">
        <v>-500</v>
      </c>
      <c r="E4916" s="8">
        <f>E4915+(0-500)</f>
        <v>8580760.8199995756</v>
      </c>
    </row>
    <row r="4917" spans="1:5" x14ac:dyDescent="0.25">
      <c r="A4917" s="2" t="s">
        <v>38</v>
      </c>
      <c r="B4917" s="6">
        <v>45868</v>
      </c>
      <c r="C4917" s="2" t="s">
        <v>19</v>
      </c>
      <c r="D4917" s="8">
        <v>-102</v>
      </c>
      <c r="E4917" s="8">
        <f>E4916+(0-102)</f>
        <v>8580658.8199995756</v>
      </c>
    </row>
    <row r="4918" spans="1:5" x14ac:dyDescent="0.25">
      <c r="A4918" s="2" t="s">
        <v>38</v>
      </c>
      <c r="B4918" s="6">
        <v>45868</v>
      </c>
      <c r="C4918" s="2" t="s">
        <v>19</v>
      </c>
      <c r="D4918" s="8">
        <v>-12</v>
      </c>
      <c r="E4918" s="8">
        <f>E4917+(0-12)</f>
        <v>8580646.8199995756</v>
      </c>
    </row>
    <row r="4919" spans="1:5" x14ac:dyDescent="0.25">
      <c r="A4919" s="2" t="s">
        <v>38</v>
      </c>
      <c r="B4919" s="6">
        <v>45868</v>
      </c>
      <c r="C4919" s="2" t="s">
        <v>19</v>
      </c>
      <c r="D4919" s="8">
        <v>-6</v>
      </c>
      <c r="E4919" s="8">
        <f>E4918+(0-6)</f>
        <v>8580640.8199995756</v>
      </c>
    </row>
    <row r="4920" spans="1:5" x14ac:dyDescent="0.25">
      <c r="A4920" s="2" t="s">
        <v>38</v>
      </c>
      <c r="B4920" s="6">
        <v>45868</v>
      </c>
      <c r="C4920" s="2" t="s">
        <v>19</v>
      </c>
      <c r="D4920" s="8">
        <v>-132</v>
      </c>
      <c r="E4920" s="8">
        <f>E4919+(0-132)</f>
        <v>8580508.8199995756</v>
      </c>
    </row>
    <row r="4921" spans="1:5" x14ac:dyDescent="0.25">
      <c r="A4921" s="2" t="s">
        <v>38</v>
      </c>
      <c r="B4921" s="6">
        <v>45868</v>
      </c>
      <c r="C4921" s="2" t="s">
        <v>53</v>
      </c>
      <c r="D4921" s="8">
        <v>-500</v>
      </c>
      <c r="E4921" s="8">
        <f>E4920+(0-500)</f>
        <v>8580008.8199995756</v>
      </c>
    </row>
    <row r="4922" spans="1:5" x14ac:dyDescent="0.25">
      <c r="A4922" s="2" t="s">
        <v>38</v>
      </c>
      <c r="B4922" s="6">
        <v>45869</v>
      </c>
      <c r="C4922" s="2" t="s">
        <v>53</v>
      </c>
      <c r="D4922" s="8">
        <v>-53.75</v>
      </c>
      <c r="E4922" s="8">
        <f>E4921+(0-53.75)</f>
        <v>8579955.0699995756</v>
      </c>
    </row>
    <row r="4923" spans="1:5" x14ac:dyDescent="0.25">
      <c r="A4923" s="2" t="s">
        <v>38</v>
      </c>
      <c r="B4923" s="6">
        <v>45869</v>
      </c>
      <c r="C4923" s="2" t="s">
        <v>53</v>
      </c>
      <c r="D4923" s="8">
        <v>-53.75</v>
      </c>
      <c r="E4923" s="8">
        <f>E4922+(0-53.75)</f>
        <v>8579901.3199995756</v>
      </c>
    </row>
    <row r="4924" spans="1:5" x14ac:dyDescent="0.25">
      <c r="A4924" s="2" t="s">
        <v>38</v>
      </c>
      <c r="B4924" s="6">
        <v>45869</v>
      </c>
      <c r="C4924" s="2" t="s">
        <v>53</v>
      </c>
      <c r="D4924" s="8">
        <v>-53.75</v>
      </c>
      <c r="E4924" s="8">
        <f>E4923+(0-53.75)</f>
        <v>8579847.5699995756</v>
      </c>
    </row>
    <row r="4925" spans="1:5" x14ac:dyDescent="0.25">
      <c r="A4925" s="2" t="s">
        <v>38</v>
      </c>
      <c r="B4925" s="6">
        <v>45869</v>
      </c>
      <c r="C4925" s="2" t="s">
        <v>53</v>
      </c>
      <c r="D4925" s="8">
        <v>-53.75</v>
      </c>
      <c r="E4925" s="8">
        <f>E4924+(0-53.75)</f>
        <v>8579793.8199995756</v>
      </c>
    </row>
    <row r="4926" spans="1:5" x14ac:dyDescent="0.25">
      <c r="A4926" s="2" t="s">
        <v>38</v>
      </c>
      <c r="B4926" s="6">
        <v>45869</v>
      </c>
      <c r="C4926" s="2" t="s">
        <v>53</v>
      </c>
      <c r="D4926" s="8">
        <v>-400</v>
      </c>
      <c r="E4926" s="8">
        <f>E4925+(0-400)</f>
        <v>8579393.8199995756</v>
      </c>
    </row>
    <row r="4927" spans="1:5" x14ac:dyDescent="0.25">
      <c r="A4927" s="2" t="s">
        <v>38</v>
      </c>
      <c r="B4927" s="6">
        <v>45870</v>
      </c>
      <c r="C4927" s="2" t="s">
        <v>19</v>
      </c>
      <c r="D4927" s="8">
        <v>-66</v>
      </c>
      <c r="E4927" s="8">
        <f>E4926+(0-66)</f>
        <v>8579327.8199995756</v>
      </c>
    </row>
    <row r="4928" spans="1:5" x14ac:dyDescent="0.25">
      <c r="A4928" s="2" t="s">
        <v>38</v>
      </c>
      <c r="B4928" s="6">
        <v>45870</v>
      </c>
      <c r="C4928" s="2" t="s">
        <v>19</v>
      </c>
      <c r="D4928" s="8">
        <v>-60</v>
      </c>
      <c r="E4928" s="8">
        <f>E4927+(0-60)</f>
        <v>8579267.8199995756</v>
      </c>
    </row>
    <row r="4929" spans="1:5" x14ac:dyDescent="0.25">
      <c r="A4929" s="2" t="s">
        <v>38</v>
      </c>
      <c r="B4929" s="6">
        <v>45870</v>
      </c>
      <c r="C4929" s="2" t="s">
        <v>53</v>
      </c>
      <c r="D4929" s="8">
        <v>-53.75</v>
      </c>
      <c r="E4929" s="8">
        <f>E4928+(0-53.75)</f>
        <v>8579214.0699995756</v>
      </c>
    </row>
    <row r="4930" spans="1:5" x14ac:dyDescent="0.25">
      <c r="A4930" s="2" t="s">
        <v>38</v>
      </c>
      <c r="B4930" s="6">
        <v>45870</v>
      </c>
      <c r="C4930" s="2" t="s">
        <v>53</v>
      </c>
      <c r="D4930" s="8">
        <v>-50</v>
      </c>
      <c r="E4930" s="8">
        <f>E4929+(0-50)</f>
        <v>8579164.0699995756</v>
      </c>
    </row>
    <row r="4931" spans="1:5" x14ac:dyDescent="0.25">
      <c r="A4931" s="2" t="s">
        <v>38</v>
      </c>
      <c r="B4931" s="6">
        <v>45870</v>
      </c>
      <c r="C4931" s="2" t="s">
        <v>53</v>
      </c>
      <c r="D4931" s="8">
        <v>-600</v>
      </c>
      <c r="E4931" s="8">
        <f>E4930+(0-600)</f>
        <v>8578564.0699995756</v>
      </c>
    </row>
    <row r="4932" spans="1:5" x14ac:dyDescent="0.25">
      <c r="A4932" s="2" t="s">
        <v>38</v>
      </c>
      <c r="B4932" s="6">
        <v>45873</v>
      </c>
      <c r="C4932" s="2" t="s">
        <v>19</v>
      </c>
      <c r="D4932" s="8">
        <v>-114</v>
      </c>
      <c r="E4932" s="8">
        <f>E4931+(0-114)</f>
        <v>8578450.0699995756</v>
      </c>
    </row>
    <row r="4933" spans="1:5" x14ac:dyDescent="0.25">
      <c r="A4933" s="2" t="s">
        <v>38</v>
      </c>
      <c r="B4933" s="6">
        <v>45873</v>
      </c>
      <c r="C4933" s="2" t="s">
        <v>19</v>
      </c>
      <c r="D4933" s="8">
        <v>-84</v>
      </c>
      <c r="E4933" s="8">
        <f>E4932+(0-84)</f>
        <v>8578366.0699995756</v>
      </c>
    </row>
    <row r="4934" spans="1:5" x14ac:dyDescent="0.25">
      <c r="A4934" s="2" t="s">
        <v>38</v>
      </c>
      <c r="B4934" s="6">
        <v>45873</v>
      </c>
      <c r="C4934" s="2" t="s">
        <v>53</v>
      </c>
      <c r="D4934" s="8">
        <v>-53.75</v>
      </c>
      <c r="E4934" s="8">
        <f>E4933+(0-53.75)</f>
        <v>8578312.3199995756</v>
      </c>
    </row>
    <row r="4935" spans="1:5" x14ac:dyDescent="0.25">
      <c r="A4935" s="2" t="s">
        <v>38</v>
      </c>
      <c r="B4935" s="6">
        <v>45873</v>
      </c>
      <c r="C4935" s="2" t="s">
        <v>19</v>
      </c>
      <c r="D4935" s="8">
        <v>-12</v>
      </c>
      <c r="E4935" s="8">
        <f>E4934+(0-12)</f>
        <v>8578300.3199995756</v>
      </c>
    </row>
    <row r="4936" spans="1:5" x14ac:dyDescent="0.25">
      <c r="A4936" s="2" t="s">
        <v>38</v>
      </c>
      <c r="B4936" s="6">
        <v>45873</v>
      </c>
      <c r="C4936" s="2" t="s">
        <v>53</v>
      </c>
      <c r="D4936" s="8">
        <v>-100</v>
      </c>
      <c r="E4936" s="8">
        <f>E4935+(0-100)</f>
        <v>8578200.3199995756</v>
      </c>
    </row>
    <row r="4937" spans="1:5" x14ac:dyDescent="0.25">
      <c r="A4937" s="2" t="s">
        <v>38</v>
      </c>
      <c r="B4937" s="6">
        <v>45873</v>
      </c>
      <c r="C4937" s="2" t="s">
        <v>53</v>
      </c>
      <c r="D4937" s="8">
        <v>-100</v>
      </c>
      <c r="E4937" s="8">
        <f>E4936+(0-100)</f>
        <v>8578100.3199995756</v>
      </c>
    </row>
    <row r="4938" spans="1:5" x14ac:dyDescent="0.25">
      <c r="A4938" s="2" t="s">
        <v>38</v>
      </c>
      <c r="B4938" s="6">
        <v>45874</v>
      </c>
      <c r="C4938" s="2" t="s">
        <v>53</v>
      </c>
      <c r="D4938" s="8">
        <v>-50</v>
      </c>
      <c r="E4938" s="8">
        <f>E4937+(0-50)</f>
        <v>8578050.3199995756</v>
      </c>
    </row>
    <row r="4939" spans="1:5" x14ac:dyDescent="0.25">
      <c r="A4939" s="2" t="s">
        <v>38</v>
      </c>
      <c r="B4939" s="6">
        <v>45874</v>
      </c>
      <c r="C4939" s="2" t="s">
        <v>53</v>
      </c>
      <c r="D4939" s="8">
        <v>-350</v>
      </c>
      <c r="E4939" s="8">
        <f>E4938+(0-350)</f>
        <v>8577700.3199995756</v>
      </c>
    </row>
    <row r="4940" spans="1:5" x14ac:dyDescent="0.25">
      <c r="A4940" s="2" t="s">
        <v>38</v>
      </c>
      <c r="B4940" s="6">
        <v>45875</v>
      </c>
      <c r="C4940" s="2" t="s">
        <v>53</v>
      </c>
      <c r="D4940" s="8">
        <v>-150</v>
      </c>
      <c r="E4940" s="8">
        <f>E4939+(0-150)</f>
        <v>8577550.3199995756</v>
      </c>
    </row>
    <row r="4941" spans="1:5" x14ac:dyDescent="0.25">
      <c r="A4941" s="2" t="s">
        <v>38</v>
      </c>
      <c r="B4941" s="6">
        <v>45876</v>
      </c>
      <c r="C4941" s="2" t="s">
        <v>53</v>
      </c>
      <c r="D4941" s="8">
        <v>-26.88</v>
      </c>
      <c r="E4941" s="8">
        <f>E4940+(0-26.88)</f>
        <v>8577523.4399995748</v>
      </c>
    </row>
    <row r="4942" spans="1:5" x14ac:dyDescent="0.25">
      <c r="A4942" s="2" t="s">
        <v>38</v>
      </c>
      <c r="B4942" s="6">
        <v>45876</v>
      </c>
      <c r="C4942" s="2" t="s">
        <v>53</v>
      </c>
      <c r="D4942" s="8">
        <v>-26.88</v>
      </c>
      <c r="E4942" s="8">
        <f>E4941+(0-26.88)</f>
        <v>8577496.559999574</v>
      </c>
    </row>
    <row r="4943" spans="1:5" x14ac:dyDescent="0.25">
      <c r="A4943" s="2" t="s">
        <v>38</v>
      </c>
      <c r="B4943" s="6">
        <v>45876</v>
      </c>
      <c r="C4943" s="2" t="s">
        <v>53</v>
      </c>
      <c r="D4943" s="8">
        <v>-800</v>
      </c>
      <c r="E4943" s="8">
        <f>E4942+(0-800)</f>
        <v>8576696.559999574</v>
      </c>
    </row>
    <row r="4944" spans="1:5" x14ac:dyDescent="0.25">
      <c r="A4944" s="2" t="s">
        <v>38</v>
      </c>
      <c r="B4944" s="6">
        <v>45877</v>
      </c>
      <c r="C4944" s="2" t="s">
        <v>53</v>
      </c>
      <c r="D4944" s="8">
        <v>-53.75</v>
      </c>
      <c r="E4944" s="8">
        <f>E4943+(0-53.75)</f>
        <v>8576642.809999574</v>
      </c>
    </row>
    <row r="4945" spans="1:5" x14ac:dyDescent="0.25">
      <c r="A4945" s="2" t="s">
        <v>38</v>
      </c>
      <c r="B4945" s="6">
        <v>45877</v>
      </c>
      <c r="C4945" s="2" t="s">
        <v>53</v>
      </c>
      <c r="D4945" s="8">
        <v>-650</v>
      </c>
      <c r="E4945" s="8">
        <f>E4944+(0-650)</f>
        <v>8575992.809999574</v>
      </c>
    </row>
    <row r="4946" spans="1:5" x14ac:dyDescent="0.25">
      <c r="A4946" s="2" t="s">
        <v>38</v>
      </c>
      <c r="B4946" s="6">
        <v>45877</v>
      </c>
      <c r="C4946" s="2" t="s">
        <v>53</v>
      </c>
      <c r="D4946" s="8">
        <v>-50</v>
      </c>
      <c r="E4946" s="8">
        <f>E4945+(0-50)</f>
        <v>8575942.809999574</v>
      </c>
    </row>
    <row r="4947" spans="1:5" x14ac:dyDescent="0.25">
      <c r="A4947" s="2" t="s">
        <v>38</v>
      </c>
      <c r="B4947" s="6">
        <v>45880</v>
      </c>
      <c r="C4947" s="2" t="s">
        <v>19</v>
      </c>
      <c r="D4947" s="8">
        <v>-42</v>
      </c>
      <c r="E4947" s="8">
        <f>E4946+(0-42)</f>
        <v>8575900.809999574</v>
      </c>
    </row>
    <row r="4948" spans="1:5" x14ac:dyDescent="0.25">
      <c r="A4948" s="2" t="s">
        <v>38</v>
      </c>
      <c r="B4948" s="6">
        <v>45880</v>
      </c>
      <c r="C4948" s="2" t="s">
        <v>19</v>
      </c>
      <c r="D4948" s="8">
        <v>-18</v>
      </c>
      <c r="E4948" s="8">
        <f>E4947+(0-18)</f>
        <v>8575882.809999574</v>
      </c>
    </row>
    <row r="4949" spans="1:5" x14ac:dyDescent="0.25">
      <c r="A4949" s="2" t="s">
        <v>38</v>
      </c>
      <c r="B4949" s="6">
        <v>45880</v>
      </c>
      <c r="C4949" s="2" t="s">
        <v>19</v>
      </c>
      <c r="D4949" s="8">
        <v>-126</v>
      </c>
      <c r="E4949" s="8">
        <f>E4948+(0-126)</f>
        <v>8575756.809999574</v>
      </c>
    </row>
    <row r="4950" spans="1:5" x14ac:dyDescent="0.25">
      <c r="A4950" s="2" t="s">
        <v>38</v>
      </c>
      <c r="B4950" s="6">
        <v>45880</v>
      </c>
      <c r="C4950" s="2" t="s">
        <v>53</v>
      </c>
      <c r="D4950" s="8">
        <v>-53.75</v>
      </c>
      <c r="E4950" s="8">
        <f>E4949+(0-53.75)</f>
        <v>8575703.059999574</v>
      </c>
    </row>
    <row r="4951" spans="1:5" x14ac:dyDescent="0.25">
      <c r="A4951" s="2" t="s">
        <v>38</v>
      </c>
      <c r="B4951" s="6">
        <v>45880</v>
      </c>
      <c r="C4951" s="2" t="s">
        <v>53</v>
      </c>
      <c r="D4951" s="8">
        <v>-53.75</v>
      </c>
      <c r="E4951" s="8">
        <f>E4950+(0-53.75)</f>
        <v>8575649.309999574</v>
      </c>
    </row>
    <row r="4952" spans="1:5" x14ac:dyDescent="0.25">
      <c r="A4952" s="2" t="s">
        <v>38</v>
      </c>
      <c r="B4952" s="6">
        <v>45880</v>
      </c>
      <c r="C4952" s="2" t="s">
        <v>19</v>
      </c>
      <c r="D4952" s="8">
        <v>-102</v>
      </c>
      <c r="E4952" s="8">
        <f>E4951+(0-102)</f>
        <v>8575547.309999574</v>
      </c>
    </row>
    <row r="4953" spans="1:5" x14ac:dyDescent="0.25">
      <c r="A4953" s="2" t="s">
        <v>38</v>
      </c>
      <c r="B4953" s="6">
        <v>45880</v>
      </c>
      <c r="C4953" s="2" t="s">
        <v>19</v>
      </c>
      <c r="D4953" s="8">
        <v>-42</v>
      </c>
      <c r="E4953" s="8">
        <f>E4952+(0-42)</f>
        <v>8575505.309999574</v>
      </c>
    </row>
    <row r="4954" spans="1:5" x14ac:dyDescent="0.25">
      <c r="A4954" s="2" t="s">
        <v>38</v>
      </c>
      <c r="B4954" s="6">
        <v>45880</v>
      </c>
      <c r="C4954" s="2" t="s">
        <v>19</v>
      </c>
      <c r="D4954" s="8">
        <v>-6</v>
      </c>
      <c r="E4954" s="8">
        <f>E4953+(0-6)</f>
        <v>8575499.309999574</v>
      </c>
    </row>
    <row r="4955" spans="1:5" x14ac:dyDescent="0.25">
      <c r="A4955" s="2" t="s">
        <v>38</v>
      </c>
      <c r="B4955" s="6">
        <v>45880</v>
      </c>
      <c r="C4955" s="2" t="s">
        <v>53</v>
      </c>
      <c r="D4955" s="8">
        <v>-900</v>
      </c>
      <c r="E4955" s="8">
        <f>E4954+(0-900)</f>
        <v>8574599.309999574</v>
      </c>
    </row>
    <row r="4956" spans="1:5" x14ac:dyDescent="0.25">
      <c r="A4956" s="2" t="s">
        <v>38</v>
      </c>
      <c r="B4956" s="6">
        <v>45881</v>
      </c>
      <c r="C4956" s="2" t="s">
        <v>19</v>
      </c>
      <c r="D4956" s="8">
        <v>-132</v>
      </c>
      <c r="E4956" s="8">
        <f>E4955+(0-132)</f>
        <v>8574467.309999574</v>
      </c>
    </row>
    <row r="4957" spans="1:5" x14ac:dyDescent="0.25">
      <c r="A4957" s="2" t="s">
        <v>38</v>
      </c>
      <c r="B4957" s="6">
        <v>45881</v>
      </c>
      <c r="C4957" s="2" t="s">
        <v>53</v>
      </c>
      <c r="D4957" s="8">
        <v>-53.75</v>
      </c>
      <c r="E4957" s="8">
        <f>E4956+(0-53.75)</f>
        <v>8574413.559999574</v>
      </c>
    </row>
    <row r="4958" spans="1:5" x14ac:dyDescent="0.25">
      <c r="A4958" s="2" t="s">
        <v>38</v>
      </c>
      <c r="B4958" s="6">
        <v>45881</v>
      </c>
      <c r="C4958" s="2" t="s">
        <v>53</v>
      </c>
      <c r="D4958" s="8">
        <v>-350</v>
      </c>
      <c r="E4958" s="8">
        <f>E4957+(0-350)</f>
        <v>8574063.559999574</v>
      </c>
    </row>
    <row r="4959" spans="1:5" x14ac:dyDescent="0.25">
      <c r="A4959" s="2" t="s">
        <v>38</v>
      </c>
      <c r="B4959" s="6">
        <v>45881</v>
      </c>
      <c r="C4959" s="2" t="s">
        <v>53</v>
      </c>
      <c r="D4959" s="8">
        <v>-50</v>
      </c>
      <c r="E4959" s="8">
        <f>E4958+(0-50)</f>
        <v>8574013.559999574</v>
      </c>
    </row>
    <row r="4960" spans="1:5" x14ac:dyDescent="0.25">
      <c r="A4960" s="2" t="s">
        <v>38</v>
      </c>
      <c r="B4960" s="6">
        <v>45882</v>
      </c>
      <c r="C4960" s="2" t="s">
        <v>53</v>
      </c>
      <c r="D4960" s="8">
        <v>-53.75</v>
      </c>
      <c r="E4960" s="8">
        <f>E4959+(0-53.75)</f>
        <v>8573959.809999574</v>
      </c>
    </row>
    <row r="4961" spans="1:5" x14ac:dyDescent="0.25">
      <c r="A4961" s="2" t="s">
        <v>38</v>
      </c>
      <c r="B4961" s="6">
        <v>45882</v>
      </c>
      <c r="C4961" s="2" t="s">
        <v>53</v>
      </c>
      <c r="D4961" s="8">
        <v>-53.75</v>
      </c>
      <c r="E4961" s="8">
        <f>E4960+(0-53.75)</f>
        <v>8573906.059999574</v>
      </c>
    </row>
    <row r="4962" spans="1:5" x14ac:dyDescent="0.25">
      <c r="A4962" s="2" t="s">
        <v>38</v>
      </c>
      <c r="B4962" s="6">
        <v>45882</v>
      </c>
      <c r="C4962" s="2" t="s">
        <v>53</v>
      </c>
      <c r="D4962" s="8">
        <v>-53.75</v>
      </c>
      <c r="E4962" s="8">
        <f>E4961+(0-53.75)</f>
        <v>8573852.309999574</v>
      </c>
    </row>
    <row r="4963" spans="1:5" x14ac:dyDescent="0.25">
      <c r="A4963" s="2" t="s">
        <v>38</v>
      </c>
      <c r="B4963" s="6">
        <v>45882</v>
      </c>
      <c r="C4963" s="2" t="s">
        <v>53</v>
      </c>
      <c r="D4963" s="8">
        <v>-53.75</v>
      </c>
      <c r="E4963" s="8">
        <f>E4962+(0-53.75)</f>
        <v>8573798.559999574</v>
      </c>
    </row>
    <row r="4964" spans="1:5" x14ac:dyDescent="0.25">
      <c r="A4964" s="2" t="s">
        <v>38</v>
      </c>
      <c r="B4964" s="6">
        <v>45882</v>
      </c>
      <c r="C4964" s="2" t="s">
        <v>53</v>
      </c>
      <c r="D4964" s="8">
        <v>-450</v>
      </c>
      <c r="E4964" s="8">
        <f>E4963+(0-450)</f>
        <v>8573348.559999574</v>
      </c>
    </row>
    <row r="4965" spans="1:5" x14ac:dyDescent="0.25">
      <c r="A4965" s="2" t="s">
        <v>38</v>
      </c>
      <c r="B4965" s="6">
        <v>45882</v>
      </c>
      <c r="C4965" s="2" t="s">
        <v>53</v>
      </c>
      <c r="D4965" s="8">
        <v>-50</v>
      </c>
      <c r="E4965" s="8">
        <f>E4964+(0-50)</f>
        <v>8573298.559999574</v>
      </c>
    </row>
    <row r="4966" spans="1:5" x14ac:dyDescent="0.25">
      <c r="A4966" s="2" t="s">
        <v>38</v>
      </c>
      <c r="B4966" s="6">
        <v>45883</v>
      </c>
      <c r="C4966" s="2" t="s">
        <v>53</v>
      </c>
      <c r="D4966" s="8">
        <v>-550</v>
      </c>
      <c r="E4966" s="8">
        <f>E4965+(0-550)</f>
        <v>8572748.559999574</v>
      </c>
    </row>
    <row r="4967" spans="1:5" x14ac:dyDescent="0.25">
      <c r="A4967" s="2" t="s">
        <v>38</v>
      </c>
      <c r="B4967" s="6">
        <v>45884</v>
      </c>
      <c r="C4967" s="2" t="s">
        <v>53</v>
      </c>
      <c r="D4967" s="8">
        <v>-53.75</v>
      </c>
      <c r="E4967" s="8">
        <f>E4966+(0-53.75)</f>
        <v>8572694.809999574</v>
      </c>
    </row>
    <row r="4968" spans="1:5" x14ac:dyDescent="0.25">
      <c r="A4968" s="2" t="s">
        <v>38</v>
      </c>
      <c r="B4968" s="6">
        <v>45884</v>
      </c>
      <c r="C4968" s="2" t="s">
        <v>53</v>
      </c>
      <c r="D4968" s="8">
        <v>-53.75</v>
      </c>
      <c r="E4968" s="8">
        <f>E4967+(0-53.75)</f>
        <v>8572641.059999574</v>
      </c>
    </row>
    <row r="4969" spans="1:5" x14ac:dyDescent="0.25">
      <c r="A4969" s="2" t="s">
        <v>38</v>
      </c>
      <c r="B4969" s="6">
        <v>45884</v>
      </c>
      <c r="C4969" s="2" t="s">
        <v>53</v>
      </c>
      <c r="D4969" s="8">
        <v>-350</v>
      </c>
      <c r="E4969" s="8">
        <f>E4968+(0-350)</f>
        <v>8572291.059999574</v>
      </c>
    </row>
    <row r="4970" spans="1:5" x14ac:dyDescent="0.25">
      <c r="A4970" s="2" t="s">
        <v>38</v>
      </c>
      <c r="B4970" s="6">
        <v>45887</v>
      </c>
      <c r="C4970" s="2" t="s">
        <v>19</v>
      </c>
      <c r="D4970" s="8">
        <v>-60</v>
      </c>
      <c r="E4970" s="8">
        <f>E4969+(0-60)</f>
        <v>8572231.059999574</v>
      </c>
    </row>
    <row r="4971" spans="1:5" x14ac:dyDescent="0.25">
      <c r="A4971" s="2" t="s">
        <v>38</v>
      </c>
      <c r="B4971" s="6">
        <v>45887</v>
      </c>
      <c r="C4971" s="2" t="s">
        <v>19</v>
      </c>
      <c r="D4971" s="8">
        <v>-126</v>
      </c>
      <c r="E4971" s="8">
        <f>E4970+(0-126)</f>
        <v>8572105.059999574</v>
      </c>
    </row>
    <row r="4972" spans="1:5" x14ac:dyDescent="0.25">
      <c r="A4972" s="2" t="s">
        <v>38</v>
      </c>
      <c r="B4972" s="6">
        <v>45887</v>
      </c>
      <c r="C4972" s="2" t="s">
        <v>19</v>
      </c>
      <c r="D4972" s="8">
        <v>-66</v>
      </c>
      <c r="E4972" s="8">
        <f>E4971+(0-66)</f>
        <v>8572039.059999574</v>
      </c>
    </row>
    <row r="4973" spans="1:5" x14ac:dyDescent="0.25">
      <c r="A4973" s="2" t="s">
        <v>38</v>
      </c>
      <c r="B4973" s="6">
        <v>45887</v>
      </c>
      <c r="C4973" s="2" t="s">
        <v>19</v>
      </c>
      <c r="D4973" s="8">
        <v>-72</v>
      </c>
      <c r="E4973" s="8">
        <f>E4972+(0-72)</f>
        <v>8571967.059999574</v>
      </c>
    </row>
    <row r="4974" spans="1:5" x14ac:dyDescent="0.25">
      <c r="A4974" s="2" t="s">
        <v>38</v>
      </c>
      <c r="B4974" s="6">
        <v>45887</v>
      </c>
      <c r="C4974" s="2" t="s">
        <v>19</v>
      </c>
      <c r="D4974" s="8">
        <v>-6</v>
      </c>
      <c r="E4974" s="8">
        <f>E4973+(0-6)</f>
        <v>8571961.059999574</v>
      </c>
    </row>
    <row r="4975" spans="1:5" x14ac:dyDescent="0.25">
      <c r="A4975" s="2" t="s">
        <v>38</v>
      </c>
      <c r="B4975" s="6">
        <v>45887</v>
      </c>
      <c r="C4975" s="2" t="s">
        <v>53</v>
      </c>
      <c r="D4975" s="8">
        <v>-500</v>
      </c>
      <c r="E4975" s="8">
        <f>E4974+(0-500)</f>
        <v>8571461.059999574</v>
      </c>
    </row>
    <row r="4976" spans="1:5" x14ac:dyDescent="0.25">
      <c r="A4976" s="2" t="s">
        <v>38</v>
      </c>
      <c r="B4976" s="6">
        <v>45887</v>
      </c>
      <c r="C4976" s="2" t="s">
        <v>19</v>
      </c>
      <c r="D4976" s="8">
        <v>-6</v>
      </c>
      <c r="E4976" s="8">
        <f>E4975+(0-6)</f>
        <v>8571455.059999574</v>
      </c>
    </row>
    <row r="4977" spans="1:5" x14ac:dyDescent="0.25">
      <c r="A4977" s="2" t="s">
        <v>38</v>
      </c>
      <c r="B4977" s="6">
        <v>45888</v>
      </c>
      <c r="C4977" s="2" t="s">
        <v>19</v>
      </c>
      <c r="D4977" s="8">
        <v>-102</v>
      </c>
      <c r="E4977" s="8">
        <f>E4976+(0-102)</f>
        <v>8571353.059999574</v>
      </c>
    </row>
    <row r="4978" spans="1:5" x14ac:dyDescent="0.25">
      <c r="A4978" s="2" t="s">
        <v>38</v>
      </c>
      <c r="B4978" s="6">
        <v>45888</v>
      </c>
      <c r="C4978" s="2" t="s">
        <v>53</v>
      </c>
      <c r="D4978" s="8">
        <v>-450</v>
      </c>
      <c r="E4978" s="8">
        <f>E4977+(0-450)</f>
        <v>8570903.059999574</v>
      </c>
    </row>
    <row r="4979" spans="1:5" x14ac:dyDescent="0.25">
      <c r="A4979" s="2" t="s">
        <v>38</v>
      </c>
      <c r="B4979" s="6">
        <v>45888</v>
      </c>
      <c r="C4979" s="2" t="s">
        <v>53</v>
      </c>
      <c r="D4979" s="8">
        <v>-50</v>
      </c>
      <c r="E4979" s="8">
        <f>E4978+(0-50)</f>
        <v>8570853.059999574</v>
      </c>
    </row>
    <row r="4980" spans="1:5" x14ac:dyDescent="0.25">
      <c r="A4980" s="2" t="s">
        <v>38</v>
      </c>
      <c r="B4980" s="6">
        <v>45889</v>
      </c>
      <c r="C4980" s="2" t="s">
        <v>19</v>
      </c>
      <c r="D4980" s="8">
        <v>-72</v>
      </c>
      <c r="E4980" s="8">
        <f>E4979+(0-72)</f>
        <v>8570781.059999574</v>
      </c>
    </row>
    <row r="4981" spans="1:5" x14ac:dyDescent="0.25">
      <c r="A4981" s="2" t="s">
        <v>38</v>
      </c>
      <c r="B4981" s="6">
        <v>45889</v>
      </c>
      <c r="C4981" s="2" t="s">
        <v>53</v>
      </c>
      <c r="D4981" s="8">
        <v>-50</v>
      </c>
      <c r="E4981" s="8">
        <f>E4980+(0-50)</f>
        <v>8570731.059999574</v>
      </c>
    </row>
    <row r="4982" spans="1:5" x14ac:dyDescent="0.25">
      <c r="A4982" s="2" t="s">
        <v>38</v>
      </c>
      <c r="B4982" s="6">
        <v>45889</v>
      </c>
      <c r="C4982" s="2" t="s">
        <v>53</v>
      </c>
      <c r="D4982" s="8">
        <v>-250</v>
      </c>
      <c r="E4982" s="8">
        <f>E4981+(0-250)</f>
        <v>8570481.059999574</v>
      </c>
    </row>
    <row r="4983" spans="1:5" x14ac:dyDescent="0.25">
      <c r="A4983" s="2" t="s">
        <v>38</v>
      </c>
      <c r="B4983" s="6">
        <v>45889</v>
      </c>
      <c r="C4983" s="2" t="s">
        <v>53</v>
      </c>
      <c r="D4983" s="8">
        <v>-100</v>
      </c>
      <c r="E4983" s="8">
        <f>E4982+(0-100)</f>
        <v>8570381.059999574</v>
      </c>
    </row>
    <row r="4984" spans="1:5" x14ac:dyDescent="0.25">
      <c r="A4984" s="2" t="s">
        <v>38</v>
      </c>
      <c r="B4984" s="6">
        <v>45890</v>
      </c>
      <c r="C4984" s="2" t="s">
        <v>53</v>
      </c>
      <c r="D4984" s="8">
        <v>-26.88</v>
      </c>
      <c r="E4984" s="8">
        <f>E4983+(0-26.88)</f>
        <v>8570354.1799995732</v>
      </c>
    </row>
    <row r="4985" spans="1:5" x14ac:dyDescent="0.25">
      <c r="A4985" s="2" t="s">
        <v>38</v>
      </c>
      <c r="B4985" s="6">
        <v>45890</v>
      </c>
      <c r="C4985" s="2" t="s">
        <v>53</v>
      </c>
      <c r="D4985" s="8">
        <v>-53.75</v>
      </c>
      <c r="E4985" s="8">
        <f>E4984+(0-53.75)</f>
        <v>8570300.4299995732</v>
      </c>
    </row>
    <row r="4986" spans="1:5" x14ac:dyDescent="0.25">
      <c r="A4986" s="2" t="s">
        <v>38</v>
      </c>
      <c r="B4986" s="6">
        <v>45890</v>
      </c>
      <c r="C4986" s="2" t="s">
        <v>53</v>
      </c>
      <c r="D4986" s="8">
        <v>-450</v>
      </c>
      <c r="E4986" s="8">
        <f>E4985+(0-450)</f>
        <v>8569850.4299995732</v>
      </c>
    </row>
    <row r="4987" spans="1:5" x14ac:dyDescent="0.25">
      <c r="A4987" s="2" t="s">
        <v>38</v>
      </c>
      <c r="B4987" s="6">
        <v>45891</v>
      </c>
      <c r="C4987" s="2" t="s">
        <v>19</v>
      </c>
      <c r="D4987" s="8">
        <v>-42</v>
      </c>
      <c r="E4987" s="8">
        <f>E4986+(0-42)</f>
        <v>8569808.4299995732</v>
      </c>
    </row>
    <row r="4988" spans="1:5" x14ac:dyDescent="0.25">
      <c r="A4988" s="2" t="s">
        <v>38</v>
      </c>
      <c r="B4988" s="6">
        <v>45891</v>
      </c>
      <c r="C4988" s="2" t="s">
        <v>53</v>
      </c>
      <c r="D4988" s="8">
        <v>-53.75</v>
      </c>
      <c r="E4988" s="8">
        <f>E4987+(0-53.75)</f>
        <v>8569754.6799995732</v>
      </c>
    </row>
    <row r="4989" spans="1:5" x14ac:dyDescent="0.25">
      <c r="A4989" s="2" t="s">
        <v>38</v>
      </c>
      <c r="B4989" s="6">
        <v>45891</v>
      </c>
      <c r="C4989" s="2" t="s">
        <v>178</v>
      </c>
      <c r="D4989" s="8">
        <v>-108</v>
      </c>
      <c r="E4989" s="8">
        <f>E4988+(0-108)</f>
        <v>8569646.6799995732</v>
      </c>
    </row>
    <row r="4990" spans="1:5" x14ac:dyDescent="0.25">
      <c r="A4990" s="2" t="s">
        <v>38</v>
      </c>
      <c r="B4990" s="6">
        <v>45891</v>
      </c>
      <c r="C4990" s="2" t="s">
        <v>53</v>
      </c>
      <c r="D4990" s="8">
        <v>-53.75</v>
      </c>
      <c r="E4990" s="8">
        <f>E4989+(0-53.75)</f>
        <v>8569592.9299995732</v>
      </c>
    </row>
    <row r="4991" spans="1:5" x14ac:dyDescent="0.25">
      <c r="A4991" s="2" t="s">
        <v>38</v>
      </c>
      <c r="B4991" s="6">
        <v>45891</v>
      </c>
      <c r="C4991" s="2" t="s">
        <v>53</v>
      </c>
      <c r="D4991" s="8">
        <v>-150</v>
      </c>
      <c r="E4991" s="8">
        <f>E4990+(0-150)</f>
        <v>8569442.9299995732</v>
      </c>
    </row>
    <row r="4992" spans="1:5" x14ac:dyDescent="0.25">
      <c r="A4992" s="2" t="s">
        <v>38</v>
      </c>
      <c r="B4992" s="6">
        <v>45891</v>
      </c>
      <c r="C4992" s="2" t="s">
        <v>53</v>
      </c>
      <c r="D4992" s="8">
        <v>-450</v>
      </c>
      <c r="E4992" s="8">
        <f>E4991+(0-450)</f>
        <v>8568992.9299995732</v>
      </c>
    </row>
    <row r="4993" spans="1:5" x14ac:dyDescent="0.25">
      <c r="A4993" s="2" t="s">
        <v>38</v>
      </c>
      <c r="B4993" s="6">
        <v>45894</v>
      </c>
      <c r="C4993" s="2" t="s">
        <v>19</v>
      </c>
      <c r="D4993" s="8">
        <v>-78</v>
      </c>
      <c r="E4993" s="8">
        <f>E4992+(0-78)</f>
        <v>8568914.9299995732</v>
      </c>
    </row>
    <row r="4994" spans="1:5" x14ac:dyDescent="0.25">
      <c r="A4994" s="2" t="s">
        <v>38</v>
      </c>
      <c r="B4994" s="6">
        <v>45894</v>
      </c>
      <c r="C4994" s="2" t="s">
        <v>53</v>
      </c>
      <c r="D4994" s="8">
        <v>-53.75</v>
      </c>
      <c r="E4994" s="8">
        <f>E4993+(0-53.75)</f>
        <v>8568861.1799995732</v>
      </c>
    </row>
    <row r="4995" spans="1:5" x14ac:dyDescent="0.25">
      <c r="A4995" s="2" t="s">
        <v>38</v>
      </c>
      <c r="B4995" s="6">
        <v>45894</v>
      </c>
      <c r="C4995" s="2" t="s">
        <v>53</v>
      </c>
      <c r="D4995" s="8">
        <v>-26.88</v>
      </c>
      <c r="E4995" s="8">
        <f>E4994+(0-26.88)</f>
        <v>8568834.2999995723</v>
      </c>
    </row>
    <row r="4996" spans="1:5" x14ac:dyDescent="0.25">
      <c r="A4996" s="2" t="s">
        <v>38</v>
      </c>
      <c r="B4996" s="6">
        <v>45894</v>
      </c>
      <c r="C4996" s="2" t="s">
        <v>53</v>
      </c>
      <c r="D4996" s="8">
        <v>-650</v>
      </c>
      <c r="E4996" s="8">
        <f>E4995+(0-650)</f>
        <v>8568184.2999995723</v>
      </c>
    </row>
    <row r="4997" spans="1:5" x14ac:dyDescent="0.25">
      <c r="A4997" s="2" t="s">
        <v>38</v>
      </c>
      <c r="B4997" s="6">
        <v>45895</v>
      </c>
      <c r="C4997" s="2" t="s">
        <v>53</v>
      </c>
      <c r="D4997" s="8">
        <v>-400</v>
      </c>
      <c r="E4997" s="8">
        <f>E4996+(0-400)</f>
        <v>8567784.2999995723</v>
      </c>
    </row>
    <row r="4998" spans="1:5" x14ac:dyDescent="0.25">
      <c r="A4998" s="2" t="s">
        <v>38</v>
      </c>
      <c r="B4998" s="6">
        <v>45896</v>
      </c>
      <c r="C4998" s="2" t="s">
        <v>53</v>
      </c>
      <c r="D4998" s="8">
        <v>-53.75</v>
      </c>
      <c r="E4998" s="8">
        <f>E4997+(0-53.75)</f>
        <v>8567730.5499995723</v>
      </c>
    </row>
    <row r="4999" spans="1:5" x14ac:dyDescent="0.25">
      <c r="A4999" s="2" t="s">
        <v>38</v>
      </c>
      <c r="B4999" s="6">
        <v>45896</v>
      </c>
      <c r="C4999" s="2" t="s">
        <v>53</v>
      </c>
      <c r="D4999" s="8">
        <v>-500</v>
      </c>
      <c r="E4999" s="8">
        <f>E4998+(0-500)</f>
        <v>8567230.5499995723</v>
      </c>
    </row>
    <row r="5000" spans="1:5" x14ac:dyDescent="0.25">
      <c r="A5000" s="2" t="s">
        <v>38</v>
      </c>
      <c r="B5000" s="6">
        <v>45896</v>
      </c>
      <c r="C5000" s="2" t="s">
        <v>53</v>
      </c>
      <c r="D5000" s="8">
        <v>-53.75</v>
      </c>
      <c r="E5000" s="8">
        <f>E4999+(0-53.75)</f>
        <v>8567176.7999995723</v>
      </c>
    </row>
    <row r="5001" spans="1:5" x14ac:dyDescent="0.25">
      <c r="A5001" s="2" t="s">
        <v>38</v>
      </c>
      <c r="B5001" s="6">
        <v>45896</v>
      </c>
      <c r="C5001" s="2" t="s">
        <v>53</v>
      </c>
      <c r="D5001" s="8">
        <v>-53.75</v>
      </c>
      <c r="E5001" s="8">
        <f>E5000+(0-53.75)</f>
        <v>8567123.0499995723</v>
      </c>
    </row>
    <row r="5002" spans="1:5" x14ac:dyDescent="0.25">
      <c r="A5002" s="2" t="s">
        <v>38</v>
      </c>
      <c r="B5002" s="6">
        <v>45897</v>
      </c>
      <c r="C5002" s="2" t="s">
        <v>53</v>
      </c>
      <c r="D5002" s="8">
        <v>-250</v>
      </c>
      <c r="E5002" s="8">
        <f>E5001+(0-250)</f>
        <v>8566873.0499995723</v>
      </c>
    </row>
    <row r="5003" spans="1:5" x14ac:dyDescent="0.25">
      <c r="A5003" s="2" t="s">
        <v>38</v>
      </c>
      <c r="B5003" s="6">
        <v>45898</v>
      </c>
      <c r="C5003" s="2" t="s">
        <v>53</v>
      </c>
      <c r="D5003" s="8">
        <v>-53.75</v>
      </c>
      <c r="E5003" s="8">
        <f>E5002+(0-53.75)</f>
        <v>8566819.2999995723</v>
      </c>
    </row>
    <row r="5004" spans="1:5" x14ac:dyDescent="0.25">
      <c r="A5004" s="2" t="s">
        <v>38</v>
      </c>
      <c r="B5004" s="6">
        <v>45898</v>
      </c>
      <c r="C5004" s="2" t="s">
        <v>53</v>
      </c>
      <c r="D5004" s="8">
        <v>-53.75</v>
      </c>
      <c r="E5004" s="8">
        <f>E5003+(0-53.75)</f>
        <v>8566765.5499995723</v>
      </c>
    </row>
    <row r="5005" spans="1:5" x14ac:dyDescent="0.25">
      <c r="A5005" s="2" t="s">
        <v>38</v>
      </c>
      <c r="B5005" s="6">
        <v>45898</v>
      </c>
      <c r="C5005" s="2" t="s">
        <v>53</v>
      </c>
      <c r="D5005" s="8">
        <v>-53.75</v>
      </c>
      <c r="E5005" s="8">
        <f>E5004+(0-53.75)</f>
        <v>8566711.7999995723</v>
      </c>
    </row>
    <row r="5006" spans="1:5" x14ac:dyDescent="0.25">
      <c r="A5006" s="2" t="s">
        <v>38</v>
      </c>
      <c r="B5006" s="6">
        <v>45898</v>
      </c>
      <c r="C5006" s="2" t="s">
        <v>53</v>
      </c>
      <c r="D5006" s="8">
        <v>-26.88</v>
      </c>
      <c r="E5006" s="8">
        <f>E5005+(0-26.88)</f>
        <v>8566684.9199995715</v>
      </c>
    </row>
    <row r="5007" spans="1:5" x14ac:dyDescent="0.25">
      <c r="A5007" s="2" t="s">
        <v>38</v>
      </c>
      <c r="B5007" s="6">
        <v>45898</v>
      </c>
      <c r="C5007" s="2" t="s">
        <v>53</v>
      </c>
      <c r="D5007" s="8">
        <v>-53.75</v>
      </c>
      <c r="E5007" s="8">
        <f>E5006+(0-53.75)</f>
        <v>8566631.1699995715</v>
      </c>
    </row>
    <row r="5008" spans="1:5" x14ac:dyDescent="0.25">
      <c r="A5008" s="2" t="s">
        <v>38</v>
      </c>
      <c r="B5008" s="6">
        <v>45898</v>
      </c>
      <c r="C5008" s="2" t="s">
        <v>53</v>
      </c>
      <c r="D5008" s="8">
        <v>-53.75</v>
      </c>
      <c r="E5008" s="8">
        <f>E5007+(0-53.75)</f>
        <v>8566577.4199995715</v>
      </c>
    </row>
    <row r="5009" spans="1:5" x14ac:dyDescent="0.25">
      <c r="A5009" s="2" t="s">
        <v>38</v>
      </c>
      <c r="B5009" s="6">
        <v>45898</v>
      </c>
      <c r="C5009" s="2" t="s">
        <v>53</v>
      </c>
      <c r="D5009" s="8">
        <v>-300</v>
      </c>
      <c r="E5009" s="8">
        <f>E5008+(0-300)</f>
        <v>8566277.4199995715</v>
      </c>
    </row>
    <row r="5010" spans="1:5" x14ac:dyDescent="0.25">
      <c r="A5010" s="2" t="s">
        <v>38</v>
      </c>
      <c r="B5010" s="6">
        <v>45901</v>
      </c>
      <c r="C5010" s="2" t="s">
        <v>53</v>
      </c>
      <c r="D5010" s="8">
        <v>-53.75</v>
      </c>
      <c r="E5010" s="8">
        <f>E5009+(0-53.75)</f>
        <v>8566223.6699995715</v>
      </c>
    </row>
    <row r="5011" spans="1:5" x14ac:dyDescent="0.25">
      <c r="A5011" s="2" t="s">
        <v>38</v>
      </c>
      <c r="B5011" s="6">
        <v>45901</v>
      </c>
      <c r="C5011" s="2" t="s">
        <v>53</v>
      </c>
      <c r="D5011" s="8">
        <v>-53.75</v>
      </c>
      <c r="E5011" s="8">
        <f>E5010+(0-53.75)</f>
        <v>8566169.9199995715</v>
      </c>
    </row>
    <row r="5012" spans="1:5" x14ac:dyDescent="0.25">
      <c r="A5012" s="2" t="s">
        <v>38</v>
      </c>
      <c r="B5012" s="6">
        <v>45901</v>
      </c>
      <c r="C5012" s="2" t="s">
        <v>53</v>
      </c>
      <c r="D5012" s="8">
        <v>-350</v>
      </c>
      <c r="E5012" s="8">
        <f>E5011+(0-350)</f>
        <v>8565819.9199995715</v>
      </c>
    </row>
    <row r="5013" spans="1:5" x14ac:dyDescent="0.25">
      <c r="A5013" s="2" t="s">
        <v>38</v>
      </c>
      <c r="B5013" s="6">
        <v>45902</v>
      </c>
      <c r="C5013" s="2" t="s">
        <v>53</v>
      </c>
      <c r="D5013" s="8">
        <v>-250</v>
      </c>
      <c r="E5013" s="8">
        <f>E5012+(0-250)</f>
        <v>8565569.9199995715</v>
      </c>
    </row>
    <row r="5014" spans="1:5" x14ac:dyDescent="0.25">
      <c r="A5014" s="2" t="s">
        <v>38</v>
      </c>
      <c r="B5014" s="6">
        <v>45903</v>
      </c>
      <c r="C5014" s="2" t="s">
        <v>53</v>
      </c>
      <c r="D5014" s="8">
        <v>-400</v>
      </c>
      <c r="E5014" s="8">
        <f>E5013+(0-400)</f>
        <v>8565169.9199995715</v>
      </c>
    </row>
    <row r="5015" spans="1:5" x14ac:dyDescent="0.25">
      <c r="A5015" s="2" t="s">
        <v>38</v>
      </c>
      <c r="B5015" s="6">
        <v>45904</v>
      </c>
      <c r="C5015" s="2" t="s">
        <v>53</v>
      </c>
      <c r="D5015" s="8">
        <v>-53.75</v>
      </c>
      <c r="E5015" s="8">
        <f>E5014+(0-53.75)</f>
        <v>8565116.1699995715</v>
      </c>
    </row>
    <row r="5016" spans="1:5" x14ac:dyDescent="0.25">
      <c r="A5016" s="2" t="s">
        <v>38</v>
      </c>
      <c r="B5016" s="6">
        <v>45904</v>
      </c>
      <c r="C5016" s="2" t="s">
        <v>53</v>
      </c>
      <c r="D5016" s="8">
        <v>-50</v>
      </c>
      <c r="E5016" s="8">
        <f>E5015+(0-50)</f>
        <v>8565066.1699995715</v>
      </c>
    </row>
    <row r="5017" spans="1:5" x14ac:dyDescent="0.25">
      <c r="A5017" s="2" t="s">
        <v>38</v>
      </c>
      <c r="B5017" s="6">
        <v>45904</v>
      </c>
      <c r="C5017" s="2" t="s">
        <v>53</v>
      </c>
      <c r="D5017" s="8">
        <v>-550</v>
      </c>
      <c r="E5017" s="8">
        <f>E5016+(0-550)</f>
        <v>8564516.1699995715</v>
      </c>
    </row>
    <row r="5018" spans="1:5" x14ac:dyDescent="0.25">
      <c r="A5018" s="2" t="s">
        <v>38</v>
      </c>
      <c r="B5018" s="6">
        <v>45904</v>
      </c>
      <c r="C5018" s="2" t="s">
        <v>53</v>
      </c>
      <c r="D5018" s="8">
        <v>-50</v>
      </c>
      <c r="E5018" s="8">
        <f>E5017+(0-50)</f>
        <v>8564466.1699995715</v>
      </c>
    </row>
    <row r="5019" spans="1:5" x14ac:dyDescent="0.25">
      <c r="A5019" s="2" t="s">
        <v>38</v>
      </c>
      <c r="B5019" s="6">
        <v>45908</v>
      </c>
      <c r="C5019" s="2" t="s">
        <v>53</v>
      </c>
      <c r="D5019" s="8">
        <v>-53.75</v>
      </c>
      <c r="E5019" s="8">
        <f>E5018+(0-53.75)</f>
        <v>8564412.4199995715</v>
      </c>
    </row>
    <row r="5020" spans="1:5" x14ac:dyDescent="0.25">
      <c r="A5020" s="2" t="s">
        <v>38</v>
      </c>
      <c r="B5020" s="6">
        <v>45908</v>
      </c>
      <c r="C5020" s="2" t="s">
        <v>53</v>
      </c>
      <c r="D5020" s="8">
        <v>-100</v>
      </c>
      <c r="E5020" s="8">
        <f>E5019+(0-100)</f>
        <v>8564312.4199995715</v>
      </c>
    </row>
    <row r="5021" spans="1:5" x14ac:dyDescent="0.25">
      <c r="A5021" s="2" t="s">
        <v>38</v>
      </c>
      <c r="B5021" s="6">
        <v>45908</v>
      </c>
      <c r="C5021" s="2" t="s">
        <v>53</v>
      </c>
      <c r="D5021" s="8">
        <v>-550</v>
      </c>
      <c r="E5021" s="8">
        <f>E5020+(0-550)</f>
        <v>8563762.4199995715</v>
      </c>
    </row>
    <row r="5022" spans="1:5" x14ac:dyDescent="0.25">
      <c r="A5022" s="2" t="s">
        <v>38</v>
      </c>
      <c r="B5022" s="6">
        <v>45909</v>
      </c>
      <c r="C5022" s="2" t="s">
        <v>19</v>
      </c>
      <c r="D5022" s="8">
        <v>-120</v>
      </c>
      <c r="E5022" s="8">
        <f>E5021+(0-120)</f>
        <v>8563642.4199995715</v>
      </c>
    </row>
    <row r="5023" spans="1:5" x14ac:dyDescent="0.25">
      <c r="A5023" s="2" t="s">
        <v>38</v>
      </c>
      <c r="B5023" s="6">
        <v>45909</v>
      </c>
      <c r="C5023" s="2" t="s">
        <v>19</v>
      </c>
      <c r="D5023" s="8">
        <v>-60</v>
      </c>
      <c r="E5023" s="8">
        <f>E5022+(0-60)</f>
        <v>8563582.4199995715</v>
      </c>
    </row>
    <row r="5024" spans="1:5" x14ac:dyDescent="0.25">
      <c r="A5024" s="2" t="s">
        <v>38</v>
      </c>
      <c r="B5024" s="6">
        <v>45909</v>
      </c>
      <c r="C5024" s="2" t="s">
        <v>19</v>
      </c>
      <c r="D5024" s="8">
        <v>-102</v>
      </c>
      <c r="E5024" s="8">
        <f>E5023+(0-102)</f>
        <v>8563480.4199995715</v>
      </c>
    </row>
    <row r="5025" spans="1:5" x14ac:dyDescent="0.25">
      <c r="A5025" s="2" t="s">
        <v>38</v>
      </c>
      <c r="B5025" s="6">
        <v>45909</v>
      </c>
      <c r="C5025" s="2" t="s">
        <v>19</v>
      </c>
      <c r="D5025" s="8">
        <v>-30</v>
      </c>
      <c r="E5025" s="8">
        <f>E5024+(0-30)</f>
        <v>8563450.4199995715</v>
      </c>
    </row>
    <row r="5026" spans="1:5" x14ac:dyDescent="0.25">
      <c r="A5026" s="2" t="s">
        <v>38</v>
      </c>
      <c r="B5026" s="6">
        <v>45909</v>
      </c>
      <c r="C5026" s="2" t="s">
        <v>19</v>
      </c>
      <c r="D5026" s="8">
        <v>-156</v>
      </c>
      <c r="E5026" s="8">
        <f>E5025+(0-156)</f>
        <v>8563294.4199995715</v>
      </c>
    </row>
    <row r="5027" spans="1:5" x14ac:dyDescent="0.25">
      <c r="A5027" s="2" t="s">
        <v>38</v>
      </c>
      <c r="B5027" s="6">
        <v>45909</v>
      </c>
      <c r="C5027" s="2" t="s">
        <v>53</v>
      </c>
      <c r="D5027" s="8">
        <v>-53.75</v>
      </c>
      <c r="E5027" s="8">
        <f>E5026+(0-53.75)</f>
        <v>8563240.6699995715</v>
      </c>
    </row>
    <row r="5028" spans="1:5" x14ac:dyDescent="0.25">
      <c r="A5028" s="2" t="s">
        <v>38</v>
      </c>
      <c r="B5028" s="6">
        <v>45909</v>
      </c>
      <c r="C5028" s="2" t="s">
        <v>53</v>
      </c>
      <c r="D5028" s="8">
        <v>-750</v>
      </c>
      <c r="E5028" s="8">
        <f>E5027+(0-750)</f>
        <v>8562490.6699995715</v>
      </c>
    </row>
    <row r="5029" spans="1:5" x14ac:dyDescent="0.25">
      <c r="A5029" s="2" t="s">
        <v>38</v>
      </c>
      <c r="B5029" s="6">
        <v>45910</v>
      </c>
      <c r="C5029" s="2" t="s">
        <v>19</v>
      </c>
      <c r="D5029" s="8">
        <v>-18</v>
      </c>
      <c r="E5029" s="8">
        <f>E5028+(0-18)</f>
        <v>8562472.6699995715</v>
      </c>
    </row>
    <row r="5030" spans="1:5" x14ac:dyDescent="0.25">
      <c r="A5030" s="2" t="s">
        <v>38</v>
      </c>
      <c r="B5030" s="6">
        <v>45910</v>
      </c>
      <c r="C5030" s="2" t="s">
        <v>19</v>
      </c>
      <c r="D5030" s="8">
        <v>-36</v>
      </c>
      <c r="E5030" s="8">
        <f>E5029+(0-36)</f>
        <v>8562436.6699995715</v>
      </c>
    </row>
    <row r="5031" spans="1:5" x14ac:dyDescent="0.25">
      <c r="A5031" s="2" t="s">
        <v>38</v>
      </c>
      <c r="B5031" s="6">
        <v>45910</v>
      </c>
      <c r="C5031" s="2" t="s">
        <v>17</v>
      </c>
      <c r="D5031" s="8">
        <v>-54</v>
      </c>
      <c r="E5031" s="8">
        <f>E5030+(0-54)</f>
        <v>8562382.6699995715</v>
      </c>
    </row>
    <row r="5032" spans="1:5" x14ac:dyDescent="0.25">
      <c r="A5032" s="2" t="s">
        <v>38</v>
      </c>
      <c r="B5032" s="6">
        <v>45910</v>
      </c>
      <c r="C5032" s="2" t="s">
        <v>19</v>
      </c>
      <c r="D5032" s="8">
        <v>-54</v>
      </c>
      <c r="E5032" s="8">
        <f>E5031+(0-54)</f>
        <v>8562328.6699995715</v>
      </c>
    </row>
    <row r="5033" spans="1:5" x14ac:dyDescent="0.25">
      <c r="A5033" s="2" t="s">
        <v>38</v>
      </c>
      <c r="B5033" s="6">
        <v>45910</v>
      </c>
      <c r="C5033" s="2" t="s">
        <v>53</v>
      </c>
      <c r="D5033" s="8">
        <v>-50</v>
      </c>
      <c r="E5033" s="8">
        <f>E5032+(0-50)</f>
        <v>8562278.6699995715</v>
      </c>
    </row>
    <row r="5034" spans="1:5" x14ac:dyDescent="0.25">
      <c r="A5034" s="2" t="s">
        <v>38</v>
      </c>
      <c r="B5034" s="6">
        <v>45910</v>
      </c>
      <c r="C5034" s="2" t="s">
        <v>53</v>
      </c>
      <c r="D5034" s="8">
        <v>-200</v>
      </c>
      <c r="E5034" s="8">
        <f>E5033+(0-200)</f>
        <v>8562078.6699995715</v>
      </c>
    </row>
    <row r="5035" spans="1:5" x14ac:dyDescent="0.25">
      <c r="A5035" s="2" t="s">
        <v>38</v>
      </c>
      <c r="B5035" s="6">
        <v>45910</v>
      </c>
      <c r="C5035" s="2" t="s">
        <v>53</v>
      </c>
      <c r="D5035" s="8">
        <v>-50</v>
      </c>
      <c r="E5035" s="8">
        <f>E5034+(0-50)</f>
        <v>8562028.6699995715</v>
      </c>
    </row>
    <row r="5036" spans="1:5" x14ac:dyDescent="0.25">
      <c r="A5036" s="2" t="s">
        <v>38</v>
      </c>
      <c r="B5036" s="6">
        <v>45911</v>
      </c>
      <c r="C5036" s="2" t="s">
        <v>19</v>
      </c>
      <c r="D5036" s="8">
        <v>-120</v>
      </c>
      <c r="E5036" s="8">
        <f>E5035+(0-120)</f>
        <v>8561908.6699995715</v>
      </c>
    </row>
    <row r="5037" spans="1:5" x14ac:dyDescent="0.25">
      <c r="A5037" s="2" t="s">
        <v>38</v>
      </c>
      <c r="B5037" s="6">
        <v>45911</v>
      </c>
      <c r="C5037" s="2" t="s">
        <v>19</v>
      </c>
      <c r="D5037" s="8">
        <v>-24</v>
      </c>
      <c r="E5037" s="8">
        <f>E5036+(0-24)</f>
        <v>8561884.6699995715</v>
      </c>
    </row>
    <row r="5038" spans="1:5" x14ac:dyDescent="0.25">
      <c r="A5038" s="2" t="s">
        <v>38</v>
      </c>
      <c r="B5038" s="6">
        <v>45911</v>
      </c>
      <c r="C5038" s="2" t="s">
        <v>19</v>
      </c>
      <c r="D5038" s="8">
        <v>-6</v>
      </c>
      <c r="E5038" s="8">
        <f>E5037+(0-6)</f>
        <v>8561878.6699995715</v>
      </c>
    </row>
    <row r="5039" spans="1:5" x14ac:dyDescent="0.25">
      <c r="A5039" s="2" t="s">
        <v>38</v>
      </c>
      <c r="B5039" s="6">
        <v>45911</v>
      </c>
      <c r="C5039" s="2" t="s">
        <v>19</v>
      </c>
      <c r="D5039" s="8">
        <v>-18</v>
      </c>
      <c r="E5039" s="8">
        <f>E5038+(0-18)</f>
        <v>8561860.6699995715</v>
      </c>
    </row>
    <row r="5040" spans="1:5" x14ac:dyDescent="0.25">
      <c r="A5040" s="2" t="s">
        <v>38</v>
      </c>
      <c r="B5040" s="6">
        <v>45911</v>
      </c>
      <c r="C5040" s="2" t="s">
        <v>53</v>
      </c>
      <c r="D5040" s="8">
        <v>-53.75</v>
      </c>
      <c r="E5040" s="8">
        <f>E5039+(0-53.75)</f>
        <v>8561806.9199995715</v>
      </c>
    </row>
    <row r="5041" spans="1:5" x14ac:dyDescent="0.25">
      <c r="A5041" s="2" t="s">
        <v>38</v>
      </c>
      <c r="B5041" s="6">
        <v>45911</v>
      </c>
      <c r="C5041" s="2" t="s">
        <v>53</v>
      </c>
      <c r="D5041" s="8">
        <v>-53.75</v>
      </c>
      <c r="E5041" s="8">
        <f>E5040+(0-53.75)</f>
        <v>8561753.1699995715</v>
      </c>
    </row>
    <row r="5042" spans="1:5" x14ac:dyDescent="0.25">
      <c r="A5042" s="2" t="s">
        <v>38</v>
      </c>
      <c r="B5042" s="6">
        <v>45911</v>
      </c>
      <c r="C5042" s="2" t="s">
        <v>19</v>
      </c>
      <c r="D5042" s="8">
        <v>-72</v>
      </c>
      <c r="E5042" s="8">
        <f>E5041+(0-72)</f>
        <v>8561681.1699995715</v>
      </c>
    </row>
    <row r="5043" spans="1:5" x14ac:dyDescent="0.25">
      <c r="A5043" s="2" t="s">
        <v>38</v>
      </c>
      <c r="B5043" s="6">
        <v>45911</v>
      </c>
      <c r="C5043" s="2" t="s">
        <v>53</v>
      </c>
      <c r="D5043" s="8">
        <v>-450</v>
      </c>
      <c r="E5043" s="8">
        <f>E5042+(0-450)</f>
        <v>8561231.1699995715</v>
      </c>
    </row>
    <row r="5044" spans="1:5" x14ac:dyDescent="0.25">
      <c r="A5044" s="2" t="s">
        <v>38</v>
      </c>
      <c r="B5044" s="6">
        <v>45911</v>
      </c>
      <c r="C5044" s="2" t="s">
        <v>53</v>
      </c>
      <c r="D5044" s="8">
        <v>-50</v>
      </c>
      <c r="E5044" s="8">
        <f>E5043+(0-50)</f>
        <v>8561181.1699995715</v>
      </c>
    </row>
    <row r="5045" spans="1:5" x14ac:dyDescent="0.25">
      <c r="A5045" s="2" t="s">
        <v>38</v>
      </c>
      <c r="B5045" s="6">
        <v>45911</v>
      </c>
      <c r="C5045" s="2" t="s">
        <v>19</v>
      </c>
      <c r="D5045" s="8">
        <v>-120</v>
      </c>
      <c r="E5045" s="8">
        <f>E5044+(0-120)</f>
        <v>8561061.1699995715</v>
      </c>
    </row>
    <row r="5046" spans="1:5" x14ac:dyDescent="0.25">
      <c r="A5046" s="2" t="s">
        <v>38</v>
      </c>
      <c r="B5046" s="6">
        <v>45911</v>
      </c>
      <c r="C5046" s="2" t="s">
        <v>53</v>
      </c>
      <c r="D5046" s="8">
        <v>-53.75</v>
      </c>
      <c r="E5046" s="8">
        <f>E5045+(0-53.75)</f>
        <v>8561007.4199995715</v>
      </c>
    </row>
    <row r="5047" spans="1:5" x14ac:dyDescent="0.25">
      <c r="A5047" s="2" t="s">
        <v>38</v>
      </c>
      <c r="B5047" s="6">
        <v>45912</v>
      </c>
      <c r="C5047" s="2" t="s">
        <v>53</v>
      </c>
      <c r="D5047" s="8">
        <v>-53.75</v>
      </c>
      <c r="E5047" s="8">
        <f>E5046+(0-53.75)</f>
        <v>8560953.6699995715</v>
      </c>
    </row>
    <row r="5048" spans="1:5" x14ac:dyDescent="0.25">
      <c r="A5048" s="2" t="s">
        <v>38</v>
      </c>
      <c r="B5048" s="6">
        <v>45912</v>
      </c>
      <c r="C5048" s="2" t="s">
        <v>53</v>
      </c>
      <c r="D5048" s="8">
        <v>-600</v>
      </c>
      <c r="E5048" s="8">
        <f>E5047+(0-600)</f>
        <v>8560353.6699995715</v>
      </c>
    </row>
    <row r="5049" spans="1:5" x14ac:dyDescent="0.25">
      <c r="A5049" s="2" t="s">
        <v>38</v>
      </c>
      <c r="B5049" s="6">
        <v>45915</v>
      </c>
      <c r="C5049" s="2" t="s">
        <v>53</v>
      </c>
      <c r="D5049" s="8">
        <v>-53.75</v>
      </c>
      <c r="E5049" s="8">
        <f>E5048+(0-53.75)</f>
        <v>8560299.9199995715</v>
      </c>
    </row>
    <row r="5050" spans="1:5" x14ac:dyDescent="0.25">
      <c r="A5050" s="2" t="s">
        <v>38</v>
      </c>
      <c r="B5050" s="6">
        <v>45915</v>
      </c>
      <c r="C5050" s="2" t="s">
        <v>53</v>
      </c>
      <c r="D5050" s="8">
        <v>-50</v>
      </c>
      <c r="E5050" s="8">
        <f>E5049+(0-50)</f>
        <v>8560249.9199995715</v>
      </c>
    </row>
    <row r="5051" spans="1:5" x14ac:dyDescent="0.25">
      <c r="A5051" s="2" t="s">
        <v>38</v>
      </c>
      <c r="B5051" s="6">
        <v>45915</v>
      </c>
      <c r="C5051" s="2" t="s">
        <v>53</v>
      </c>
      <c r="D5051" s="8">
        <v>-500</v>
      </c>
      <c r="E5051" s="8">
        <f>E5050+(0-500)</f>
        <v>8559749.9199995715</v>
      </c>
    </row>
    <row r="5052" spans="1:5" x14ac:dyDescent="0.25">
      <c r="A5052" s="2" t="s">
        <v>38</v>
      </c>
      <c r="B5052" s="6">
        <v>45916</v>
      </c>
      <c r="C5052" s="2" t="s">
        <v>53</v>
      </c>
      <c r="D5052" s="8">
        <v>-53.75</v>
      </c>
      <c r="E5052" s="8">
        <f>E5051+(0-53.75)</f>
        <v>8559696.1699995715</v>
      </c>
    </row>
    <row r="5053" spans="1:5" x14ac:dyDescent="0.25">
      <c r="A5053" s="2" t="s">
        <v>38</v>
      </c>
      <c r="B5053" s="6">
        <v>45916</v>
      </c>
      <c r="C5053" s="2" t="s">
        <v>53</v>
      </c>
      <c r="D5053" s="8">
        <v>-26.88</v>
      </c>
      <c r="E5053" s="8">
        <f>E5052+(0-26.88)</f>
        <v>8559669.2899995707</v>
      </c>
    </row>
    <row r="5054" spans="1:5" x14ac:dyDescent="0.25">
      <c r="A5054" s="2" t="s">
        <v>38</v>
      </c>
      <c r="B5054" s="6">
        <v>45916</v>
      </c>
      <c r="C5054" s="2" t="s">
        <v>53</v>
      </c>
      <c r="D5054" s="8">
        <v>-50</v>
      </c>
      <c r="E5054" s="8">
        <f>E5053+(0-50)</f>
        <v>8559619.2899995707</v>
      </c>
    </row>
    <row r="5055" spans="1:5" x14ac:dyDescent="0.25">
      <c r="A5055" s="2" t="s">
        <v>38</v>
      </c>
      <c r="B5055" s="6">
        <v>45916</v>
      </c>
      <c r="C5055" s="2" t="s">
        <v>53</v>
      </c>
      <c r="D5055" s="8">
        <v>-450</v>
      </c>
      <c r="E5055" s="8">
        <f>E5054+(0-450)</f>
        <v>8559169.2899995707</v>
      </c>
    </row>
    <row r="5056" spans="1:5" x14ac:dyDescent="0.25">
      <c r="A5056" s="2" t="s">
        <v>38</v>
      </c>
      <c r="B5056" s="6">
        <v>45917</v>
      </c>
      <c r="C5056" s="2" t="s">
        <v>53</v>
      </c>
      <c r="D5056" s="8">
        <v>-53.75</v>
      </c>
      <c r="E5056" s="8">
        <f>E5055+(0-53.75)</f>
        <v>8559115.5399995707</v>
      </c>
    </row>
    <row r="5057" spans="1:5" x14ac:dyDescent="0.25">
      <c r="A5057" s="2" t="s">
        <v>38</v>
      </c>
      <c r="B5057" s="6">
        <v>45917</v>
      </c>
      <c r="C5057" s="2" t="s">
        <v>53</v>
      </c>
      <c r="D5057" s="8">
        <v>-53.75</v>
      </c>
      <c r="E5057" s="8">
        <f>E5056+(0-53.75)</f>
        <v>8559061.7899995707</v>
      </c>
    </row>
    <row r="5058" spans="1:5" x14ac:dyDescent="0.25">
      <c r="A5058" s="2" t="s">
        <v>38</v>
      </c>
      <c r="B5058" s="6">
        <v>45917</v>
      </c>
      <c r="C5058" s="2" t="s">
        <v>53</v>
      </c>
      <c r="D5058" s="8">
        <v>-500</v>
      </c>
      <c r="E5058" s="8">
        <f>E5057+(0-500)</f>
        <v>8558561.7899995707</v>
      </c>
    </row>
    <row r="5059" spans="1:5" x14ac:dyDescent="0.25">
      <c r="A5059" s="2" t="s">
        <v>38</v>
      </c>
      <c r="B5059" s="6">
        <v>45918</v>
      </c>
      <c r="C5059" s="2" t="s">
        <v>19</v>
      </c>
      <c r="D5059" s="8">
        <v>-36</v>
      </c>
      <c r="E5059" s="8">
        <f>E5058+(0-36)</f>
        <v>8558525.7899995707</v>
      </c>
    </row>
    <row r="5060" spans="1:5" x14ac:dyDescent="0.25">
      <c r="A5060" s="2" t="s">
        <v>38</v>
      </c>
      <c r="B5060" s="6">
        <v>45918</v>
      </c>
      <c r="C5060" s="2" t="s">
        <v>19</v>
      </c>
      <c r="D5060" s="8">
        <v>-90</v>
      </c>
      <c r="E5060" s="8">
        <f>E5059+(0-90)</f>
        <v>8558435.7899995707</v>
      </c>
    </row>
    <row r="5061" spans="1:5" x14ac:dyDescent="0.25">
      <c r="A5061" s="2" t="s">
        <v>38</v>
      </c>
      <c r="B5061" s="6">
        <v>45918</v>
      </c>
      <c r="C5061" s="2" t="s">
        <v>19</v>
      </c>
      <c r="D5061" s="8">
        <v>-156</v>
      </c>
      <c r="E5061" s="8">
        <f>E5060+(0-156)</f>
        <v>8558279.7899995707</v>
      </c>
    </row>
    <row r="5062" spans="1:5" x14ac:dyDescent="0.25">
      <c r="A5062" s="2" t="s">
        <v>38</v>
      </c>
      <c r="B5062" s="6">
        <v>45918</v>
      </c>
      <c r="C5062" s="2" t="s">
        <v>53</v>
      </c>
      <c r="D5062" s="8">
        <v>-53.75</v>
      </c>
      <c r="E5062" s="8">
        <f>E5061+(0-53.75)</f>
        <v>8558226.0399995707</v>
      </c>
    </row>
    <row r="5063" spans="1:5" x14ac:dyDescent="0.25">
      <c r="A5063" s="2" t="s">
        <v>38</v>
      </c>
      <c r="B5063" s="6">
        <v>45918</v>
      </c>
      <c r="C5063" s="2" t="s">
        <v>19</v>
      </c>
      <c r="D5063" s="8">
        <v>-24</v>
      </c>
      <c r="E5063" s="8">
        <f>E5062+(0-24)</f>
        <v>8558202.0399995707</v>
      </c>
    </row>
    <row r="5064" spans="1:5" x14ac:dyDescent="0.25">
      <c r="A5064" s="2" t="s">
        <v>38</v>
      </c>
      <c r="B5064" s="6">
        <v>45918</v>
      </c>
      <c r="C5064" s="2" t="s">
        <v>234</v>
      </c>
      <c r="D5064" s="8">
        <v>-200</v>
      </c>
      <c r="E5064" s="8">
        <f>E5063+(0-200)</f>
        <v>8558002.0399995707</v>
      </c>
    </row>
    <row r="5065" spans="1:5" x14ac:dyDescent="0.25">
      <c r="A5065" s="2" t="s">
        <v>38</v>
      </c>
      <c r="B5065" s="6">
        <v>45918</v>
      </c>
      <c r="C5065" s="2" t="s">
        <v>19</v>
      </c>
      <c r="D5065" s="8">
        <v>-72</v>
      </c>
      <c r="E5065" s="8">
        <f>E5064+(0-72)</f>
        <v>8557930.0399995707</v>
      </c>
    </row>
    <row r="5066" spans="1:5" x14ac:dyDescent="0.25">
      <c r="A5066" s="2" t="s">
        <v>38</v>
      </c>
      <c r="B5066" s="6">
        <v>45919</v>
      </c>
      <c r="C5066" s="2" t="s">
        <v>19</v>
      </c>
      <c r="D5066" s="8">
        <v>-102</v>
      </c>
      <c r="E5066" s="8">
        <f>E5065+(0-102)</f>
        <v>8557828.0399995707</v>
      </c>
    </row>
    <row r="5067" spans="1:5" x14ac:dyDescent="0.25">
      <c r="A5067" s="2" t="s">
        <v>38</v>
      </c>
      <c r="B5067" s="6">
        <v>45919</v>
      </c>
      <c r="C5067" s="2" t="s">
        <v>53</v>
      </c>
      <c r="D5067" s="8">
        <v>-350</v>
      </c>
      <c r="E5067" s="8">
        <f>E5066+(0-350)</f>
        <v>8557478.0399995707</v>
      </c>
    </row>
    <row r="5068" spans="1:5" x14ac:dyDescent="0.25">
      <c r="A5068" s="2" t="s">
        <v>38</v>
      </c>
      <c r="B5068" s="6">
        <v>45922</v>
      </c>
      <c r="C5068" s="2" t="s">
        <v>19</v>
      </c>
      <c r="D5068" s="8">
        <v>-102</v>
      </c>
      <c r="E5068" s="8">
        <f>E5067+(0-102)</f>
        <v>8557376.0399995707</v>
      </c>
    </row>
    <row r="5069" spans="1:5" x14ac:dyDescent="0.25">
      <c r="A5069" s="2" t="s">
        <v>38</v>
      </c>
      <c r="B5069" s="6">
        <v>45922</v>
      </c>
      <c r="C5069" s="2" t="s">
        <v>17</v>
      </c>
      <c r="D5069" s="8">
        <v>-42</v>
      </c>
      <c r="E5069" s="8">
        <f>E5068+(0-42)</f>
        <v>8557334.0399995707</v>
      </c>
    </row>
    <row r="5070" spans="1:5" x14ac:dyDescent="0.25">
      <c r="A5070" s="2" t="s">
        <v>38</v>
      </c>
      <c r="B5070" s="6">
        <v>45922</v>
      </c>
      <c r="C5070" s="2" t="s">
        <v>53</v>
      </c>
      <c r="D5070" s="8">
        <v>-53.75</v>
      </c>
      <c r="E5070" s="8">
        <f>E5069+(0-53.75)</f>
        <v>8557280.2899995707</v>
      </c>
    </row>
    <row r="5071" spans="1:5" x14ac:dyDescent="0.25">
      <c r="A5071" s="2" t="s">
        <v>38</v>
      </c>
      <c r="B5071" s="6">
        <v>45922</v>
      </c>
      <c r="C5071" s="2" t="s">
        <v>53</v>
      </c>
      <c r="D5071" s="8">
        <v>-650</v>
      </c>
      <c r="E5071" s="8">
        <f>E5070+(0-650)</f>
        <v>8556630.2899995707</v>
      </c>
    </row>
    <row r="5072" spans="1:5" x14ac:dyDescent="0.25">
      <c r="A5072" s="2" t="s">
        <v>38</v>
      </c>
      <c r="B5072" s="6">
        <v>45922</v>
      </c>
      <c r="C5072" s="2" t="s">
        <v>53</v>
      </c>
      <c r="D5072" s="8">
        <v>-26.88</v>
      </c>
      <c r="E5072" s="8">
        <f>E5071+(0-26.88)</f>
        <v>8556603.4099995699</v>
      </c>
    </row>
    <row r="5073" spans="1:5" x14ac:dyDescent="0.25">
      <c r="A5073" s="2" t="s">
        <v>38</v>
      </c>
      <c r="B5073" s="6">
        <v>45923</v>
      </c>
      <c r="C5073" s="2" t="s">
        <v>53</v>
      </c>
      <c r="D5073" s="8">
        <v>-300</v>
      </c>
      <c r="E5073" s="8">
        <f>E5072+(0-300)</f>
        <v>8556303.4099995699</v>
      </c>
    </row>
    <row r="5074" spans="1:5" x14ac:dyDescent="0.25">
      <c r="A5074" s="2" t="s">
        <v>38</v>
      </c>
      <c r="B5074" s="6">
        <v>45923</v>
      </c>
      <c r="C5074" s="2" t="s">
        <v>53</v>
      </c>
      <c r="D5074" s="8">
        <v>-53.75</v>
      </c>
      <c r="E5074" s="8">
        <f>E5073+(0-53.75)</f>
        <v>8556249.6599995699</v>
      </c>
    </row>
    <row r="5075" spans="1:5" x14ac:dyDescent="0.25">
      <c r="A5075" s="2" t="s">
        <v>38</v>
      </c>
      <c r="B5075" s="6">
        <v>45923</v>
      </c>
      <c r="C5075" s="2" t="s">
        <v>174</v>
      </c>
      <c r="D5075" s="8">
        <v>-53.75</v>
      </c>
      <c r="E5075" s="8">
        <f>E5074+(0-53.75)</f>
        <v>8556195.9099995699</v>
      </c>
    </row>
    <row r="5076" spans="1:5" x14ac:dyDescent="0.25">
      <c r="A5076" s="2" t="s">
        <v>38</v>
      </c>
      <c r="B5076" s="6">
        <v>45924</v>
      </c>
      <c r="C5076" s="2" t="s">
        <v>19</v>
      </c>
      <c r="D5076" s="8">
        <v>-48</v>
      </c>
      <c r="E5076" s="8">
        <f>E5075+(0-48)</f>
        <v>8556147.9099995699</v>
      </c>
    </row>
    <row r="5077" spans="1:5" x14ac:dyDescent="0.25">
      <c r="A5077" s="2" t="s">
        <v>38</v>
      </c>
      <c r="B5077" s="6">
        <v>45924</v>
      </c>
      <c r="C5077" s="2" t="s">
        <v>53</v>
      </c>
      <c r="D5077" s="8">
        <v>-50</v>
      </c>
      <c r="E5077" s="8">
        <f>E5076+(0-50)</f>
        <v>8556097.9099995699</v>
      </c>
    </row>
    <row r="5078" spans="1:5" x14ac:dyDescent="0.25">
      <c r="A5078" s="2" t="s">
        <v>38</v>
      </c>
      <c r="B5078" s="6">
        <v>45924</v>
      </c>
      <c r="C5078" s="2" t="s">
        <v>19</v>
      </c>
      <c r="D5078" s="8">
        <v>-12</v>
      </c>
      <c r="E5078" s="8">
        <f>E5077+(0-12)</f>
        <v>8556085.9099995699</v>
      </c>
    </row>
    <row r="5079" spans="1:5" x14ac:dyDescent="0.25">
      <c r="A5079" s="2" t="s">
        <v>38</v>
      </c>
      <c r="B5079" s="6">
        <v>45924</v>
      </c>
      <c r="C5079" s="2" t="s">
        <v>53</v>
      </c>
      <c r="D5079" s="8">
        <v>-26.88</v>
      </c>
      <c r="E5079" s="8">
        <f>E5078+(0-26.88)</f>
        <v>8556059.0299995691</v>
      </c>
    </row>
    <row r="5080" spans="1:5" x14ac:dyDescent="0.25">
      <c r="A5080" s="2" t="s">
        <v>38</v>
      </c>
      <c r="B5080" s="6">
        <v>45924</v>
      </c>
      <c r="C5080" s="2" t="s">
        <v>53</v>
      </c>
      <c r="D5080" s="8">
        <v>-26.88</v>
      </c>
      <c r="E5080" s="8">
        <f>E5079+(0-26.88)</f>
        <v>8556032.1499995682</v>
      </c>
    </row>
    <row r="5081" spans="1:5" x14ac:dyDescent="0.25">
      <c r="A5081" s="2" t="s">
        <v>38</v>
      </c>
      <c r="B5081" s="6">
        <v>45924</v>
      </c>
      <c r="C5081" s="2" t="s">
        <v>53</v>
      </c>
      <c r="D5081" s="8">
        <v>-53.75</v>
      </c>
      <c r="E5081" s="8">
        <f>E5080+(0-53.75)</f>
        <v>8555978.3999995682</v>
      </c>
    </row>
    <row r="5082" spans="1:5" x14ac:dyDescent="0.25">
      <c r="A5082" s="2" t="s">
        <v>38</v>
      </c>
      <c r="B5082" s="6">
        <v>45924</v>
      </c>
      <c r="C5082" s="2" t="s">
        <v>19</v>
      </c>
      <c r="D5082" s="8">
        <v>-12</v>
      </c>
      <c r="E5082" s="8">
        <f>E5081+(0-12)</f>
        <v>8555966.3999995682</v>
      </c>
    </row>
    <row r="5083" spans="1:5" x14ac:dyDescent="0.25">
      <c r="A5083" s="2" t="s">
        <v>38</v>
      </c>
      <c r="B5083" s="6">
        <v>45925</v>
      </c>
      <c r="C5083" s="2" t="s">
        <v>53</v>
      </c>
      <c r="D5083" s="8">
        <v>-53.75</v>
      </c>
      <c r="E5083" s="8">
        <f>E5082+(0-53.75)</f>
        <v>8555912.6499995682</v>
      </c>
    </row>
    <row r="5084" spans="1:5" x14ac:dyDescent="0.25">
      <c r="A5084" s="2" t="s">
        <v>38</v>
      </c>
      <c r="B5084" s="6">
        <v>45925</v>
      </c>
      <c r="C5084" s="2" t="s">
        <v>53</v>
      </c>
      <c r="D5084" s="8">
        <v>-10.75</v>
      </c>
      <c r="E5084" s="8">
        <f>E5083+(0-10.75)</f>
        <v>8555901.8999995682</v>
      </c>
    </row>
    <row r="5085" spans="1:5" x14ac:dyDescent="0.25">
      <c r="A5085" s="2" t="s">
        <v>38</v>
      </c>
      <c r="B5085" s="6">
        <v>45925</v>
      </c>
      <c r="C5085" s="2" t="s">
        <v>53</v>
      </c>
      <c r="D5085" s="8">
        <v>-26.88</v>
      </c>
      <c r="E5085" s="8">
        <f>E5084+(0-26.88)</f>
        <v>8555875.0199995674</v>
      </c>
    </row>
    <row r="5086" spans="1:5" x14ac:dyDescent="0.25">
      <c r="A5086" s="2" t="s">
        <v>38</v>
      </c>
      <c r="B5086" s="6">
        <v>45925</v>
      </c>
      <c r="C5086" s="2" t="s">
        <v>53</v>
      </c>
      <c r="D5086" s="8">
        <v>-10.75</v>
      </c>
      <c r="E5086" s="8">
        <f>E5085+(0-10.75)</f>
        <v>8555864.2699995674</v>
      </c>
    </row>
    <row r="5087" spans="1:5" x14ac:dyDescent="0.25">
      <c r="A5087" s="2" t="s">
        <v>38</v>
      </c>
      <c r="B5087" s="6">
        <v>45925</v>
      </c>
      <c r="C5087" s="2" t="s">
        <v>53</v>
      </c>
      <c r="D5087" s="8">
        <v>-26.88</v>
      </c>
      <c r="E5087" s="8">
        <f>E5086+(0-26.88)</f>
        <v>8555837.3899995666</v>
      </c>
    </row>
    <row r="5088" spans="1:5" x14ac:dyDescent="0.25">
      <c r="A5088" s="2" t="s">
        <v>38</v>
      </c>
      <c r="B5088" s="6">
        <v>45925</v>
      </c>
      <c r="C5088" s="2" t="s">
        <v>53</v>
      </c>
      <c r="D5088" s="8">
        <v>-53.75</v>
      </c>
      <c r="E5088" s="8">
        <f>E5087+(0-53.75)</f>
        <v>8555783.6399995666</v>
      </c>
    </row>
    <row r="5089" spans="1:5" x14ac:dyDescent="0.25">
      <c r="A5089" s="2" t="s">
        <v>38</v>
      </c>
      <c r="B5089" s="6">
        <v>45925</v>
      </c>
      <c r="C5089" s="2" t="s">
        <v>53</v>
      </c>
      <c r="D5089" s="8">
        <v>-53.75</v>
      </c>
      <c r="E5089" s="8">
        <f>E5088+(0-53.75)</f>
        <v>8555729.8899995666</v>
      </c>
    </row>
    <row r="5090" spans="1:5" x14ac:dyDescent="0.25">
      <c r="A5090" s="2" t="s">
        <v>38</v>
      </c>
      <c r="B5090" s="6">
        <v>45925</v>
      </c>
      <c r="C5090" s="2" t="s">
        <v>53</v>
      </c>
      <c r="D5090" s="8">
        <v>-26.88</v>
      </c>
      <c r="E5090" s="8">
        <f>E5089+(0-26.88)</f>
        <v>8555703.0099995658</v>
      </c>
    </row>
    <row r="5091" spans="1:5" x14ac:dyDescent="0.25">
      <c r="A5091" s="2" t="s">
        <v>38</v>
      </c>
      <c r="B5091" s="6">
        <v>45925</v>
      </c>
      <c r="C5091" s="2" t="s">
        <v>53</v>
      </c>
      <c r="D5091" s="8">
        <v>-53.75</v>
      </c>
      <c r="E5091" s="8">
        <f>E5090+(0-53.75)</f>
        <v>8555649.2599995658</v>
      </c>
    </row>
    <row r="5092" spans="1:5" x14ac:dyDescent="0.25">
      <c r="A5092" s="2" t="s">
        <v>38</v>
      </c>
      <c r="B5092" s="6">
        <v>45925</v>
      </c>
      <c r="C5092" s="2" t="s">
        <v>53</v>
      </c>
      <c r="D5092" s="8">
        <v>-53.75</v>
      </c>
      <c r="E5092" s="8">
        <f>E5091+(0-53.75)</f>
        <v>8555595.5099995658</v>
      </c>
    </row>
    <row r="5093" spans="1:5" x14ac:dyDescent="0.25">
      <c r="A5093" s="2" t="s">
        <v>38</v>
      </c>
      <c r="B5093" s="6">
        <v>45925</v>
      </c>
      <c r="C5093" s="2" t="s">
        <v>53</v>
      </c>
      <c r="D5093" s="8">
        <v>-53.75</v>
      </c>
      <c r="E5093" s="8">
        <f>E5092+(0-53.75)</f>
        <v>8555541.7599995658</v>
      </c>
    </row>
    <row r="5094" spans="1:5" x14ac:dyDescent="0.25">
      <c r="A5094" s="2" t="s">
        <v>38</v>
      </c>
      <c r="B5094" s="6">
        <v>45926</v>
      </c>
      <c r="C5094" s="2" t="s">
        <v>53</v>
      </c>
      <c r="D5094" s="8">
        <v>-53.75</v>
      </c>
      <c r="E5094" s="8">
        <f>E5093+(0-53.75)</f>
        <v>8555488.0099995658</v>
      </c>
    </row>
    <row r="5095" spans="1:5" x14ac:dyDescent="0.25">
      <c r="A5095" s="2" t="s">
        <v>38</v>
      </c>
      <c r="B5095" s="6">
        <v>45926</v>
      </c>
      <c r="C5095" s="2" t="s">
        <v>53</v>
      </c>
      <c r="D5095" s="8">
        <v>-250</v>
      </c>
      <c r="E5095" s="8">
        <f>E5094+(0-250)</f>
        <v>8555238.0099995658</v>
      </c>
    </row>
    <row r="5096" spans="1:5" x14ac:dyDescent="0.25">
      <c r="A5096" s="2" t="s">
        <v>38</v>
      </c>
      <c r="B5096" s="6">
        <v>45926</v>
      </c>
      <c r="C5096" s="2" t="s">
        <v>53</v>
      </c>
      <c r="D5096" s="8">
        <v>-50</v>
      </c>
      <c r="E5096" s="8">
        <f>E5095+(0-50)</f>
        <v>8555188.0099995658</v>
      </c>
    </row>
    <row r="5097" spans="1:5" x14ac:dyDescent="0.25">
      <c r="A5097" s="2" t="s">
        <v>38</v>
      </c>
      <c r="B5097" s="6">
        <v>45926</v>
      </c>
      <c r="C5097" s="2" t="s">
        <v>53</v>
      </c>
      <c r="D5097" s="8">
        <v>-400</v>
      </c>
      <c r="E5097" s="8">
        <f>E5096+(0-400)</f>
        <v>8554788.0099995658</v>
      </c>
    </row>
    <row r="5098" spans="1:5" x14ac:dyDescent="0.25">
      <c r="A5098" s="2" t="s">
        <v>38</v>
      </c>
      <c r="B5098" s="6">
        <v>45927</v>
      </c>
      <c r="C5098" s="2" t="s">
        <v>53</v>
      </c>
      <c r="D5098" s="8">
        <v>-26.88</v>
      </c>
      <c r="E5098" s="8">
        <f>E5097+(0-26.88)</f>
        <v>8554761.129999565</v>
      </c>
    </row>
    <row r="5099" spans="1:5" x14ac:dyDescent="0.25">
      <c r="A5099" s="2" t="s">
        <v>38</v>
      </c>
      <c r="B5099" s="6">
        <v>45927</v>
      </c>
      <c r="C5099" s="2" t="s">
        <v>53</v>
      </c>
      <c r="D5099" s="8">
        <v>-26.88</v>
      </c>
      <c r="E5099" s="8">
        <f>E5098+(0-26.88)</f>
        <v>8554734.2499995641</v>
      </c>
    </row>
    <row r="5100" spans="1:5" x14ac:dyDescent="0.25">
      <c r="A5100" s="2" t="s">
        <v>38</v>
      </c>
      <c r="B5100" s="6">
        <v>45929</v>
      </c>
      <c r="C5100" s="2" t="s">
        <v>53</v>
      </c>
      <c r="D5100" s="8">
        <v>-53.75</v>
      </c>
      <c r="E5100" s="8">
        <f>E5099+(0-53.75)</f>
        <v>8554680.4999995641</v>
      </c>
    </row>
    <row r="5101" spans="1:5" x14ac:dyDescent="0.25">
      <c r="A5101" s="2" t="s">
        <v>38</v>
      </c>
      <c r="B5101" s="6">
        <v>45929</v>
      </c>
      <c r="C5101" s="2" t="s">
        <v>53</v>
      </c>
      <c r="D5101" s="8">
        <v>-700</v>
      </c>
      <c r="E5101" s="8">
        <f>E5100+(0-700)</f>
        <v>8553980.4999995641</v>
      </c>
    </row>
    <row r="5102" spans="1:5" x14ac:dyDescent="0.25">
      <c r="A5102" s="2" t="s">
        <v>38</v>
      </c>
      <c r="B5102" s="6">
        <v>45929</v>
      </c>
      <c r="C5102" s="2" t="s">
        <v>53</v>
      </c>
      <c r="D5102" s="8">
        <v>-50</v>
      </c>
      <c r="E5102" s="8">
        <f>E5101+(0-50)</f>
        <v>8553930.4999995641</v>
      </c>
    </row>
    <row r="5103" spans="1:5" x14ac:dyDescent="0.25">
      <c r="A5103" s="2" t="s">
        <v>38</v>
      </c>
      <c r="B5103" s="6">
        <v>45930</v>
      </c>
      <c r="C5103" s="2" t="s">
        <v>53</v>
      </c>
      <c r="D5103" s="8">
        <v>-53.75</v>
      </c>
      <c r="E5103" s="8">
        <f>E5102+(0-53.75)</f>
        <v>8553876.7499995641</v>
      </c>
    </row>
    <row r="5104" spans="1:5" x14ac:dyDescent="0.25">
      <c r="A5104" s="2" t="s">
        <v>38</v>
      </c>
      <c r="B5104" s="6">
        <v>45930</v>
      </c>
      <c r="C5104" s="2" t="s">
        <v>19</v>
      </c>
      <c r="D5104" s="8">
        <v>-90</v>
      </c>
      <c r="E5104" s="8">
        <f>E5103+(0-90)</f>
        <v>8553786.7499995641</v>
      </c>
    </row>
    <row r="5105" spans="1:5" x14ac:dyDescent="0.25">
      <c r="A5105" s="2" t="s">
        <v>38</v>
      </c>
      <c r="B5105" s="6">
        <v>45930</v>
      </c>
      <c r="C5105" s="2" t="s">
        <v>19</v>
      </c>
      <c r="D5105" s="8">
        <v>-42</v>
      </c>
      <c r="E5105" s="8">
        <f>E5104+(0-42)</f>
        <v>8553744.7499995641</v>
      </c>
    </row>
    <row r="5106" spans="1:5" x14ac:dyDescent="0.25">
      <c r="A5106" s="2" t="s">
        <v>38</v>
      </c>
      <c r="B5106" s="6">
        <v>45930</v>
      </c>
      <c r="C5106" s="2" t="s">
        <v>19</v>
      </c>
      <c r="D5106" s="8">
        <v>-90</v>
      </c>
      <c r="E5106" s="8">
        <f>E5105+(0-90)</f>
        <v>8553654.7499995641</v>
      </c>
    </row>
    <row r="5107" spans="1:5" x14ac:dyDescent="0.25">
      <c r="A5107" s="2" t="s">
        <v>38</v>
      </c>
      <c r="B5107" s="6">
        <v>45930</v>
      </c>
      <c r="C5107" s="2" t="s">
        <v>53</v>
      </c>
      <c r="D5107" s="8">
        <v>-53.75</v>
      </c>
      <c r="E5107" s="8">
        <f>E5106+(0-53.75)</f>
        <v>8553600.9999995641</v>
      </c>
    </row>
    <row r="5108" spans="1:5" x14ac:dyDescent="0.25">
      <c r="A5108" s="2" t="s">
        <v>38</v>
      </c>
      <c r="B5108" s="6">
        <v>45930</v>
      </c>
      <c r="C5108" s="2" t="s">
        <v>19</v>
      </c>
      <c r="D5108" s="8">
        <v>-240</v>
      </c>
      <c r="E5108" s="8">
        <f>E5107+(0-240)</f>
        <v>8553360.9999995641</v>
      </c>
    </row>
    <row r="5109" spans="1:5" x14ac:dyDescent="0.25">
      <c r="A5109" s="2" t="s">
        <v>38</v>
      </c>
      <c r="B5109" s="6">
        <v>45930</v>
      </c>
      <c r="C5109" s="2" t="s">
        <v>19</v>
      </c>
      <c r="D5109" s="8">
        <v>-78</v>
      </c>
      <c r="E5109" s="8">
        <f>E5108+(0-78)</f>
        <v>8553282.9999995641</v>
      </c>
    </row>
    <row r="5110" spans="1:5" x14ac:dyDescent="0.25">
      <c r="A5110" s="2" t="s">
        <v>38</v>
      </c>
      <c r="B5110" s="6">
        <v>45930</v>
      </c>
      <c r="C5110" s="2" t="s">
        <v>19</v>
      </c>
      <c r="D5110" s="8">
        <v>-36</v>
      </c>
      <c r="E5110" s="8">
        <f>E5109+(0-36)</f>
        <v>8553246.9999995641</v>
      </c>
    </row>
    <row r="5111" spans="1:5" x14ac:dyDescent="0.25">
      <c r="A5111" s="2" t="s">
        <v>38</v>
      </c>
      <c r="B5111" s="6">
        <v>45930</v>
      </c>
      <c r="C5111" s="2" t="s">
        <v>19</v>
      </c>
      <c r="D5111" s="8">
        <v>-24</v>
      </c>
      <c r="E5111" s="8">
        <f>E5110+(0-24)</f>
        <v>8553222.9999995641</v>
      </c>
    </row>
    <row r="5112" spans="1:5" x14ac:dyDescent="0.25">
      <c r="A5112" s="2" t="s">
        <v>38</v>
      </c>
      <c r="B5112" s="6">
        <v>45930</v>
      </c>
      <c r="C5112" s="2" t="s">
        <v>53</v>
      </c>
      <c r="D5112" s="8">
        <v>-300</v>
      </c>
      <c r="E5112" s="8">
        <f>E5111+(0-300)</f>
        <v>8552922.9999995641</v>
      </c>
    </row>
    <row r="5113" spans="1:5" x14ac:dyDescent="0.25">
      <c r="A5113" s="2" t="s">
        <v>38</v>
      </c>
      <c r="B5113" s="6">
        <v>45930</v>
      </c>
      <c r="C5113" s="2" t="s">
        <v>19</v>
      </c>
      <c r="D5113" s="8">
        <v>-102</v>
      </c>
      <c r="E5113" s="8">
        <f>E5112+(0-102)</f>
        <v>8552820.9999995641</v>
      </c>
    </row>
    <row r="5114" spans="1:5" x14ac:dyDescent="0.25">
      <c r="A5114" s="2" t="s">
        <v>38</v>
      </c>
      <c r="B5114" s="6">
        <v>45932</v>
      </c>
      <c r="C5114" s="2" t="s">
        <v>53</v>
      </c>
      <c r="D5114" s="8">
        <v>-53.75</v>
      </c>
      <c r="E5114" s="8">
        <f>E5113+(0-53.75)</f>
        <v>8552767.2499995641</v>
      </c>
    </row>
    <row r="5115" spans="1:5" x14ac:dyDescent="0.25">
      <c r="A5115" s="2" t="s">
        <v>38</v>
      </c>
      <c r="B5115" s="6">
        <v>45932</v>
      </c>
      <c r="C5115" s="2" t="s">
        <v>53</v>
      </c>
      <c r="D5115" s="8">
        <v>-300</v>
      </c>
      <c r="E5115" s="8">
        <f>E5114+(0-300)</f>
        <v>8552467.2499995641</v>
      </c>
    </row>
    <row r="5116" spans="1:5" x14ac:dyDescent="0.25">
      <c r="A5116" s="2" t="s">
        <v>38</v>
      </c>
      <c r="B5116" s="6">
        <v>45932</v>
      </c>
      <c r="C5116" s="2" t="s">
        <v>53</v>
      </c>
      <c r="D5116" s="8">
        <v>-53.75</v>
      </c>
      <c r="E5116" s="8">
        <f>E5115+(0-53.75)</f>
        <v>8552413.4999995641</v>
      </c>
    </row>
    <row r="5117" spans="1:5" x14ac:dyDescent="0.25">
      <c r="A5117" s="2" t="s">
        <v>38</v>
      </c>
      <c r="B5117" s="6">
        <v>45932</v>
      </c>
      <c r="C5117" s="2" t="s">
        <v>53</v>
      </c>
      <c r="D5117" s="8">
        <v>-53.75</v>
      </c>
      <c r="E5117" s="8">
        <f>E5116+(0-53.75)</f>
        <v>8552359.7499995641</v>
      </c>
    </row>
    <row r="5118" spans="1:5" x14ac:dyDescent="0.25">
      <c r="A5118" s="2" t="s">
        <v>38</v>
      </c>
      <c r="B5118" s="6">
        <v>45933</v>
      </c>
      <c r="C5118" s="2" t="s">
        <v>53</v>
      </c>
      <c r="D5118" s="8">
        <v>-53.75</v>
      </c>
      <c r="E5118" s="8">
        <f>E5117+(0-53.75)</f>
        <v>8552305.9999995641</v>
      </c>
    </row>
    <row r="5119" spans="1:5" x14ac:dyDescent="0.25">
      <c r="A5119" s="2" t="s">
        <v>38</v>
      </c>
      <c r="B5119" s="6">
        <v>45933</v>
      </c>
      <c r="C5119" s="2" t="s">
        <v>53</v>
      </c>
      <c r="D5119" s="8">
        <v>-26.88</v>
      </c>
      <c r="E5119" s="8">
        <f>E5118+(0-26.88)</f>
        <v>8552279.1199995633</v>
      </c>
    </row>
    <row r="5120" spans="1:5" x14ac:dyDescent="0.25">
      <c r="A5120" s="2" t="s">
        <v>38</v>
      </c>
      <c r="B5120" s="6">
        <v>45933</v>
      </c>
      <c r="C5120" s="2" t="s">
        <v>53</v>
      </c>
      <c r="D5120" s="8">
        <v>-53.75</v>
      </c>
      <c r="E5120" s="8">
        <f>E5119+(0-53.75)</f>
        <v>8552225.3699995633</v>
      </c>
    </row>
    <row r="5121" spans="1:5" x14ac:dyDescent="0.25">
      <c r="A5121" s="2" t="s">
        <v>38</v>
      </c>
      <c r="B5121" s="6">
        <v>45933</v>
      </c>
      <c r="C5121" s="2" t="s">
        <v>53</v>
      </c>
      <c r="D5121" s="8">
        <v>-53.75</v>
      </c>
      <c r="E5121" s="8">
        <f>E5120+(0-53.75)</f>
        <v>8552171.6199995633</v>
      </c>
    </row>
    <row r="5122" spans="1:5" x14ac:dyDescent="0.25">
      <c r="A5122" s="2" t="s">
        <v>38</v>
      </c>
      <c r="B5122" s="6">
        <v>45933</v>
      </c>
      <c r="C5122" s="2" t="s">
        <v>53</v>
      </c>
      <c r="D5122" s="8">
        <v>-53.75</v>
      </c>
      <c r="E5122" s="8">
        <f>E5121+(0-53.75)</f>
        <v>8552117.8699995633</v>
      </c>
    </row>
    <row r="5123" spans="1:5" x14ac:dyDescent="0.25">
      <c r="A5123" s="2" t="s">
        <v>38</v>
      </c>
      <c r="B5123" s="6">
        <v>45933</v>
      </c>
      <c r="C5123" s="2" t="s">
        <v>53</v>
      </c>
      <c r="D5123" s="8">
        <v>-400</v>
      </c>
      <c r="E5123" s="8">
        <f>E5122+(0-400)</f>
        <v>8551717.8699995633</v>
      </c>
    </row>
    <row r="5124" spans="1:5" x14ac:dyDescent="0.25">
      <c r="A5124" s="2" t="s">
        <v>38</v>
      </c>
      <c r="B5124" s="6">
        <v>45936</v>
      </c>
      <c r="C5124" s="2" t="s">
        <v>19</v>
      </c>
      <c r="D5124" s="8">
        <v>-66</v>
      </c>
      <c r="E5124" s="8">
        <f>E5123+(0-66)</f>
        <v>8551651.8699995633</v>
      </c>
    </row>
    <row r="5125" spans="1:5" x14ac:dyDescent="0.25">
      <c r="A5125" s="2" t="s">
        <v>38</v>
      </c>
      <c r="B5125" s="6">
        <v>45936</v>
      </c>
      <c r="C5125" s="2" t="s">
        <v>19</v>
      </c>
      <c r="D5125" s="8">
        <v>-90</v>
      </c>
      <c r="E5125" s="8">
        <f>E5124+(0-90)</f>
        <v>8551561.8699995633</v>
      </c>
    </row>
    <row r="5126" spans="1:5" x14ac:dyDescent="0.25">
      <c r="A5126" s="2" t="s">
        <v>38</v>
      </c>
      <c r="B5126" s="6">
        <v>45936</v>
      </c>
      <c r="C5126" s="2" t="s">
        <v>19</v>
      </c>
      <c r="D5126" s="8">
        <v>-108</v>
      </c>
      <c r="E5126" s="8">
        <f>E5125+(0-108)</f>
        <v>8551453.8699995633</v>
      </c>
    </row>
    <row r="5127" spans="1:5" x14ac:dyDescent="0.25">
      <c r="A5127" s="2" t="s">
        <v>38</v>
      </c>
      <c r="B5127" s="6">
        <v>45936</v>
      </c>
      <c r="C5127" s="2" t="s">
        <v>19</v>
      </c>
      <c r="D5127" s="8">
        <v>-30</v>
      </c>
      <c r="E5127" s="8">
        <f>E5126+(0-30)</f>
        <v>8551423.8699995633</v>
      </c>
    </row>
    <row r="5128" spans="1:5" x14ac:dyDescent="0.25">
      <c r="A5128" s="2" t="s">
        <v>38</v>
      </c>
      <c r="B5128" s="6">
        <v>45936</v>
      </c>
      <c r="C5128" s="2" t="s">
        <v>53</v>
      </c>
      <c r="D5128" s="8">
        <v>-450</v>
      </c>
      <c r="E5128" s="8">
        <f>E5127+(0-450)</f>
        <v>8550973.8699995633</v>
      </c>
    </row>
    <row r="5129" spans="1:5" x14ac:dyDescent="0.25">
      <c r="A5129" s="2" t="s">
        <v>38</v>
      </c>
      <c r="B5129" s="6">
        <v>45937</v>
      </c>
      <c r="C5129" s="2" t="s">
        <v>53</v>
      </c>
      <c r="D5129" s="8">
        <v>-50</v>
      </c>
      <c r="E5129" s="8">
        <f>E5128+(0-50)</f>
        <v>8550923.8699995633</v>
      </c>
    </row>
    <row r="5130" spans="1:5" x14ac:dyDescent="0.25">
      <c r="A5130" s="2" t="s">
        <v>38</v>
      </c>
      <c r="B5130" s="6">
        <v>45937</v>
      </c>
      <c r="C5130" s="2" t="s">
        <v>53</v>
      </c>
      <c r="D5130" s="8">
        <v>-700</v>
      </c>
      <c r="E5130" s="8">
        <f>E5129+(0-700)</f>
        <v>8550223.8699995633</v>
      </c>
    </row>
    <row r="5131" spans="1:5" x14ac:dyDescent="0.25">
      <c r="A5131" s="2" t="s">
        <v>38</v>
      </c>
      <c r="B5131" s="6">
        <v>45938</v>
      </c>
      <c r="C5131" s="2" t="s">
        <v>53</v>
      </c>
      <c r="D5131" s="8">
        <v>-250</v>
      </c>
      <c r="E5131" s="8">
        <f>E5130+(0-250)</f>
        <v>8549973.8699995633</v>
      </c>
    </row>
    <row r="5132" spans="1:5" x14ac:dyDescent="0.25">
      <c r="A5132" s="2" t="s">
        <v>38</v>
      </c>
      <c r="B5132" s="6">
        <v>45939</v>
      </c>
      <c r="C5132" s="2" t="s">
        <v>53</v>
      </c>
      <c r="D5132" s="8">
        <v>-300</v>
      </c>
      <c r="E5132" s="8">
        <f>E5131+(0-300)</f>
        <v>8549673.8699995633</v>
      </c>
    </row>
    <row r="5133" spans="1:5" x14ac:dyDescent="0.25">
      <c r="A5133" s="2" t="s">
        <v>38</v>
      </c>
      <c r="B5133" s="6">
        <v>45939</v>
      </c>
      <c r="C5133" s="2" t="s">
        <v>53</v>
      </c>
      <c r="D5133" s="8">
        <v>-50</v>
      </c>
      <c r="E5133" s="8">
        <f>E5132+(0-50)</f>
        <v>8549623.8699995633</v>
      </c>
    </row>
    <row r="5134" spans="1:5" x14ac:dyDescent="0.25">
      <c r="A5134" s="2" t="s">
        <v>38</v>
      </c>
      <c r="B5134" s="6">
        <v>45940</v>
      </c>
      <c r="C5134" s="2" t="s">
        <v>53</v>
      </c>
      <c r="D5134" s="8">
        <v>-53.75</v>
      </c>
      <c r="E5134" s="8">
        <f>E5133+(0-53.75)</f>
        <v>8549570.1199995633</v>
      </c>
    </row>
    <row r="5135" spans="1:5" x14ac:dyDescent="0.25">
      <c r="A5135" s="2" t="s">
        <v>38</v>
      </c>
      <c r="B5135" s="6">
        <v>45940</v>
      </c>
      <c r="C5135" s="2" t="s">
        <v>53</v>
      </c>
      <c r="D5135" s="8">
        <v>-250</v>
      </c>
      <c r="E5135" s="8">
        <f>E5134+(0-250)</f>
        <v>8549320.1199995633</v>
      </c>
    </row>
    <row r="5136" spans="1:5" x14ac:dyDescent="0.25">
      <c r="A5136" s="2" t="s">
        <v>38</v>
      </c>
      <c r="B5136" s="6">
        <v>45943</v>
      </c>
      <c r="C5136" s="2" t="s">
        <v>19</v>
      </c>
      <c r="D5136" s="8">
        <v>-6</v>
      </c>
      <c r="E5136" s="8">
        <f>E5135+(0-6)</f>
        <v>8549314.1199995633</v>
      </c>
    </row>
    <row r="5137" spans="1:5" x14ac:dyDescent="0.25">
      <c r="A5137" s="2" t="s">
        <v>38</v>
      </c>
      <c r="B5137" s="6">
        <v>45943</v>
      </c>
      <c r="C5137" s="2" t="s">
        <v>53</v>
      </c>
      <c r="D5137" s="8">
        <v>-53.75</v>
      </c>
      <c r="E5137" s="8">
        <f>E5136+(0-53.75)</f>
        <v>8549260.3699995633</v>
      </c>
    </row>
    <row r="5138" spans="1:5" x14ac:dyDescent="0.25">
      <c r="A5138" s="2" t="s">
        <v>38</v>
      </c>
      <c r="B5138" s="6">
        <v>45943</v>
      </c>
      <c r="C5138" s="2" t="s">
        <v>53</v>
      </c>
      <c r="D5138" s="8">
        <v>-26.88</v>
      </c>
      <c r="E5138" s="8">
        <f>E5137+(0-26.88)</f>
        <v>8549233.4899995625</v>
      </c>
    </row>
    <row r="5139" spans="1:5" x14ac:dyDescent="0.25">
      <c r="A5139" s="2" t="s">
        <v>38</v>
      </c>
      <c r="B5139" s="6">
        <v>45943</v>
      </c>
      <c r="C5139" s="2" t="s">
        <v>53</v>
      </c>
      <c r="D5139" s="8">
        <v>-350</v>
      </c>
      <c r="E5139" s="8">
        <f>E5138+(0-350)</f>
        <v>8548883.4899995625</v>
      </c>
    </row>
    <row r="5140" spans="1:5" x14ac:dyDescent="0.25">
      <c r="A5140" s="2" t="s">
        <v>38</v>
      </c>
      <c r="B5140" s="6">
        <v>45944</v>
      </c>
      <c r="C5140" s="2" t="s">
        <v>53</v>
      </c>
      <c r="D5140" s="8">
        <v>-50</v>
      </c>
      <c r="E5140" s="8">
        <f>E5139+(0-50)</f>
        <v>8548833.4899995625</v>
      </c>
    </row>
    <row r="5141" spans="1:5" x14ac:dyDescent="0.25">
      <c r="A5141" s="2" t="s">
        <v>38</v>
      </c>
      <c r="B5141" s="6">
        <v>45944</v>
      </c>
      <c r="C5141" s="2" t="s">
        <v>53</v>
      </c>
      <c r="D5141" s="8">
        <v>-50</v>
      </c>
      <c r="E5141" s="8">
        <f>E5140+(0-50)</f>
        <v>8548783.4899995625</v>
      </c>
    </row>
    <row r="5142" spans="1:5" x14ac:dyDescent="0.25">
      <c r="A5142" s="2" t="s">
        <v>38</v>
      </c>
      <c r="B5142" s="6">
        <v>45944</v>
      </c>
      <c r="C5142" s="2" t="s">
        <v>53</v>
      </c>
      <c r="D5142" s="8">
        <v>-53.75</v>
      </c>
      <c r="E5142" s="8">
        <f>E5141+(0-53.75)</f>
        <v>8548729.7399995625</v>
      </c>
    </row>
    <row r="5143" spans="1:5" x14ac:dyDescent="0.25">
      <c r="A5143" s="2" t="s">
        <v>38</v>
      </c>
      <c r="B5143" s="6">
        <v>45944</v>
      </c>
      <c r="C5143" s="2" t="s">
        <v>53</v>
      </c>
      <c r="D5143" s="8">
        <v>-50</v>
      </c>
      <c r="E5143" s="8">
        <f>E5142+(0-50)</f>
        <v>8548679.7399995625</v>
      </c>
    </row>
    <row r="5144" spans="1:5" x14ac:dyDescent="0.25">
      <c r="A5144" s="2" t="s">
        <v>38</v>
      </c>
      <c r="B5144" s="6">
        <v>45944</v>
      </c>
      <c r="C5144" s="2" t="s">
        <v>53</v>
      </c>
      <c r="D5144" s="8">
        <v>-550</v>
      </c>
      <c r="E5144" s="8">
        <f>E5143+(0-550)</f>
        <v>8548129.7399995625</v>
      </c>
    </row>
    <row r="5145" spans="1:5" x14ac:dyDescent="0.25">
      <c r="A5145" s="2" t="s">
        <v>38</v>
      </c>
      <c r="B5145" s="6">
        <v>45945</v>
      </c>
      <c r="C5145" s="2" t="s">
        <v>19</v>
      </c>
      <c r="D5145" s="8">
        <v>-30</v>
      </c>
      <c r="E5145" s="8">
        <f>E5144+(0-30)</f>
        <v>8548099.7399995625</v>
      </c>
    </row>
    <row r="5146" spans="1:5" x14ac:dyDescent="0.25">
      <c r="A5146" s="2" t="s">
        <v>38</v>
      </c>
      <c r="B5146" s="6">
        <v>45945</v>
      </c>
      <c r="C5146" s="2" t="s">
        <v>19</v>
      </c>
      <c r="D5146" s="8">
        <v>-102</v>
      </c>
      <c r="E5146" s="8">
        <f>E5145+(0-102)</f>
        <v>8547997.7399995625</v>
      </c>
    </row>
    <row r="5147" spans="1:5" x14ac:dyDescent="0.25">
      <c r="A5147" s="2" t="s">
        <v>38</v>
      </c>
      <c r="B5147" s="6">
        <v>45945</v>
      </c>
      <c r="C5147" s="2" t="s">
        <v>53</v>
      </c>
      <c r="D5147" s="8">
        <v>-26.88</v>
      </c>
      <c r="E5147" s="8">
        <f>E5146+(0-26.88)</f>
        <v>8547970.8599995617</v>
      </c>
    </row>
    <row r="5148" spans="1:5" x14ac:dyDescent="0.25">
      <c r="A5148" s="2" t="s">
        <v>38</v>
      </c>
      <c r="B5148" s="6">
        <v>45945</v>
      </c>
      <c r="C5148" s="2" t="s">
        <v>19</v>
      </c>
      <c r="D5148" s="8">
        <v>-48</v>
      </c>
      <c r="E5148" s="8">
        <f>E5147+(0-48)</f>
        <v>8547922.8599995617</v>
      </c>
    </row>
    <row r="5149" spans="1:5" x14ac:dyDescent="0.25">
      <c r="A5149" s="2" t="s">
        <v>38</v>
      </c>
      <c r="B5149" s="6">
        <v>45945</v>
      </c>
      <c r="C5149" s="2" t="s">
        <v>19</v>
      </c>
      <c r="D5149" s="8">
        <v>-72</v>
      </c>
      <c r="E5149" s="8">
        <f>E5148+(0-72)</f>
        <v>8547850.8599995617</v>
      </c>
    </row>
    <row r="5150" spans="1:5" x14ac:dyDescent="0.25">
      <c r="A5150" s="2" t="s">
        <v>38</v>
      </c>
      <c r="B5150" s="6">
        <v>45945</v>
      </c>
      <c r="C5150" s="2" t="s">
        <v>53</v>
      </c>
      <c r="D5150" s="8">
        <v>-53.75</v>
      </c>
      <c r="E5150" s="8">
        <f>E5149+(0-53.75)</f>
        <v>8547797.1099995617</v>
      </c>
    </row>
    <row r="5151" spans="1:5" x14ac:dyDescent="0.25">
      <c r="A5151" s="2" t="s">
        <v>38</v>
      </c>
      <c r="B5151" s="6">
        <v>45945</v>
      </c>
      <c r="C5151" s="2" t="s">
        <v>19</v>
      </c>
      <c r="D5151" s="8">
        <v>-48</v>
      </c>
      <c r="E5151" s="8">
        <f>E5150+(0-48)</f>
        <v>8547749.1099995617</v>
      </c>
    </row>
    <row r="5152" spans="1:5" x14ac:dyDescent="0.25">
      <c r="A5152" s="2" t="s">
        <v>38</v>
      </c>
      <c r="B5152" s="6">
        <v>45945</v>
      </c>
      <c r="C5152" s="2" t="s">
        <v>53</v>
      </c>
      <c r="D5152" s="8">
        <v>-400</v>
      </c>
      <c r="E5152" s="8">
        <f>E5151+(0-400)</f>
        <v>8547349.1099995617</v>
      </c>
    </row>
    <row r="5153" spans="1:5" x14ac:dyDescent="0.25">
      <c r="A5153" s="2" t="s">
        <v>38</v>
      </c>
      <c r="B5153" s="6">
        <v>45945</v>
      </c>
      <c r="C5153" s="2" t="s">
        <v>53</v>
      </c>
      <c r="D5153" s="8">
        <v>-50</v>
      </c>
      <c r="E5153" s="8">
        <f>E5152+(0-50)</f>
        <v>8547299.1099995617</v>
      </c>
    </row>
    <row r="5154" spans="1:5" x14ac:dyDescent="0.25">
      <c r="A5154" s="2" t="s">
        <v>38</v>
      </c>
      <c r="B5154" s="6">
        <v>45945</v>
      </c>
      <c r="C5154" s="2" t="s">
        <v>19</v>
      </c>
      <c r="D5154" s="8">
        <v>-6</v>
      </c>
      <c r="E5154" s="8">
        <f>E5153+(0-6)</f>
        <v>8547293.1099995617</v>
      </c>
    </row>
    <row r="5155" spans="1:5" x14ac:dyDescent="0.25">
      <c r="A5155" s="2" t="s">
        <v>38</v>
      </c>
      <c r="B5155" s="6">
        <v>45945</v>
      </c>
      <c r="C5155" s="2" t="s">
        <v>19</v>
      </c>
      <c r="D5155" s="8">
        <v>-6</v>
      </c>
      <c r="E5155" s="8">
        <f>E5154+(0-6)</f>
        <v>8547287.1099995617</v>
      </c>
    </row>
    <row r="5156" spans="1:5" x14ac:dyDescent="0.25">
      <c r="A5156" s="2" t="s">
        <v>38</v>
      </c>
      <c r="B5156" s="6">
        <v>45945</v>
      </c>
      <c r="C5156" s="2" t="s">
        <v>19</v>
      </c>
      <c r="D5156" s="8">
        <v>-54</v>
      </c>
      <c r="E5156" s="8">
        <f>E5155+(0-54)</f>
        <v>8547233.1099995617</v>
      </c>
    </row>
    <row r="5157" spans="1:5" x14ac:dyDescent="0.25">
      <c r="A5157" s="2" t="s">
        <v>38</v>
      </c>
      <c r="B5157" s="6">
        <v>45946</v>
      </c>
      <c r="C5157" s="2" t="s">
        <v>19</v>
      </c>
      <c r="D5157" s="8">
        <v>-96</v>
      </c>
      <c r="E5157" s="8">
        <f>E5156+(0-96)</f>
        <v>8547137.1099995617</v>
      </c>
    </row>
    <row r="5158" spans="1:5" x14ac:dyDescent="0.25">
      <c r="A5158" s="2" t="s">
        <v>38</v>
      </c>
      <c r="B5158" s="6">
        <v>45946</v>
      </c>
      <c r="C5158" s="2" t="s">
        <v>19</v>
      </c>
      <c r="D5158" s="8">
        <v>-132</v>
      </c>
      <c r="E5158" s="8">
        <f>E5157+(0-132)</f>
        <v>8547005.1099995617</v>
      </c>
    </row>
    <row r="5159" spans="1:5" x14ac:dyDescent="0.25">
      <c r="A5159" s="2" t="s">
        <v>38</v>
      </c>
      <c r="B5159" s="6">
        <v>45946</v>
      </c>
      <c r="C5159" s="2" t="s">
        <v>53</v>
      </c>
      <c r="D5159" s="8">
        <v>-53.75</v>
      </c>
      <c r="E5159" s="8">
        <f>E5158+(0-53.75)</f>
        <v>8546951.3599995617</v>
      </c>
    </row>
    <row r="5160" spans="1:5" x14ac:dyDescent="0.25">
      <c r="A5160" s="2" t="s">
        <v>38</v>
      </c>
      <c r="B5160" s="6">
        <v>45946</v>
      </c>
      <c r="C5160" s="2" t="s">
        <v>53</v>
      </c>
      <c r="D5160" s="8">
        <v>-53.75</v>
      </c>
      <c r="E5160" s="8">
        <f>E5159+(0-53.75)</f>
        <v>8546897.6099995617</v>
      </c>
    </row>
    <row r="5161" spans="1:5" x14ac:dyDescent="0.25">
      <c r="A5161" s="2" t="s">
        <v>38</v>
      </c>
      <c r="B5161" s="6">
        <v>45946</v>
      </c>
      <c r="C5161" s="2" t="s">
        <v>53</v>
      </c>
      <c r="D5161" s="8">
        <v>-400</v>
      </c>
      <c r="E5161" s="8">
        <f>E5160+(0-400)</f>
        <v>8546497.6099995617</v>
      </c>
    </row>
    <row r="5162" spans="1:5" x14ac:dyDescent="0.25">
      <c r="A5162" s="2" t="s">
        <v>38</v>
      </c>
      <c r="B5162" s="6">
        <v>45946</v>
      </c>
      <c r="C5162" s="2" t="s">
        <v>53</v>
      </c>
      <c r="D5162" s="8">
        <v>-50</v>
      </c>
      <c r="E5162" s="8">
        <f>E5161+(0-50)</f>
        <v>8546447.6099995617</v>
      </c>
    </row>
    <row r="5163" spans="1:5" x14ac:dyDescent="0.25">
      <c r="A5163" s="2" t="s">
        <v>38</v>
      </c>
      <c r="B5163" s="6">
        <v>45947</v>
      </c>
      <c r="C5163" s="2" t="s">
        <v>53</v>
      </c>
      <c r="D5163" s="8">
        <v>-50</v>
      </c>
      <c r="E5163" s="8">
        <f>E5162+(0-50)</f>
        <v>8546397.6099995617</v>
      </c>
    </row>
    <row r="5164" spans="1:5" x14ac:dyDescent="0.25">
      <c r="A5164" s="2" t="s">
        <v>38</v>
      </c>
      <c r="B5164" s="6">
        <v>45947</v>
      </c>
      <c r="C5164" s="2" t="s">
        <v>53</v>
      </c>
      <c r="D5164" s="8">
        <v>-200</v>
      </c>
      <c r="E5164" s="8">
        <f>E5163+(0-200)</f>
        <v>8546197.6099995617</v>
      </c>
    </row>
    <row r="5165" spans="1:5" x14ac:dyDescent="0.25">
      <c r="A5165" s="2" t="s">
        <v>38</v>
      </c>
      <c r="B5165" s="6">
        <v>45950</v>
      </c>
      <c r="C5165" s="2" t="s">
        <v>53</v>
      </c>
      <c r="D5165" s="8">
        <v>-26.88</v>
      </c>
      <c r="E5165" s="8">
        <f>E5164+(0-26.88)</f>
        <v>8546170.7299995609</v>
      </c>
    </row>
    <row r="5166" spans="1:5" x14ac:dyDescent="0.25">
      <c r="A5166" s="2" t="s">
        <v>38</v>
      </c>
      <c r="B5166" s="6">
        <v>45950</v>
      </c>
      <c r="C5166" s="2" t="s">
        <v>53</v>
      </c>
      <c r="D5166" s="8">
        <v>-26.88</v>
      </c>
      <c r="E5166" s="8">
        <f>E5165+(0-26.88)</f>
        <v>8546143.84999956</v>
      </c>
    </row>
    <row r="5167" spans="1:5" x14ac:dyDescent="0.25">
      <c r="A5167" s="2" t="s">
        <v>38</v>
      </c>
      <c r="B5167" s="6">
        <v>45950</v>
      </c>
      <c r="C5167" s="2" t="s">
        <v>53</v>
      </c>
      <c r="D5167" s="8">
        <v>-300</v>
      </c>
      <c r="E5167" s="8">
        <f>E5166+(0-300)</f>
        <v>8545843.84999956</v>
      </c>
    </row>
    <row r="5168" spans="1:5" x14ac:dyDescent="0.25">
      <c r="A5168" s="2" t="s">
        <v>38</v>
      </c>
      <c r="B5168" s="6">
        <v>45951</v>
      </c>
      <c r="C5168" s="2" t="s">
        <v>19</v>
      </c>
      <c r="D5168" s="8">
        <v>-78</v>
      </c>
      <c r="E5168" s="8">
        <f>E5167+(0-78)</f>
        <v>8545765.84999956</v>
      </c>
    </row>
    <row r="5169" spans="1:5" x14ac:dyDescent="0.25">
      <c r="A5169" s="2" t="s">
        <v>38</v>
      </c>
      <c r="B5169" s="6">
        <v>45951</v>
      </c>
      <c r="C5169" s="2" t="s">
        <v>53</v>
      </c>
      <c r="D5169" s="8">
        <v>-300</v>
      </c>
      <c r="E5169" s="8">
        <f>E5168+(0-300)</f>
        <v>8545465.84999956</v>
      </c>
    </row>
    <row r="5170" spans="1:5" x14ac:dyDescent="0.25">
      <c r="A5170" s="2" t="s">
        <v>38</v>
      </c>
      <c r="B5170" s="6">
        <v>45952</v>
      </c>
      <c r="C5170" s="2" t="s">
        <v>53</v>
      </c>
      <c r="D5170" s="8">
        <v>-53.75</v>
      </c>
      <c r="E5170" s="8">
        <f>E5169+(0-53.75)</f>
        <v>8545412.09999956</v>
      </c>
    </row>
    <row r="5171" spans="1:5" x14ac:dyDescent="0.25">
      <c r="A5171" s="2" t="s">
        <v>38</v>
      </c>
      <c r="B5171" s="6">
        <v>45952</v>
      </c>
      <c r="C5171" s="2" t="s">
        <v>53</v>
      </c>
      <c r="D5171" s="8">
        <v>-300</v>
      </c>
      <c r="E5171" s="8">
        <f>E5170+(0-300)</f>
        <v>8545112.09999956</v>
      </c>
    </row>
    <row r="5172" spans="1:5" x14ac:dyDescent="0.25">
      <c r="A5172" s="2" t="s">
        <v>38</v>
      </c>
      <c r="B5172" s="6">
        <v>45953</v>
      </c>
      <c r="C5172" s="2" t="s">
        <v>53</v>
      </c>
      <c r="D5172" s="8">
        <v>-53.75</v>
      </c>
      <c r="E5172" s="8">
        <f>E5171+(0-53.75)</f>
        <v>8545058.34999956</v>
      </c>
    </row>
    <row r="5173" spans="1:5" x14ac:dyDescent="0.25">
      <c r="A5173" s="2" t="s">
        <v>38</v>
      </c>
      <c r="B5173" s="6">
        <v>45953</v>
      </c>
      <c r="C5173" s="2" t="s">
        <v>53</v>
      </c>
      <c r="D5173" s="8">
        <v>-150</v>
      </c>
      <c r="E5173" s="8">
        <f>E5172+(0-150)</f>
        <v>8544908.34999956</v>
      </c>
    </row>
    <row r="5174" spans="1:5" x14ac:dyDescent="0.25">
      <c r="A5174" s="2" t="s">
        <v>38</v>
      </c>
      <c r="B5174" s="6">
        <v>45953</v>
      </c>
      <c r="C5174" s="2" t="s">
        <v>19</v>
      </c>
      <c r="D5174" s="8">
        <v>-24</v>
      </c>
      <c r="E5174" s="8">
        <f>E5173+(0-24)</f>
        <v>8544884.34999956</v>
      </c>
    </row>
    <row r="5175" spans="1:5" x14ac:dyDescent="0.25">
      <c r="A5175" s="2" t="s">
        <v>38</v>
      </c>
      <c r="B5175" s="6">
        <v>45954</v>
      </c>
      <c r="C5175" s="2" t="s">
        <v>19</v>
      </c>
      <c r="D5175" s="8">
        <v>-12</v>
      </c>
      <c r="E5175" s="8">
        <f>E5174+(0-12)</f>
        <v>8544872.34999956</v>
      </c>
    </row>
    <row r="5176" spans="1:5" x14ac:dyDescent="0.25">
      <c r="A5176" s="2" t="s">
        <v>38</v>
      </c>
      <c r="B5176" s="6">
        <v>45954</v>
      </c>
      <c r="C5176" s="2" t="s">
        <v>53</v>
      </c>
      <c r="D5176" s="8">
        <v>-53.75</v>
      </c>
      <c r="E5176" s="8">
        <f>E5175+(0-53.75)</f>
        <v>8544818.59999956</v>
      </c>
    </row>
    <row r="5177" spans="1:5" x14ac:dyDescent="0.25">
      <c r="A5177" s="2" t="s">
        <v>38</v>
      </c>
      <c r="B5177" s="6">
        <v>45954</v>
      </c>
      <c r="C5177" s="2" t="s">
        <v>53</v>
      </c>
      <c r="D5177" s="8">
        <v>-53.75</v>
      </c>
      <c r="E5177" s="8">
        <f>E5176+(0-53.75)</f>
        <v>8544764.84999956</v>
      </c>
    </row>
    <row r="5178" spans="1:5" x14ac:dyDescent="0.25">
      <c r="A5178" s="2" t="s">
        <v>38</v>
      </c>
      <c r="B5178" s="6">
        <v>45954</v>
      </c>
      <c r="C5178" s="2" t="s">
        <v>19</v>
      </c>
      <c r="D5178" s="8">
        <v>-60</v>
      </c>
      <c r="E5178" s="8">
        <f>E5177+(0-60)</f>
        <v>8544704.84999956</v>
      </c>
    </row>
    <row r="5179" spans="1:5" x14ac:dyDescent="0.25">
      <c r="A5179" s="2" t="s">
        <v>38</v>
      </c>
      <c r="B5179" s="6">
        <v>45954</v>
      </c>
      <c r="C5179" s="2" t="s">
        <v>53</v>
      </c>
      <c r="D5179" s="8">
        <v>-26.88</v>
      </c>
      <c r="E5179" s="8">
        <f>E5178+(0-26.88)</f>
        <v>8544677.9699995592</v>
      </c>
    </row>
    <row r="5180" spans="1:5" x14ac:dyDescent="0.25">
      <c r="A5180" s="2" t="s">
        <v>38</v>
      </c>
      <c r="B5180" s="6">
        <v>45954</v>
      </c>
      <c r="C5180" s="2" t="s">
        <v>19</v>
      </c>
      <c r="D5180" s="8">
        <v>-78</v>
      </c>
      <c r="E5180" s="8">
        <f>E5179+(0-78)</f>
        <v>8544599.9699995592</v>
      </c>
    </row>
    <row r="5181" spans="1:5" x14ac:dyDescent="0.25">
      <c r="A5181" s="2" t="s">
        <v>38</v>
      </c>
      <c r="B5181" s="6">
        <v>45954</v>
      </c>
      <c r="C5181" s="2" t="s">
        <v>19</v>
      </c>
      <c r="D5181" s="8">
        <v>-84</v>
      </c>
      <c r="E5181" s="8">
        <f>E5180+(0-84)</f>
        <v>8544515.9699995592</v>
      </c>
    </row>
    <row r="5182" spans="1:5" x14ac:dyDescent="0.25">
      <c r="A5182" s="2" t="s">
        <v>38</v>
      </c>
      <c r="B5182" s="6">
        <v>45957</v>
      </c>
      <c r="C5182" s="2" t="s">
        <v>53</v>
      </c>
      <c r="D5182" s="8">
        <v>-500</v>
      </c>
      <c r="E5182" s="8">
        <f>E5181+(0-500)</f>
        <v>8544015.9699995592</v>
      </c>
    </row>
    <row r="5183" spans="1:5" x14ac:dyDescent="0.25">
      <c r="A5183" s="2" t="s">
        <v>38</v>
      </c>
      <c r="B5183" s="6">
        <v>45957</v>
      </c>
      <c r="C5183" s="2" t="s">
        <v>53</v>
      </c>
      <c r="D5183" s="8">
        <v>-26.88</v>
      </c>
      <c r="E5183" s="8">
        <f>E5182+(0-26.88)</f>
        <v>8543989.0899995584</v>
      </c>
    </row>
    <row r="5184" spans="1:5" x14ac:dyDescent="0.25">
      <c r="A5184" s="2" t="s">
        <v>38</v>
      </c>
      <c r="B5184" s="6">
        <v>45957</v>
      </c>
      <c r="C5184" s="2" t="s">
        <v>53</v>
      </c>
      <c r="D5184" s="8">
        <v>-53.75</v>
      </c>
      <c r="E5184" s="8">
        <f>E5183+(0-53.75)</f>
        <v>8543935.3399995584</v>
      </c>
    </row>
    <row r="5185" spans="1:5" x14ac:dyDescent="0.25">
      <c r="A5185" s="2" t="s">
        <v>38</v>
      </c>
      <c r="B5185" s="6">
        <v>45957</v>
      </c>
      <c r="C5185" s="2" t="s">
        <v>53</v>
      </c>
      <c r="D5185" s="8">
        <v>-50</v>
      </c>
      <c r="E5185" s="8">
        <f>E5184+(0-50)</f>
        <v>8543885.3399995584</v>
      </c>
    </row>
    <row r="5186" spans="1:5" x14ac:dyDescent="0.25">
      <c r="A5186" s="2" t="s">
        <v>38</v>
      </c>
      <c r="B5186" s="6">
        <v>45957</v>
      </c>
      <c r="C5186" s="2" t="s">
        <v>53</v>
      </c>
      <c r="D5186" s="8">
        <v>-26.88</v>
      </c>
      <c r="E5186" s="8">
        <f>E5185+(0-26.88)</f>
        <v>8543858.4599995576</v>
      </c>
    </row>
    <row r="5187" spans="1:5" x14ac:dyDescent="0.25">
      <c r="A5187" s="2" t="s">
        <v>38</v>
      </c>
      <c r="B5187" s="6">
        <v>45957</v>
      </c>
      <c r="C5187" s="2" t="s">
        <v>53</v>
      </c>
      <c r="D5187" s="8">
        <v>-350</v>
      </c>
      <c r="E5187" s="8">
        <f>E5186+(0-350)</f>
        <v>8543508.4599995576</v>
      </c>
    </row>
    <row r="5188" spans="1:5" x14ac:dyDescent="0.25">
      <c r="A5188" s="2" t="s">
        <v>38</v>
      </c>
      <c r="B5188" s="6">
        <v>45958</v>
      </c>
      <c r="C5188" s="2" t="s">
        <v>19</v>
      </c>
      <c r="D5188" s="8">
        <v>-54</v>
      </c>
      <c r="E5188" s="8">
        <f>E5187+(0-54)</f>
        <v>8543454.4599995576</v>
      </c>
    </row>
    <row r="5189" spans="1:5" x14ac:dyDescent="0.25">
      <c r="A5189" s="2" t="s">
        <v>38</v>
      </c>
      <c r="B5189" s="6">
        <v>45958</v>
      </c>
      <c r="C5189" s="2" t="s">
        <v>19</v>
      </c>
      <c r="D5189" s="8">
        <v>-114</v>
      </c>
      <c r="E5189" s="8">
        <f>E5188+(0-114)</f>
        <v>8543340.4599995576</v>
      </c>
    </row>
    <row r="5190" spans="1:5" x14ac:dyDescent="0.25">
      <c r="A5190" s="2" t="s">
        <v>38</v>
      </c>
      <c r="B5190" s="6">
        <v>45958</v>
      </c>
      <c r="C5190" s="2" t="s">
        <v>53</v>
      </c>
      <c r="D5190" s="8">
        <v>-53.75</v>
      </c>
      <c r="E5190" s="8">
        <f>E5189+(0-53.75)</f>
        <v>8543286.7099995576</v>
      </c>
    </row>
    <row r="5191" spans="1:5" x14ac:dyDescent="0.25">
      <c r="A5191" s="2" t="s">
        <v>38</v>
      </c>
      <c r="B5191" s="6">
        <v>45958</v>
      </c>
      <c r="C5191" s="2" t="s">
        <v>53</v>
      </c>
      <c r="D5191" s="8">
        <v>-53.75</v>
      </c>
      <c r="E5191" s="8">
        <f>E5190+(0-53.75)</f>
        <v>8543232.9599995576</v>
      </c>
    </row>
    <row r="5192" spans="1:5" x14ac:dyDescent="0.25">
      <c r="A5192" s="2" t="s">
        <v>38</v>
      </c>
      <c r="B5192" s="6">
        <v>45958</v>
      </c>
      <c r="C5192" s="2" t="s">
        <v>53</v>
      </c>
      <c r="D5192" s="8">
        <v>-53.75</v>
      </c>
      <c r="E5192" s="8">
        <f>E5191+(0-53.75)</f>
        <v>8543179.2099995576</v>
      </c>
    </row>
    <row r="5193" spans="1:5" x14ac:dyDescent="0.25">
      <c r="A5193" s="2" t="s">
        <v>38</v>
      </c>
      <c r="B5193" s="6">
        <v>45958</v>
      </c>
      <c r="C5193" s="2" t="s">
        <v>53</v>
      </c>
      <c r="D5193" s="8">
        <v>-53.75</v>
      </c>
      <c r="E5193" s="8">
        <f>E5192+(0-53.75)</f>
        <v>8543125.4599995576</v>
      </c>
    </row>
    <row r="5194" spans="1:5" x14ac:dyDescent="0.25">
      <c r="A5194" s="2" t="s">
        <v>38</v>
      </c>
      <c r="B5194" s="6">
        <v>45958</v>
      </c>
      <c r="C5194" s="2" t="s">
        <v>53</v>
      </c>
      <c r="D5194" s="8">
        <v>-53.75</v>
      </c>
      <c r="E5194" s="8">
        <f>E5193+(0-53.75)</f>
        <v>8543071.7099995576</v>
      </c>
    </row>
    <row r="5195" spans="1:5" x14ac:dyDescent="0.25">
      <c r="A5195" s="2" t="s">
        <v>38</v>
      </c>
      <c r="B5195" s="6">
        <v>45958</v>
      </c>
      <c r="C5195" s="2" t="s">
        <v>53</v>
      </c>
      <c r="D5195" s="8">
        <v>-26.88</v>
      </c>
      <c r="E5195" s="8">
        <f>E5194+(0-26.88)</f>
        <v>8543044.8299995568</v>
      </c>
    </row>
    <row r="5196" spans="1:5" x14ac:dyDescent="0.25">
      <c r="A5196" s="2" t="s">
        <v>38</v>
      </c>
      <c r="B5196" s="6">
        <v>45958</v>
      </c>
      <c r="C5196" s="2" t="s">
        <v>53</v>
      </c>
      <c r="D5196" s="8">
        <v>-53.75</v>
      </c>
      <c r="E5196" s="8">
        <f>E5195+(0-53.75)</f>
        <v>8542991.0799995568</v>
      </c>
    </row>
    <row r="5197" spans="1:5" x14ac:dyDescent="0.25">
      <c r="A5197" s="2" t="s">
        <v>38</v>
      </c>
      <c r="B5197" s="6">
        <v>45958</v>
      </c>
      <c r="C5197" s="2" t="s">
        <v>19</v>
      </c>
      <c r="D5197" s="8">
        <v>-12</v>
      </c>
      <c r="E5197" s="8">
        <f>E5196+(0-12)</f>
        <v>8542979.0799995568</v>
      </c>
    </row>
    <row r="5198" spans="1:5" x14ac:dyDescent="0.25">
      <c r="A5198" s="2" t="s">
        <v>38</v>
      </c>
      <c r="B5198" s="6">
        <v>45958</v>
      </c>
      <c r="C5198" s="2" t="s">
        <v>19</v>
      </c>
      <c r="D5198" s="8">
        <v>-84</v>
      </c>
      <c r="E5198" s="8">
        <f>E5197+(0-84)</f>
        <v>8542895.0799995568</v>
      </c>
    </row>
    <row r="5199" spans="1:5" x14ac:dyDescent="0.25">
      <c r="A5199" s="2" t="s">
        <v>38</v>
      </c>
      <c r="B5199" s="6">
        <v>45958</v>
      </c>
      <c r="C5199" s="2" t="s">
        <v>53</v>
      </c>
      <c r="D5199" s="8">
        <v>-350</v>
      </c>
      <c r="E5199" s="8">
        <f>E5198+(0-350)</f>
        <v>8542545.0799995568</v>
      </c>
    </row>
    <row r="5200" spans="1:5" x14ac:dyDescent="0.25">
      <c r="A5200" s="2" t="s">
        <v>38</v>
      </c>
      <c r="B5200" s="6">
        <v>45958</v>
      </c>
      <c r="C5200" s="2" t="s">
        <v>233</v>
      </c>
      <c r="D5200" s="8">
        <v>-1284</v>
      </c>
      <c r="E5200" s="8">
        <f>E5199+(0-1284)</f>
        <v>8541261.0799995568</v>
      </c>
    </row>
    <row r="5201" spans="1:5" x14ac:dyDescent="0.25">
      <c r="A5201" s="2" t="s">
        <v>38</v>
      </c>
      <c r="B5201" s="6">
        <v>45959</v>
      </c>
      <c r="C5201" s="2" t="s">
        <v>53</v>
      </c>
      <c r="D5201" s="8">
        <v>-53.75</v>
      </c>
      <c r="E5201" s="8">
        <f>E5200+(0-53.75)</f>
        <v>8541207.3299995568</v>
      </c>
    </row>
    <row r="5202" spans="1:5" x14ac:dyDescent="0.25">
      <c r="A5202" s="2" t="s">
        <v>38</v>
      </c>
      <c r="B5202" s="6">
        <v>45959</v>
      </c>
      <c r="C5202" s="2" t="s">
        <v>53</v>
      </c>
      <c r="D5202" s="8">
        <v>-53.75</v>
      </c>
      <c r="E5202" s="8">
        <f>E5201+(0-53.75)</f>
        <v>8541153.5799995568</v>
      </c>
    </row>
    <row r="5203" spans="1:5" x14ac:dyDescent="0.25">
      <c r="A5203" s="2" t="s">
        <v>38</v>
      </c>
      <c r="B5203" s="6">
        <v>45959</v>
      </c>
      <c r="C5203" s="2" t="s">
        <v>235</v>
      </c>
      <c r="D5203" s="8">
        <v>-53.75</v>
      </c>
      <c r="E5203" s="8">
        <f>E5202+(0-53.75)</f>
        <v>8541099.8299995568</v>
      </c>
    </row>
    <row r="5204" spans="1:5" x14ac:dyDescent="0.25">
      <c r="A5204" s="2" t="s">
        <v>38</v>
      </c>
      <c r="B5204" s="6">
        <v>45959</v>
      </c>
      <c r="C5204" s="2" t="s">
        <v>53</v>
      </c>
      <c r="D5204" s="8">
        <v>-200</v>
      </c>
      <c r="E5204" s="8">
        <f>E5203+(0-200)</f>
        <v>8540899.8299995568</v>
      </c>
    </row>
    <row r="5205" spans="1:5" x14ac:dyDescent="0.25">
      <c r="A5205" s="2" t="s">
        <v>38</v>
      </c>
      <c r="B5205" s="6">
        <v>45959</v>
      </c>
      <c r="C5205" s="2" t="s">
        <v>53</v>
      </c>
      <c r="D5205" s="8">
        <v>-400</v>
      </c>
      <c r="E5205" s="8">
        <f>E5204+(0-400)</f>
        <v>8540499.8299995568</v>
      </c>
    </row>
    <row r="5206" spans="1:5" x14ac:dyDescent="0.25">
      <c r="A5206" s="2" t="s">
        <v>38</v>
      </c>
      <c r="B5206" s="6">
        <v>45960</v>
      </c>
      <c r="C5206" s="2" t="s">
        <v>19</v>
      </c>
      <c r="D5206" s="8">
        <v>-204</v>
      </c>
      <c r="E5206" s="8">
        <f>E5205+(0-204)</f>
        <v>8540295.8299995568</v>
      </c>
    </row>
    <row r="5207" spans="1:5" x14ac:dyDescent="0.25">
      <c r="A5207" s="2" t="s">
        <v>38</v>
      </c>
      <c r="B5207" s="6">
        <v>45960</v>
      </c>
      <c r="C5207" s="2" t="s">
        <v>53</v>
      </c>
      <c r="D5207" s="8">
        <v>-200</v>
      </c>
      <c r="E5207" s="8">
        <f>E5206+(0-200)</f>
        <v>8540095.8299995568</v>
      </c>
    </row>
    <row r="5208" spans="1:5" x14ac:dyDescent="0.25">
      <c r="A5208" s="2" t="s">
        <v>38</v>
      </c>
      <c r="B5208" s="6">
        <v>45961</v>
      </c>
      <c r="C5208" s="2" t="s">
        <v>53</v>
      </c>
      <c r="D5208" s="8">
        <v>-26.88</v>
      </c>
      <c r="E5208" s="8">
        <f>E5207+(0-26.88)</f>
        <v>8540068.9499995559</v>
      </c>
    </row>
    <row r="5209" spans="1:5" x14ac:dyDescent="0.25">
      <c r="A5209" s="2" t="s">
        <v>38</v>
      </c>
      <c r="B5209" s="6">
        <v>45961</v>
      </c>
      <c r="C5209" s="2" t="s">
        <v>53</v>
      </c>
      <c r="D5209" s="8">
        <v>-53.75</v>
      </c>
      <c r="E5209" s="8">
        <f>E5208+(0-53.75)</f>
        <v>8540015.1999995559</v>
      </c>
    </row>
    <row r="5210" spans="1:5" x14ac:dyDescent="0.25">
      <c r="A5210" s="2" t="s">
        <v>38</v>
      </c>
      <c r="B5210" s="6">
        <v>45961</v>
      </c>
      <c r="C5210" s="2" t="s">
        <v>53</v>
      </c>
      <c r="D5210" s="8">
        <v>-150</v>
      </c>
      <c r="E5210" s="8">
        <f>E5209+(0-150)</f>
        <v>8539865.1999995559</v>
      </c>
    </row>
    <row r="5211" spans="1:5" x14ac:dyDescent="0.25">
      <c r="A5211" s="2" t="s">
        <v>38</v>
      </c>
      <c r="B5211" s="6">
        <v>45964</v>
      </c>
      <c r="C5211" s="2" t="s">
        <v>19</v>
      </c>
      <c r="D5211" s="8">
        <v>-102</v>
      </c>
      <c r="E5211" s="8">
        <f>E5210+(0-102)</f>
        <v>8539763.1999995559</v>
      </c>
    </row>
    <row r="5212" spans="1:5" x14ac:dyDescent="0.25">
      <c r="A5212" s="2" t="s">
        <v>38</v>
      </c>
      <c r="B5212" s="6">
        <v>45964</v>
      </c>
      <c r="C5212" s="2" t="s">
        <v>19</v>
      </c>
      <c r="D5212" s="8">
        <v>-42</v>
      </c>
      <c r="E5212" s="8">
        <f>E5211+(0-42)</f>
        <v>8539721.1999995559</v>
      </c>
    </row>
    <row r="5213" spans="1:5" x14ac:dyDescent="0.25">
      <c r="A5213" s="2" t="s">
        <v>38</v>
      </c>
      <c r="B5213" s="6">
        <v>45964</v>
      </c>
      <c r="C5213" s="2" t="s">
        <v>19</v>
      </c>
      <c r="D5213" s="8">
        <v>-42</v>
      </c>
      <c r="E5213" s="8">
        <f>E5212+(0-42)</f>
        <v>8539679.1999995559</v>
      </c>
    </row>
    <row r="5214" spans="1:5" x14ac:dyDescent="0.25">
      <c r="A5214" s="2" t="s">
        <v>38</v>
      </c>
      <c r="B5214" s="6">
        <v>45964</v>
      </c>
      <c r="C5214" s="2" t="s">
        <v>53</v>
      </c>
      <c r="D5214" s="8">
        <v>-53.75</v>
      </c>
      <c r="E5214" s="8">
        <f>E5213+(0-53.75)</f>
        <v>8539625.4499995559</v>
      </c>
    </row>
    <row r="5215" spans="1:5" x14ac:dyDescent="0.25">
      <c r="A5215" s="2" t="s">
        <v>38</v>
      </c>
      <c r="B5215" s="6">
        <v>45964</v>
      </c>
      <c r="C5215" s="2" t="s">
        <v>53</v>
      </c>
      <c r="D5215" s="8">
        <v>-53.75</v>
      </c>
      <c r="E5215" s="8">
        <f>E5214+(0-53.75)</f>
        <v>8539571.6999995559</v>
      </c>
    </row>
    <row r="5216" spans="1:5" x14ac:dyDescent="0.25">
      <c r="A5216" s="2" t="s">
        <v>38</v>
      </c>
      <c r="B5216" s="6">
        <v>45964</v>
      </c>
      <c r="C5216" s="2" t="s">
        <v>53</v>
      </c>
      <c r="D5216" s="8">
        <v>-550</v>
      </c>
      <c r="E5216" s="8">
        <f>E5215+(0-550)</f>
        <v>8539021.6999995559</v>
      </c>
    </row>
    <row r="5217" spans="1:5" x14ac:dyDescent="0.25">
      <c r="A5217" s="2" t="s">
        <v>38</v>
      </c>
      <c r="B5217" s="6">
        <v>45965</v>
      </c>
      <c r="C5217" s="2" t="s">
        <v>53</v>
      </c>
      <c r="D5217" s="8">
        <v>-50</v>
      </c>
      <c r="E5217" s="8">
        <f>E5216+(0-50)</f>
        <v>8538971.6999995559</v>
      </c>
    </row>
    <row r="5218" spans="1:5" x14ac:dyDescent="0.25">
      <c r="A5218" s="2" t="s">
        <v>38</v>
      </c>
      <c r="B5218" s="6">
        <v>45965</v>
      </c>
      <c r="C5218" s="2" t="s">
        <v>53</v>
      </c>
      <c r="D5218" s="8">
        <v>-50</v>
      </c>
      <c r="E5218" s="8">
        <f>E5217+(0-50)</f>
        <v>8538921.6999995559</v>
      </c>
    </row>
    <row r="5219" spans="1:5" x14ac:dyDescent="0.25">
      <c r="A5219" s="2" t="s">
        <v>38</v>
      </c>
      <c r="B5219" s="6">
        <v>45965</v>
      </c>
      <c r="C5219" s="2" t="s">
        <v>53</v>
      </c>
      <c r="D5219" s="8">
        <v>-150</v>
      </c>
      <c r="E5219" s="8">
        <f>E5218+(0-150)</f>
        <v>8538771.6999995559</v>
      </c>
    </row>
    <row r="5220" spans="1:5" x14ac:dyDescent="0.25">
      <c r="A5220" s="2" t="s">
        <v>38</v>
      </c>
      <c r="B5220" s="6">
        <v>45966</v>
      </c>
      <c r="C5220" s="2" t="s">
        <v>53</v>
      </c>
      <c r="D5220" s="8">
        <v>-53.75</v>
      </c>
      <c r="E5220" s="8">
        <f>E5219+(0-53.75)</f>
        <v>8538717.9499995559</v>
      </c>
    </row>
    <row r="5221" spans="1:5" x14ac:dyDescent="0.25">
      <c r="A5221" s="2" t="s">
        <v>38</v>
      </c>
      <c r="B5221" s="6">
        <v>45966</v>
      </c>
      <c r="C5221" s="2" t="s">
        <v>53</v>
      </c>
      <c r="D5221" s="8">
        <v>-150</v>
      </c>
      <c r="E5221" s="8">
        <f>E5220+(0-150)</f>
        <v>8538567.9499995559</v>
      </c>
    </row>
    <row r="5222" spans="1:5" x14ac:dyDescent="0.25">
      <c r="A5222" s="2" t="s">
        <v>38</v>
      </c>
      <c r="B5222" s="6">
        <v>45966</v>
      </c>
      <c r="C5222" s="2" t="s">
        <v>53</v>
      </c>
      <c r="D5222" s="8">
        <v>-50</v>
      </c>
      <c r="E5222" s="8">
        <f>E5221+(0-50)</f>
        <v>8538517.9499995559</v>
      </c>
    </row>
    <row r="5223" spans="1:5" x14ac:dyDescent="0.25">
      <c r="A5223" s="2" t="s">
        <v>38</v>
      </c>
      <c r="B5223" s="6">
        <v>45967</v>
      </c>
      <c r="C5223" s="2" t="s">
        <v>19</v>
      </c>
      <c r="D5223" s="8">
        <v>-12</v>
      </c>
      <c r="E5223" s="8">
        <f>E5222+(0-12)</f>
        <v>8538505.9499995559</v>
      </c>
    </row>
    <row r="5224" spans="1:5" x14ac:dyDescent="0.25">
      <c r="A5224" s="2" t="s">
        <v>38</v>
      </c>
      <c r="B5224" s="6">
        <v>45967</v>
      </c>
      <c r="C5224" s="2" t="s">
        <v>19</v>
      </c>
      <c r="D5224" s="8">
        <v>-6</v>
      </c>
      <c r="E5224" s="8">
        <f>E5223+(0-6)</f>
        <v>8538499.9499995559</v>
      </c>
    </row>
    <row r="5225" spans="1:5" x14ac:dyDescent="0.25">
      <c r="A5225" s="2" t="s">
        <v>38</v>
      </c>
      <c r="B5225" s="6">
        <v>45967</v>
      </c>
      <c r="C5225" s="2" t="s">
        <v>19</v>
      </c>
      <c r="D5225" s="8">
        <v>-78</v>
      </c>
      <c r="E5225" s="8">
        <f>E5224+(0-78)</f>
        <v>8538421.9499995559</v>
      </c>
    </row>
    <row r="5226" spans="1:5" x14ac:dyDescent="0.25">
      <c r="A5226" s="2" t="s">
        <v>38</v>
      </c>
      <c r="B5226" s="6">
        <v>45967</v>
      </c>
      <c r="C5226" s="2" t="s">
        <v>53</v>
      </c>
      <c r="D5226" s="8">
        <v>-53.75</v>
      </c>
      <c r="E5226" s="8">
        <f>E5225+(0-53.75)</f>
        <v>8538368.1999995559</v>
      </c>
    </row>
    <row r="5227" spans="1:5" x14ac:dyDescent="0.25">
      <c r="A5227" s="2" t="s">
        <v>38</v>
      </c>
      <c r="B5227" s="6">
        <v>45967</v>
      </c>
      <c r="C5227" s="2" t="s">
        <v>19</v>
      </c>
      <c r="D5227" s="8">
        <v>-36</v>
      </c>
      <c r="E5227" s="8">
        <f>E5226+(0-36)</f>
        <v>8538332.1999995559</v>
      </c>
    </row>
    <row r="5228" spans="1:5" x14ac:dyDescent="0.25">
      <c r="A5228" s="2" t="s">
        <v>38</v>
      </c>
      <c r="B5228" s="6">
        <v>45967</v>
      </c>
      <c r="C5228" s="2" t="s">
        <v>53</v>
      </c>
      <c r="D5228" s="8">
        <v>-350</v>
      </c>
      <c r="E5228" s="8">
        <f>E5227+(0-350)</f>
        <v>8537982.1999995559</v>
      </c>
    </row>
    <row r="5229" spans="1:5" x14ac:dyDescent="0.25">
      <c r="A5229" s="2" t="s">
        <v>38</v>
      </c>
      <c r="B5229" s="6">
        <v>45968</v>
      </c>
      <c r="C5229" s="2" t="s">
        <v>53</v>
      </c>
      <c r="D5229" s="8">
        <v>-350</v>
      </c>
      <c r="E5229" s="8">
        <f>E5228+(0-350)</f>
        <v>8537632.1999995559</v>
      </c>
    </row>
    <row r="5230" spans="1:5" x14ac:dyDescent="0.25">
      <c r="A5230" s="2" t="s">
        <v>38</v>
      </c>
      <c r="B5230" s="6">
        <v>45968</v>
      </c>
      <c r="C5230" s="2" t="s">
        <v>53</v>
      </c>
      <c r="D5230" s="8">
        <v>-50</v>
      </c>
      <c r="E5230" s="8">
        <f>E5229+(0-50)</f>
        <v>8537582.1999995559</v>
      </c>
    </row>
    <row r="5231" spans="1:5" x14ac:dyDescent="0.25">
      <c r="A5231" s="2" t="s">
        <v>38</v>
      </c>
      <c r="B5231" s="6">
        <v>45971</v>
      </c>
      <c r="C5231" s="2" t="s">
        <v>53</v>
      </c>
      <c r="D5231" s="8">
        <v>-53.75</v>
      </c>
      <c r="E5231" s="8">
        <f>E5230+(0-53.75)</f>
        <v>8537528.4499995559</v>
      </c>
    </row>
    <row r="5232" spans="1:5" x14ac:dyDescent="0.25">
      <c r="A5232" s="2" t="s">
        <v>38</v>
      </c>
      <c r="B5232" s="6">
        <v>45971</v>
      </c>
      <c r="C5232" s="2" t="s">
        <v>53</v>
      </c>
      <c r="D5232" s="8">
        <v>-53.75</v>
      </c>
      <c r="E5232" s="8">
        <f>E5231+(0-53.75)</f>
        <v>8537474.6999995559</v>
      </c>
    </row>
    <row r="5233" spans="1:5" x14ac:dyDescent="0.25">
      <c r="A5233" s="2" t="s">
        <v>38</v>
      </c>
      <c r="B5233" s="6">
        <v>45971</v>
      </c>
      <c r="C5233" s="2" t="s">
        <v>53</v>
      </c>
      <c r="D5233" s="8">
        <v>-53.75</v>
      </c>
      <c r="E5233" s="8">
        <f>E5232+(0-53.75)</f>
        <v>8537420.9499995559</v>
      </c>
    </row>
    <row r="5234" spans="1:5" x14ac:dyDescent="0.25">
      <c r="A5234" s="2" t="s">
        <v>38</v>
      </c>
      <c r="B5234" s="6">
        <v>45971</v>
      </c>
      <c r="C5234" s="2" t="s">
        <v>53</v>
      </c>
      <c r="D5234" s="8">
        <v>-26.88</v>
      </c>
      <c r="E5234" s="8">
        <f>E5233+(0-26.88)</f>
        <v>8537394.0699995551</v>
      </c>
    </row>
    <row r="5235" spans="1:5" x14ac:dyDescent="0.25">
      <c r="A5235" s="2" t="s">
        <v>38</v>
      </c>
      <c r="B5235" s="6">
        <v>45971</v>
      </c>
      <c r="C5235" s="2" t="s">
        <v>53</v>
      </c>
      <c r="D5235" s="8">
        <v>-50</v>
      </c>
      <c r="E5235" s="8">
        <f>E5234+(0-50)</f>
        <v>8537344.0699995551</v>
      </c>
    </row>
    <row r="5236" spans="1:5" x14ac:dyDescent="0.25">
      <c r="A5236" s="2" t="s">
        <v>38</v>
      </c>
      <c r="B5236" s="6">
        <v>45971</v>
      </c>
      <c r="C5236" s="2" t="s">
        <v>53</v>
      </c>
      <c r="D5236" s="8">
        <v>-50</v>
      </c>
      <c r="E5236" s="8">
        <f>E5235+(0-50)</f>
        <v>8537294.0699995551</v>
      </c>
    </row>
    <row r="5237" spans="1:5" x14ac:dyDescent="0.25">
      <c r="A5237" s="2" t="s">
        <v>38</v>
      </c>
      <c r="B5237" s="6">
        <v>45971</v>
      </c>
      <c r="C5237" s="2" t="s">
        <v>53</v>
      </c>
      <c r="D5237" s="8">
        <v>-600</v>
      </c>
      <c r="E5237" s="8">
        <f>E5236+(0-600)</f>
        <v>8536694.0699995551</v>
      </c>
    </row>
    <row r="5238" spans="1:5" x14ac:dyDescent="0.25">
      <c r="A5238" s="2" t="s">
        <v>38</v>
      </c>
      <c r="B5238" s="6">
        <v>45971</v>
      </c>
      <c r="C5238" s="2" t="s">
        <v>53</v>
      </c>
      <c r="D5238" s="8">
        <v>-50</v>
      </c>
      <c r="E5238" s="8">
        <f>E5237+(0-50)</f>
        <v>8536644.0699995551</v>
      </c>
    </row>
    <row r="5239" spans="1:5" x14ac:dyDescent="0.25">
      <c r="A5239" s="2" t="s">
        <v>38</v>
      </c>
      <c r="B5239" s="6">
        <v>45972</v>
      </c>
      <c r="C5239" s="2" t="s">
        <v>19</v>
      </c>
      <c r="D5239" s="8">
        <v>-72</v>
      </c>
      <c r="E5239" s="8">
        <f>E5238+(0-72)</f>
        <v>8536572.0699995551</v>
      </c>
    </row>
    <row r="5240" spans="1:5" x14ac:dyDescent="0.25">
      <c r="A5240" s="2" t="s">
        <v>38</v>
      </c>
      <c r="B5240" s="6">
        <v>45972</v>
      </c>
      <c r="C5240" s="2" t="s">
        <v>19</v>
      </c>
      <c r="D5240" s="8">
        <v>-72</v>
      </c>
      <c r="E5240" s="8">
        <f>E5239+(0-72)</f>
        <v>8536500.0699995551</v>
      </c>
    </row>
    <row r="5241" spans="1:5" x14ac:dyDescent="0.25">
      <c r="A5241" s="2" t="s">
        <v>38</v>
      </c>
      <c r="B5241" s="6">
        <v>45972</v>
      </c>
      <c r="C5241" s="2" t="s">
        <v>19</v>
      </c>
      <c r="D5241" s="8">
        <v>-84</v>
      </c>
      <c r="E5241" s="8">
        <f>E5240+(0-84)</f>
        <v>8536416.0699995551</v>
      </c>
    </row>
    <row r="5242" spans="1:5" x14ac:dyDescent="0.25">
      <c r="A5242" s="2" t="s">
        <v>38</v>
      </c>
      <c r="B5242" s="6">
        <v>45972</v>
      </c>
      <c r="C5242" s="2" t="s">
        <v>53</v>
      </c>
      <c r="D5242" s="8">
        <v>-50</v>
      </c>
      <c r="E5242" s="8">
        <f>E5241+(0-50)</f>
        <v>8536366.0699995551</v>
      </c>
    </row>
    <row r="5243" spans="1:5" x14ac:dyDescent="0.25">
      <c r="A5243" s="2" t="s">
        <v>38</v>
      </c>
      <c r="B5243" s="6">
        <v>45972</v>
      </c>
      <c r="C5243" s="2" t="s">
        <v>19</v>
      </c>
      <c r="D5243" s="8">
        <v>-54</v>
      </c>
      <c r="E5243" s="8">
        <f>E5242+(0-54)</f>
        <v>8536312.0699995551</v>
      </c>
    </row>
    <row r="5244" spans="1:5" x14ac:dyDescent="0.25">
      <c r="A5244" s="2" t="s">
        <v>38</v>
      </c>
      <c r="B5244" s="6">
        <v>45972</v>
      </c>
      <c r="C5244" s="2" t="s">
        <v>53</v>
      </c>
      <c r="D5244" s="8">
        <v>-350</v>
      </c>
      <c r="E5244" s="8">
        <f>E5243+(0-350)</f>
        <v>8535962.0699995551</v>
      </c>
    </row>
    <row r="5245" spans="1:5" x14ac:dyDescent="0.25">
      <c r="A5245" s="2" t="s">
        <v>38</v>
      </c>
      <c r="B5245" s="6">
        <v>45972</v>
      </c>
      <c r="C5245" s="2" t="s">
        <v>215</v>
      </c>
      <c r="D5245" s="8">
        <v>-12</v>
      </c>
      <c r="E5245" s="8">
        <f>E5244+(0-12)</f>
        <v>8535950.0699995551</v>
      </c>
    </row>
    <row r="5246" spans="1:5" x14ac:dyDescent="0.25">
      <c r="A5246" s="2" t="s">
        <v>38</v>
      </c>
      <c r="B5246" s="6">
        <v>45973</v>
      </c>
      <c r="C5246" s="2" t="s">
        <v>19</v>
      </c>
      <c r="D5246" s="8">
        <v>-96</v>
      </c>
      <c r="E5246" s="8">
        <f>E5245+(0-96)</f>
        <v>8535854.0699995551</v>
      </c>
    </row>
    <row r="5247" spans="1:5" x14ac:dyDescent="0.25">
      <c r="A5247" s="2" t="s">
        <v>38</v>
      </c>
      <c r="B5247" s="6">
        <v>45973</v>
      </c>
      <c r="C5247" s="2" t="s">
        <v>53</v>
      </c>
      <c r="D5247" s="8">
        <v>-50</v>
      </c>
      <c r="E5247" s="8">
        <f>E5246+(0-50)</f>
        <v>8535804.0699995551</v>
      </c>
    </row>
    <row r="5248" spans="1:5" x14ac:dyDescent="0.25">
      <c r="A5248" s="2" t="s">
        <v>38</v>
      </c>
      <c r="B5248" s="6">
        <v>45973</v>
      </c>
      <c r="C5248" s="2" t="s">
        <v>53</v>
      </c>
      <c r="D5248" s="8">
        <v>-100</v>
      </c>
      <c r="E5248" s="8">
        <f>E5247+(0-100)</f>
        <v>8535704.0699995551</v>
      </c>
    </row>
    <row r="5249" spans="1:5" x14ac:dyDescent="0.25">
      <c r="A5249" s="2" t="s">
        <v>38</v>
      </c>
      <c r="B5249" s="6">
        <v>45974</v>
      </c>
      <c r="C5249" s="2" t="s">
        <v>53</v>
      </c>
      <c r="D5249" s="8">
        <v>-53.75</v>
      </c>
      <c r="E5249" s="8">
        <f>E5248+(0-53.75)</f>
        <v>8535650.3199995551</v>
      </c>
    </row>
    <row r="5250" spans="1:5" x14ac:dyDescent="0.25">
      <c r="A5250" s="2" t="s">
        <v>38</v>
      </c>
      <c r="B5250" s="6">
        <v>45974</v>
      </c>
      <c r="C5250" s="2" t="s">
        <v>53</v>
      </c>
      <c r="D5250" s="8">
        <v>-53.75</v>
      </c>
      <c r="E5250" s="8">
        <f>E5249+(0-53.75)</f>
        <v>8535596.5699995551</v>
      </c>
    </row>
    <row r="5251" spans="1:5" x14ac:dyDescent="0.25">
      <c r="A5251" s="2" t="s">
        <v>38</v>
      </c>
      <c r="B5251" s="6">
        <v>45974</v>
      </c>
      <c r="C5251" s="2" t="s">
        <v>53</v>
      </c>
      <c r="D5251" s="8">
        <v>-200</v>
      </c>
      <c r="E5251" s="8">
        <f>E5250+(0-200)</f>
        <v>8535396.5699995551</v>
      </c>
    </row>
    <row r="5252" spans="1:5" x14ac:dyDescent="0.25">
      <c r="A5252" s="2" t="s">
        <v>38</v>
      </c>
      <c r="B5252" s="6">
        <v>45975</v>
      </c>
      <c r="C5252" s="2" t="s">
        <v>19</v>
      </c>
      <c r="D5252" s="8">
        <v>-72</v>
      </c>
      <c r="E5252" s="8">
        <f>E5251+(0-72)</f>
        <v>8535324.5699995551</v>
      </c>
    </row>
    <row r="5253" spans="1:5" x14ac:dyDescent="0.25">
      <c r="A5253" s="2" t="s">
        <v>38</v>
      </c>
      <c r="B5253" s="6">
        <v>45975</v>
      </c>
      <c r="C5253" s="2" t="s">
        <v>53</v>
      </c>
      <c r="D5253" s="8">
        <v>-250</v>
      </c>
      <c r="E5253" s="8">
        <f>E5252+(0-250)</f>
        <v>8535074.5699995551</v>
      </c>
    </row>
    <row r="5254" spans="1:5" x14ac:dyDescent="0.25">
      <c r="A5254" s="2" t="s">
        <v>38</v>
      </c>
      <c r="B5254" s="6">
        <v>45978</v>
      </c>
      <c r="C5254" s="2" t="s">
        <v>53</v>
      </c>
      <c r="D5254" s="8">
        <v>-26.88</v>
      </c>
      <c r="E5254" s="8">
        <f>E5253+(0-26.88)</f>
        <v>8535047.6899995543</v>
      </c>
    </row>
    <row r="5255" spans="1:5" x14ac:dyDescent="0.25">
      <c r="A5255" s="2" t="s">
        <v>38</v>
      </c>
      <c r="B5255" s="6">
        <v>45978</v>
      </c>
      <c r="C5255" s="2" t="s">
        <v>53</v>
      </c>
      <c r="D5255" s="8">
        <v>-50</v>
      </c>
      <c r="E5255" s="8">
        <f>E5254+(0-50)</f>
        <v>8534997.6899995543</v>
      </c>
    </row>
    <row r="5256" spans="1:5" x14ac:dyDescent="0.25">
      <c r="A5256" s="2" t="s">
        <v>38</v>
      </c>
      <c r="B5256" s="6">
        <v>45978</v>
      </c>
      <c r="C5256" s="2" t="s">
        <v>236</v>
      </c>
      <c r="D5256" s="8">
        <v>-350</v>
      </c>
      <c r="E5256" s="8">
        <f>E5255+(0-350)</f>
        <v>8534647.6899995543</v>
      </c>
    </row>
    <row r="5257" spans="1:5" x14ac:dyDescent="0.25">
      <c r="A5257" s="2" t="s">
        <v>38</v>
      </c>
      <c r="B5257" s="6">
        <v>45979</v>
      </c>
      <c r="C5257" s="2" t="s">
        <v>53</v>
      </c>
      <c r="D5257" s="8">
        <v>-53.75</v>
      </c>
      <c r="E5257" s="8">
        <f>E5256+(0-53.75)</f>
        <v>8534593.9399995543</v>
      </c>
    </row>
    <row r="5258" spans="1:5" x14ac:dyDescent="0.25">
      <c r="A5258" s="2" t="s">
        <v>38</v>
      </c>
      <c r="B5258" s="6">
        <v>45979</v>
      </c>
      <c r="C5258" s="2" t="s">
        <v>53</v>
      </c>
      <c r="D5258" s="8">
        <v>-53.75</v>
      </c>
      <c r="E5258" s="8">
        <f>E5257+(0-53.75)</f>
        <v>8534540.1899995543</v>
      </c>
    </row>
    <row r="5259" spans="1:5" x14ac:dyDescent="0.25">
      <c r="A5259" s="2" t="s">
        <v>38</v>
      </c>
      <c r="B5259" s="6">
        <v>45979</v>
      </c>
      <c r="C5259" s="2" t="s">
        <v>53</v>
      </c>
      <c r="D5259" s="8">
        <v>-100</v>
      </c>
      <c r="E5259" s="8">
        <f>E5258+(0-100)</f>
        <v>8534440.1899995543</v>
      </c>
    </row>
    <row r="5260" spans="1:5" x14ac:dyDescent="0.25">
      <c r="A5260" s="2" t="s">
        <v>38</v>
      </c>
      <c r="B5260" s="6">
        <v>45979</v>
      </c>
      <c r="C5260" s="2" t="s">
        <v>53</v>
      </c>
      <c r="D5260" s="8">
        <v>-50</v>
      </c>
      <c r="E5260" s="8">
        <f>E5259+(0-50)</f>
        <v>8534390.1899995543</v>
      </c>
    </row>
    <row r="5261" spans="1:5" x14ac:dyDescent="0.25">
      <c r="A5261" s="2" t="s">
        <v>38</v>
      </c>
      <c r="B5261" s="6">
        <v>45980</v>
      </c>
      <c r="C5261" s="2" t="s">
        <v>53</v>
      </c>
      <c r="D5261" s="8">
        <v>-350</v>
      </c>
      <c r="E5261" s="8">
        <f>E5260+(0-350)</f>
        <v>8534040.1899995543</v>
      </c>
    </row>
    <row r="5262" spans="1:5" x14ac:dyDescent="0.25">
      <c r="A5262" s="2" t="s">
        <v>38</v>
      </c>
      <c r="B5262" s="6">
        <v>45981</v>
      </c>
      <c r="C5262" s="2" t="s">
        <v>19</v>
      </c>
      <c r="D5262" s="8">
        <v>-18</v>
      </c>
      <c r="E5262" s="8">
        <f>E5261+(0-18)</f>
        <v>8534022.1899995543</v>
      </c>
    </row>
    <row r="5263" spans="1:5" x14ac:dyDescent="0.25">
      <c r="A5263" s="2" t="s">
        <v>38</v>
      </c>
      <c r="B5263" s="6">
        <v>45981</v>
      </c>
      <c r="C5263" s="2" t="s">
        <v>53</v>
      </c>
      <c r="D5263" s="8">
        <v>-53.75</v>
      </c>
      <c r="E5263" s="8">
        <f>E5262+(0-53.75)</f>
        <v>8533968.4399995543</v>
      </c>
    </row>
    <row r="5264" spans="1:5" x14ac:dyDescent="0.25">
      <c r="A5264" s="2" t="s">
        <v>38</v>
      </c>
      <c r="B5264" s="6">
        <v>45981</v>
      </c>
      <c r="C5264" s="2" t="s">
        <v>53</v>
      </c>
      <c r="D5264" s="8">
        <v>-26.88</v>
      </c>
      <c r="E5264" s="8">
        <f>E5263+(0-26.88)</f>
        <v>8533941.5599995535</v>
      </c>
    </row>
    <row r="5265" spans="1:5" x14ac:dyDescent="0.25">
      <c r="A5265" s="2" t="s">
        <v>38</v>
      </c>
      <c r="B5265" s="6">
        <v>45981</v>
      </c>
      <c r="C5265" s="2" t="s">
        <v>53</v>
      </c>
      <c r="D5265" s="8">
        <v>-600</v>
      </c>
      <c r="E5265" s="8">
        <f>E5264+(0-600)</f>
        <v>8533341.5599995535</v>
      </c>
    </row>
    <row r="5266" spans="1:5" x14ac:dyDescent="0.25">
      <c r="A5266" s="2" t="s">
        <v>38</v>
      </c>
      <c r="B5266" s="6">
        <v>45981</v>
      </c>
      <c r="C5266" s="2" t="s">
        <v>53</v>
      </c>
      <c r="D5266" s="8">
        <v>-50</v>
      </c>
      <c r="E5266" s="8">
        <f>E5265+(0-50)</f>
        <v>8533291.5599995535</v>
      </c>
    </row>
    <row r="5267" spans="1:5" x14ac:dyDescent="0.25">
      <c r="A5267" s="2" t="s">
        <v>38</v>
      </c>
      <c r="B5267" s="6">
        <v>45982</v>
      </c>
      <c r="C5267" s="2" t="s">
        <v>19</v>
      </c>
      <c r="D5267" s="8">
        <v>-42</v>
      </c>
      <c r="E5267" s="8">
        <f>E5266+(0-42)</f>
        <v>8533249.5599995535</v>
      </c>
    </row>
    <row r="5268" spans="1:5" x14ac:dyDescent="0.25">
      <c r="A5268" s="2" t="s">
        <v>38</v>
      </c>
      <c r="B5268" s="6">
        <v>45982</v>
      </c>
      <c r="C5268" s="2" t="s">
        <v>19</v>
      </c>
      <c r="D5268" s="8">
        <v>-18</v>
      </c>
      <c r="E5268" s="8">
        <f>E5267+(0-18)</f>
        <v>8533231.5599995535</v>
      </c>
    </row>
    <row r="5269" spans="1:5" x14ac:dyDescent="0.25">
      <c r="A5269" s="2" t="s">
        <v>38</v>
      </c>
      <c r="B5269" s="6">
        <v>45982</v>
      </c>
      <c r="C5269" s="2" t="s">
        <v>53</v>
      </c>
      <c r="D5269" s="8">
        <v>-53.75</v>
      </c>
      <c r="E5269" s="8">
        <f>E5268+(0-53.75)</f>
        <v>8533177.8099995535</v>
      </c>
    </row>
    <row r="5270" spans="1:5" x14ac:dyDescent="0.25">
      <c r="A5270" s="2" t="s">
        <v>38</v>
      </c>
      <c r="B5270" s="6">
        <v>45982</v>
      </c>
      <c r="C5270" s="2" t="s">
        <v>53</v>
      </c>
      <c r="D5270" s="8">
        <v>-53.75</v>
      </c>
      <c r="E5270" s="8">
        <f>E5269+(0-53.75)</f>
        <v>8533124.0599995535</v>
      </c>
    </row>
    <row r="5271" spans="1:5" x14ac:dyDescent="0.25">
      <c r="A5271" s="2" t="s">
        <v>38</v>
      </c>
      <c r="B5271" s="6">
        <v>45982</v>
      </c>
      <c r="C5271" s="2" t="s">
        <v>19</v>
      </c>
      <c r="D5271" s="8">
        <v>-6</v>
      </c>
      <c r="E5271" s="8">
        <f>E5270+(0-6)</f>
        <v>8533118.0599995535</v>
      </c>
    </row>
    <row r="5272" spans="1:5" x14ac:dyDescent="0.25">
      <c r="A5272" s="2" t="s">
        <v>38</v>
      </c>
      <c r="B5272" s="6">
        <v>45982</v>
      </c>
      <c r="C5272" s="2" t="s">
        <v>19</v>
      </c>
      <c r="D5272" s="8">
        <v>-48</v>
      </c>
      <c r="E5272" s="8">
        <f>E5271+(0-48)</f>
        <v>8533070.0599995535</v>
      </c>
    </row>
    <row r="5273" spans="1:5" x14ac:dyDescent="0.25">
      <c r="A5273" s="2" t="s">
        <v>38</v>
      </c>
      <c r="B5273" s="6">
        <v>45982</v>
      </c>
      <c r="C5273" s="2" t="s">
        <v>19</v>
      </c>
      <c r="D5273" s="8">
        <v>-66</v>
      </c>
      <c r="E5273" s="8">
        <f>E5272+(0-66)</f>
        <v>8533004.0599995535</v>
      </c>
    </row>
    <row r="5274" spans="1:5" x14ac:dyDescent="0.25">
      <c r="A5274" s="2" t="s">
        <v>38</v>
      </c>
      <c r="B5274" s="6">
        <v>45982</v>
      </c>
      <c r="C5274" s="2" t="s">
        <v>53</v>
      </c>
      <c r="D5274" s="8">
        <v>-500</v>
      </c>
      <c r="E5274" s="8">
        <f>E5273+(0-500)</f>
        <v>8532504.0599995535</v>
      </c>
    </row>
    <row r="5275" spans="1:5" x14ac:dyDescent="0.25">
      <c r="A5275" s="2" t="s">
        <v>38</v>
      </c>
      <c r="B5275" s="6">
        <v>45982</v>
      </c>
      <c r="C5275" s="2" t="s">
        <v>19</v>
      </c>
      <c r="D5275" s="8">
        <v>-48</v>
      </c>
      <c r="E5275" s="8">
        <f>E5274+(0-48)</f>
        <v>8532456.0599995535</v>
      </c>
    </row>
    <row r="5276" spans="1:5" x14ac:dyDescent="0.25">
      <c r="A5276" s="2" t="s">
        <v>38</v>
      </c>
      <c r="B5276" s="6">
        <v>45985</v>
      </c>
      <c r="C5276" s="2" t="s">
        <v>19</v>
      </c>
      <c r="D5276" s="8">
        <v>-126</v>
      </c>
      <c r="E5276" s="8">
        <f>E5275+(0-126)</f>
        <v>8532330.0599995535</v>
      </c>
    </row>
    <row r="5277" spans="1:5" x14ac:dyDescent="0.25">
      <c r="A5277" s="2" t="s">
        <v>38</v>
      </c>
      <c r="B5277" s="6">
        <v>45985</v>
      </c>
      <c r="C5277" s="2" t="s">
        <v>53</v>
      </c>
      <c r="D5277" s="8">
        <v>-53.75</v>
      </c>
      <c r="E5277" s="8">
        <f>E5276+(0-53.75)</f>
        <v>8532276.3099995535</v>
      </c>
    </row>
    <row r="5278" spans="1:5" x14ac:dyDescent="0.25">
      <c r="A5278" s="2" t="s">
        <v>38</v>
      </c>
      <c r="B5278" s="6">
        <v>45985</v>
      </c>
      <c r="C5278" s="2" t="s">
        <v>19</v>
      </c>
      <c r="D5278" s="8">
        <v>-54</v>
      </c>
      <c r="E5278" s="8">
        <f>E5277+(0-54)</f>
        <v>8532222.3099995535</v>
      </c>
    </row>
    <row r="5279" spans="1:5" x14ac:dyDescent="0.25">
      <c r="A5279" s="2" t="s">
        <v>38</v>
      </c>
      <c r="B5279" s="6">
        <v>45985</v>
      </c>
      <c r="C5279" s="2" t="s">
        <v>53</v>
      </c>
      <c r="D5279" s="8">
        <v>-108</v>
      </c>
      <c r="E5279" s="8">
        <f>E5278+(0-108)</f>
        <v>8532114.3099995535</v>
      </c>
    </row>
    <row r="5280" spans="1:5" x14ac:dyDescent="0.25">
      <c r="A5280" s="2" t="s">
        <v>38</v>
      </c>
      <c r="B5280" s="6">
        <v>45985</v>
      </c>
      <c r="C5280" s="2" t="s">
        <v>19</v>
      </c>
      <c r="D5280" s="8">
        <v>-36</v>
      </c>
      <c r="E5280" s="8">
        <f>E5279+(0-36)</f>
        <v>8532078.3099995535</v>
      </c>
    </row>
    <row r="5281" spans="1:5" x14ac:dyDescent="0.25">
      <c r="A5281" s="2" t="s">
        <v>38</v>
      </c>
      <c r="B5281" s="6">
        <v>45985</v>
      </c>
      <c r="C5281" s="2" t="s">
        <v>53</v>
      </c>
      <c r="D5281" s="8">
        <v>-53.75</v>
      </c>
      <c r="E5281" s="8">
        <f>E5280+(0-53.75)</f>
        <v>8532024.5599995535</v>
      </c>
    </row>
    <row r="5282" spans="1:5" x14ac:dyDescent="0.25">
      <c r="A5282" s="2" t="s">
        <v>38</v>
      </c>
      <c r="B5282" s="6">
        <v>45985</v>
      </c>
      <c r="C5282" s="2" t="s">
        <v>53</v>
      </c>
      <c r="D5282" s="8">
        <v>-400</v>
      </c>
      <c r="E5282" s="8">
        <f>E5281+(0-400)</f>
        <v>8531624.5599995535</v>
      </c>
    </row>
    <row r="5283" spans="1:5" x14ac:dyDescent="0.25">
      <c r="A5283" s="2" t="s">
        <v>38</v>
      </c>
      <c r="B5283" s="6">
        <v>45986</v>
      </c>
      <c r="C5283" s="2" t="s">
        <v>53</v>
      </c>
      <c r="D5283" s="8">
        <v>-53.75</v>
      </c>
      <c r="E5283" s="8">
        <f>E5282+(0-53.75)</f>
        <v>8531570.8099995535</v>
      </c>
    </row>
    <row r="5284" spans="1:5" x14ac:dyDescent="0.25">
      <c r="A5284" s="2" t="s">
        <v>38</v>
      </c>
      <c r="B5284" s="6">
        <v>45986</v>
      </c>
      <c r="C5284" s="2" t="s">
        <v>53</v>
      </c>
      <c r="D5284" s="8">
        <v>-500</v>
      </c>
      <c r="E5284" s="8">
        <f>E5283+(0-500)</f>
        <v>8531070.8099995535</v>
      </c>
    </row>
    <row r="5285" spans="1:5" x14ac:dyDescent="0.25">
      <c r="A5285" s="2" t="s">
        <v>38</v>
      </c>
      <c r="B5285" s="6">
        <v>45986</v>
      </c>
      <c r="C5285" s="2" t="s">
        <v>53</v>
      </c>
      <c r="D5285" s="8">
        <v>-100</v>
      </c>
      <c r="E5285" s="8">
        <f>E5284+(0-100)</f>
        <v>8530970.8099995535</v>
      </c>
    </row>
    <row r="5286" spans="1:5" x14ac:dyDescent="0.25">
      <c r="A5286" s="2" t="s">
        <v>38</v>
      </c>
      <c r="B5286" s="6">
        <v>45987</v>
      </c>
      <c r="C5286" s="2" t="s">
        <v>53</v>
      </c>
      <c r="D5286" s="8">
        <v>-53.75</v>
      </c>
      <c r="E5286" s="8">
        <f>E5285+(0-53.75)</f>
        <v>8530917.0599995535</v>
      </c>
    </row>
    <row r="5287" spans="1:5" x14ac:dyDescent="0.25">
      <c r="A5287" s="2" t="s">
        <v>38</v>
      </c>
      <c r="B5287" s="6">
        <v>45987</v>
      </c>
      <c r="C5287" s="2" t="s">
        <v>19</v>
      </c>
      <c r="D5287" s="8">
        <v>-156</v>
      </c>
      <c r="E5287" s="8">
        <f>E5286+(0-156)</f>
        <v>8530761.0599995535</v>
      </c>
    </row>
    <row r="5288" spans="1:5" x14ac:dyDescent="0.25">
      <c r="A5288" s="2" t="s">
        <v>38</v>
      </c>
      <c r="B5288" s="6">
        <v>45987</v>
      </c>
      <c r="C5288" s="2" t="s">
        <v>53</v>
      </c>
      <c r="D5288" s="8">
        <v>-53.75</v>
      </c>
      <c r="E5288" s="8">
        <f>E5287+(0-53.75)</f>
        <v>8530707.3099995535</v>
      </c>
    </row>
    <row r="5289" spans="1:5" x14ac:dyDescent="0.25">
      <c r="A5289" s="2" t="s">
        <v>38</v>
      </c>
      <c r="B5289" s="6">
        <v>45987</v>
      </c>
      <c r="C5289" s="2" t="s">
        <v>53</v>
      </c>
      <c r="D5289" s="8">
        <v>-200</v>
      </c>
      <c r="E5289" s="8">
        <f>E5288+(0-200)</f>
        <v>8530507.3099995535</v>
      </c>
    </row>
    <row r="5290" spans="1:5" x14ac:dyDescent="0.25">
      <c r="A5290" s="2" t="s">
        <v>38</v>
      </c>
      <c r="B5290" s="6">
        <v>45987</v>
      </c>
      <c r="C5290" s="2" t="s">
        <v>53</v>
      </c>
      <c r="D5290" s="8">
        <v>-50</v>
      </c>
      <c r="E5290" s="8">
        <f>E5289+(0-50)</f>
        <v>8530457.3099995535</v>
      </c>
    </row>
    <row r="5291" spans="1:5" x14ac:dyDescent="0.25">
      <c r="A5291" s="2" t="s">
        <v>38</v>
      </c>
      <c r="B5291" s="6">
        <v>45988</v>
      </c>
      <c r="C5291" s="2" t="s">
        <v>53</v>
      </c>
      <c r="D5291" s="8">
        <v>-53.75</v>
      </c>
      <c r="E5291" s="8">
        <f>E5290+(0-53.75)</f>
        <v>8530403.5599995535</v>
      </c>
    </row>
    <row r="5292" spans="1:5" x14ac:dyDescent="0.25">
      <c r="A5292" s="2" t="s">
        <v>38</v>
      </c>
      <c r="B5292" s="6">
        <v>45988</v>
      </c>
      <c r="C5292" s="2" t="s">
        <v>53</v>
      </c>
      <c r="D5292" s="8">
        <v>-26.88</v>
      </c>
      <c r="E5292" s="8">
        <f>E5291+(0-26.88)</f>
        <v>8530376.6799995527</v>
      </c>
    </row>
    <row r="5293" spans="1:5" x14ac:dyDescent="0.25">
      <c r="A5293" s="2" t="s">
        <v>38</v>
      </c>
      <c r="B5293" s="6">
        <v>45988</v>
      </c>
      <c r="C5293" s="2" t="s">
        <v>53</v>
      </c>
      <c r="D5293" s="8">
        <v>-600</v>
      </c>
      <c r="E5293" s="8">
        <f>E5292+(0-600)</f>
        <v>8529776.6799995527</v>
      </c>
    </row>
    <row r="5294" spans="1:5" x14ac:dyDescent="0.25">
      <c r="A5294" s="2" t="s">
        <v>38</v>
      </c>
      <c r="B5294" s="6">
        <v>45988</v>
      </c>
      <c r="C5294" s="2" t="s">
        <v>53</v>
      </c>
      <c r="D5294" s="8">
        <v>-53.75</v>
      </c>
      <c r="E5294" s="8">
        <f>E5293+(0-53.75)</f>
        <v>8529722.9299995527</v>
      </c>
    </row>
    <row r="5295" spans="1:5" x14ac:dyDescent="0.25">
      <c r="A5295" s="2" t="s">
        <v>38</v>
      </c>
      <c r="B5295" s="6">
        <v>45989</v>
      </c>
      <c r="C5295" s="2" t="s">
        <v>53</v>
      </c>
      <c r="D5295" s="8">
        <v>-53.75</v>
      </c>
      <c r="E5295" s="8">
        <f>E5294+(0-53.75)</f>
        <v>8529669.1799995527</v>
      </c>
    </row>
    <row r="5296" spans="1:5" x14ac:dyDescent="0.25">
      <c r="A5296" s="2" t="s">
        <v>38</v>
      </c>
      <c r="B5296" s="6">
        <v>45989</v>
      </c>
      <c r="C5296" s="2" t="s">
        <v>53</v>
      </c>
      <c r="D5296" s="8">
        <v>-26.88</v>
      </c>
      <c r="E5296" s="8">
        <f>E5295+(0-26.88)</f>
        <v>8529642.2999995518</v>
      </c>
    </row>
    <row r="5297" spans="1:5" x14ac:dyDescent="0.25">
      <c r="A5297" s="2" t="s">
        <v>38</v>
      </c>
      <c r="B5297" s="6">
        <v>45989</v>
      </c>
      <c r="C5297" s="2" t="s">
        <v>53</v>
      </c>
      <c r="D5297" s="8">
        <v>-53.75</v>
      </c>
      <c r="E5297" s="8">
        <f>E5296+(0-53.75)</f>
        <v>8529588.5499995518</v>
      </c>
    </row>
    <row r="5298" spans="1:5" x14ac:dyDescent="0.25">
      <c r="A5298" s="2" t="s">
        <v>38</v>
      </c>
      <c r="B5298" s="6">
        <v>45989</v>
      </c>
      <c r="C5298" s="2" t="s">
        <v>53</v>
      </c>
      <c r="D5298" s="8">
        <v>-26.88</v>
      </c>
      <c r="E5298" s="8">
        <f>E5297+(0-26.88)</f>
        <v>8529561.669999551</v>
      </c>
    </row>
    <row r="5299" spans="1:5" x14ac:dyDescent="0.25">
      <c r="A5299" s="2" t="s">
        <v>38</v>
      </c>
      <c r="B5299" s="6">
        <v>45989</v>
      </c>
      <c r="C5299" s="2" t="s">
        <v>53</v>
      </c>
      <c r="D5299" s="8">
        <v>-53.75</v>
      </c>
      <c r="E5299" s="8">
        <f>E5298+(0-53.75)</f>
        <v>8529507.919999551</v>
      </c>
    </row>
    <row r="5300" spans="1:5" x14ac:dyDescent="0.25">
      <c r="A5300" s="2" t="s">
        <v>38</v>
      </c>
      <c r="B5300" s="6">
        <v>45989</v>
      </c>
      <c r="C5300" s="2" t="s">
        <v>53</v>
      </c>
      <c r="D5300" s="8">
        <v>-53.75</v>
      </c>
      <c r="E5300" s="8">
        <f>E5299+(0-53.75)</f>
        <v>8529454.169999551</v>
      </c>
    </row>
    <row r="5301" spans="1:5" x14ac:dyDescent="0.25">
      <c r="A5301" s="2" t="s">
        <v>38</v>
      </c>
      <c r="B5301" s="6">
        <v>45989</v>
      </c>
      <c r="C5301" s="2" t="s">
        <v>53</v>
      </c>
      <c r="D5301" s="8">
        <v>-250</v>
      </c>
      <c r="E5301" s="8">
        <f>E5300+(0-250)</f>
        <v>8529204.169999551</v>
      </c>
    </row>
    <row r="5302" spans="1:5" x14ac:dyDescent="0.25">
      <c r="A5302" s="2" t="s">
        <v>38</v>
      </c>
      <c r="B5302" s="6">
        <v>45989</v>
      </c>
      <c r="C5302" s="2" t="s">
        <v>53</v>
      </c>
      <c r="D5302" s="8">
        <v>-50</v>
      </c>
      <c r="E5302" s="8">
        <f>E5301+(0-50)</f>
        <v>8529154.169999551</v>
      </c>
    </row>
    <row r="5303" spans="1:5" x14ac:dyDescent="0.25">
      <c r="A5303" s="2" t="s">
        <v>38</v>
      </c>
      <c r="B5303" s="6">
        <v>45989</v>
      </c>
      <c r="C5303" s="2" t="s">
        <v>53</v>
      </c>
      <c r="D5303" s="8">
        <v>-100</v>
      </c>
      <c r="E5303" s="8">
        <f>E5302+(0-100)</f>
        <v>8529054.169999551</v>
      </c>
    </row>
    <row r="5304" spans="1:5" x14ac:dyDescent="0.25">
      <c r="A5304" s="2" t="s">
        <v>38</v>
      </c>
      <c r="B5304" s="6">
        <v>45992</v>
      </c>
      <c r="C5304" s="2" t="s">
        <v>53</v>
      </c>
      <c r="D5304" s="8">
        <v>-53.75</v>
      </c>
      <c r="E5304" s="8">
        <f>E5303+(0-53.75)</f>
        <v>8529000.419999551</v>
      </c>
    </row>
    <row r="5305" spans="1:5" x14ac:dyDescent="0.25">
      <c r="A5305" s="2" t="s">
        <v>38</v>
      </c>
      <c r="B5305" s="6">
        <v>45992</v>
      </c>
      <c r="C5305" s="2" t="s">
        <v>19</v>
      </c>
      <c r="D5305" s="8">
        <v>-252</v>
      </c>
      <c r="E5305" s="8">
        <f>E5304+(0-252)</f>
        <v>8528748.419999551</v>
      </c>
    </row>
    <row r="5306" spans="1:5" x14ac:dyDescent="0.25">
      <c r="A5306" s="2" t="s">
        <v>38</v>
      </c>
      <c r="B5306" s="6">
        <v>45992</v>
      </c>
      <c r="C5306" s="2" t="s">
        <v>53</v>
      </c>
      <c r="D5306" s="8">
        <v>-53.75</v>
      </c>
      <c r="E5306" s="8">
        <f>E5305+(0-53.75)</f>
        <v>8528694.669999551</v>
      </c>
    </row>
    <row r="5307" spans="1:5" x14ac:dyDescent="0.25">
      <c r="A5307" s="2" t="s">
        <v>38</v>
      </c>
      <c r="B5307" s="6">
        <v>45992</v>
      </c>
      <c r="C5307" s="2" t="s">
        <v>53</v>
      </c>
      <c r="D5307" s="8">
        <v>-384</v>
      </c>
      <c r="E5307" s="8">
        <f>E5306+(0-384)</f>
        <v>8528310.669999551</v>
      </c>
    </row>
    <row r="5308" spans="1:5" x14ac:dyDescent="0.25">
      <c r="A5308" s="2" t="s">
        <v>38</v>
      </c>
      <c r="B5308" s="6">
        <v>45992</v>
      </c>
      <c r="C5308" s="2" t="s">
        <v>53</v>
      </c>
      <c r="D5308" s="8">
        <v>-50</v>
      </c>
      <c r="E5308" s="8">
        <f>E5307+(0-50)</f>
        <v>8528260.669999551</v>
      </c>
    </row>
    <row r="5309" spans="1:5" x14ac:dyDescent="0.25">
      <c r="A5309" s="2" t="s">
        <v>38</v>
      </c>
      <c r="B5309" s="6">
        <v>45992</v>
      </c>
      <c r="C5309" s="2" t="s">
        <v>53</v>
      </c>
      <c r="D5309" s="8">
        <v>-350</v>
      </c>
      <c r="E5309" s="8">
        <f>E5308+(0-350)</f>
        <v>8527910.669999551</v>
      </c>
    </row>
    <row r="5310" spans="1:5" x14ac:dyDescent="0.25">
      <c r="A5310" s="2" t="s">
        <v>38</v>
      </c>
      <c r="B5310" s="6">
        <v>45992</v>
      </c>
      <c r="C5310" s="2" t="s">
        <v>19</v>
      </c>
      <c r="D5310" s="8">
        <v>-36</v>
      </c>
      <c r="E5310" s="8">
        <f>E5309+(0-36)</f>
        <v>8527874.669999551</v>
      </c>
    </row>
    <row r="5311" spans="1:5" x14ac:dyDescent="0.25">
      <c r="A5311" s="2" t="s">
        <v>38</v>
      </c>
      <c r="B5311" s="6">
        <v>45992</v>
      </c>
      <c r="C5311" s="2" t="s">
        <v>19</v>
      </c>
      <c r="D5311" s="8">
        <v>-12</v>
      </c>
      <c r="E5311" s="8">
        <f>E5310+(0-12)</f>
        <v>8527862.669999551</v>
      </c>
    </row>
    <row r="5312" spans="1:5" x14ac:dyDescent="0.25">
      <c r="A5312" s="2" t="s">
        <v>38</v>
      </c>
      <c r="B5312" s="6">
        <v>45993</v>
      </c>
      <c r="C5312" s="2" t="s">
        <v>19</v>
      </c>
      <c r="D5312" s="8">
        <v>-216</v>
      </c>
      <c r="E5312" s="8">
        <f>E5311+(0-216)</f>
        <v>8527646.669999551</v>
      </c>
    </row>
    <row r="5313" spans="1:5" x14ac:dyDescent="0.25">
      <c r="A5313" s="2" t="s">
        <v>38</v>
      </c>
      <c r="B5313" s="6">
        <v>45993</v>
      </c>
      <c r="C5313" s="2" t="s">
        <v>19</v>
      </c>
      <c r="D5313" s="8">
        <v>-144</v>
      </c>
      <c r="E5313" s="8">
        <f>E5312+(0-144)</f>
        <v>8527502.669999551</v>
      </c>
    </row>
    <row r="5314" spans="1:5" x14ac:dyDescent="0.25">
      <c r="A5314" s="2" t="s">
        <v>38</v>
      </c>
      <c r="B5314" s="6">
        <v>45993</v>
      </c>
      <c r="C5314" s="2" t="s">
        <v>19</v>
      </c>
      <c r="D5314" s="8">
        <v>-108</v>
      </c>
      <c r="E5314" s="8">
        <f>E5313+(0-108)</f>
        <v>8527394.669999551</v>
      </c>
    </row>
    <row r="5315" spans="1:5" x14ac:dyDescent="0.25">
      <c r="A5315" s="2" t="s">
        <v>38</v>
      </c>
      <c r="B5315" s="6">
        <v>45993</v>
      </c>
      <c r="C5315" s="2" t="s">
        <v>53</v>
      </c>
      <c r="D5315" s="8">
        <v>-50</v>
      </c>
      <c r="E5315" s="8">
        <f>E5314+(0-50)</f>
        <v>8527344.669999551</v>
      </c>
    </row>
    <row r="5316" spans="1:5" x14ac:dyDescent="0.25">
      <c r="A5316" s="2" t="s">
        <v>38</v>
      </c>
      <c r="B5316" s="6">
        <v>45994</v>
      </c>
      <c r="C5316" s="2" t="s">
        <v>235</v>
      </c>
      <c r="D5316" s="8">
        <v>-53.75</v>
      </c>
      <c r="E5316" s="8">
        <f>E5315+(0-53.75)</f>
        <v>8527290.919999551</v>
      </c>
    </row>
    <row r="5317" spans="1:5" x14ac:dyDescent="0.25">
      <c r="A5317" s="2" t="s">
        <v>38</v>
      </c>
      <c r="B5317" s="6">
        <v>45994</v>
      </c>
      <c r="C5317" s="2" t="s">
        <v>53</v>
      </c>
      <c r="D5317" s="8">
        <v>-300</v>
      </c>
      <c r="E5317" s="8">
        <f>E5316+(0-300)</f>
        <v>8526990.919999551</v>
      </c>
    </row>
    <row r="5318" spans="1:5" x14ac:dyDescent="0.25">
      <c r="A5318" s="2" t="s">
        <v>38</v>
      </c>
      <c r="B5318" s="6">
        <v>45994</v>
      </c>
      <c r="C5318" s="2" t="s">
        <v>53</v>
      </c>
      <c r="D5318" s="8">
        <v>-150</v>
      </c>
      <c r="E5318" s="8">
        <f>E5317+(0-150)</f>
        <v>8526840.919999551</v>
      </c>
    </row>
    <row r="5319" spans="1:5" x14ac:dyDescent="0.25">
      <c r="A5319" s="2" t="s">
        <v>38</v>
      </c>
      <c r="B5319" s="6">
        <v>45995</v>
      </c>
      <c r="C5319" s="2" t="s">
        <v>53</v>
      </c>
      <c r="D5319" s="8">
        <v>-53.75</v>
      </c>
      <c r="E5319" s="8">
        <f>E5318+(0-53.75)</f>
        <v>8526787.169999551</v>
      </c>
    </row>
    <row r="5320" spans="1:5" x14ac:dyDescent="0.25">
      <c r="A5320" s="2" t="s">
        <v>38</v>
      </c>
      <c r="B5320" s="6">
        <v>45995</v>
      </c>
      <c r="C5320" s="2" t="s">
        <v>53</v>
      </c>
      <c r="D5320" s="8">
        <v>-53.75</v>
      </c>
      <c r="E5320" s="8">
        <f>E5319+(0-53.75)</f>
        <v>8526733.419999551</v>
      </c>
    </row>
    <row r="5321" spans="1:5" x14ac:dyDescent="0.25">
      <c r="A5321" s="2" t="s">
        <v>38</v>
      </c>
      <c r="B5321" s="6">
        <v>45995</v>
      </c>
      <c r="C5321" s="2" t="s">
        <v>53</v>
      </c>
      <c r="D5321" s="8">
        <v>-250</v>
      </c>
      <c r="E5321" s="8">
        <f>E5320+(0-250)</f>
        <v>8526483.419999551</v>
      </c>
    </row>
    <row r="5322" spans="1:5" x14ac:dyDescent="0.25">
      <c r="A5322" s="2" t="s">
        <v>38</v>
      </c>
      <c r="B5322" s="6">
        <v>45995</v>
      </c>
      <c r="C5322" s="2" t="s">
        <v>53</v>
      </c>
      <c r="D5322" s="8">
        <v>-50</v>
      </c>
      <c r="E5322" s="8">
        <f>E5321+(0-50)</f>
        <v>8526433.419999551</v>
      </c>
    </row>
    <row r="5323" spans="1:5" x14ac:dyDescent="0.25">
      <c r="A5323" s="2" t="s">
        <v>38</v>
      </c>
      <c r="B5323" s="6">
        <v>45995</v>
      </c>
      <c r="C5323" s="2" t="s">
        <v>19</v>
      </c>
      <c r="D5323" s="8">
        <v>-156</v>
      </c>
      <c r="E5323" s="8">
        <f>E5322+(0-156)</f>
        <v>8526277.419999551</v>
      </c>
    </row>
    <row r="5324" spans="1:5" x14ac:dyDescent="0.25">
      <c r="A5324" s="2" t="s">
        <v>38</v>
      </c>
      <c r="B5324" s="6">
        <v>45996</v>
      </c>
      <c r="C5324" s="2" t="s">
        <v>19</v>
      </c>
      <c r="D5324" s="8">
        <v>-144</v>
      </c>
      <c r="E5324" s="8">
        <f>E5323+(0-144)</f>
        <v>8526133.419999551</v>
      </c>
    </row>
    <row r="5325" spans="1:5" x14ac:dyDescent="0.25">
      <c r="A5325" s="2" t="s">
        <v>38</v>
      </c>
      <c r="B5325" s="6">
        <v>45996</v>
      </c>
      <c r="C5325" s="2" t="s">
        <v>237</v>
      </c>
      <c r="D5325" s="8">
        <v>-168</v>
      </c>
      <c r="E5325" s="8">
        <f>E5324+(0-168)</f>
        <v>8525965.419999551</v>
      </c>
    </row>
    <row r="5326" spans="1:5" x14ac:dyDescent="0.25">
      <c r="A5326" s="2" t="s">
        <v>38</v>
      </c>
      <c r="B5326" s="6">
        <v>45996</v>
      </c>
      <c r="C5326" s="2" t="s">
        <v>53</v>
      </c>
      <c r="D5326" s="8">
        <v>-26.88</v>
      </c>
      <c r="E5326" s="8">
        <f>E5325+(0-26.88)</f>
        <v>8525938.5399995502</v>
      </c>
    </row>
    <row r="5327" spans="1:5" x14ac:dyDescent="0.25">
      <c r="A5327" s="2" t="s">
        <v>38</v>
      </c>
      <c r="B5327" s="6">
        <v>45996</v>
      </c>
      <c r="C5327" s="2" t="s">
        <v>53</v>
      </c>
      <c r="D5327" s="8">
        <v>-53.75</v>
      </c>
      <c r="E5327" s="8">
        <f>E5326+(0-53.75)</f>
        <v>8525884.7899995502</v>
      </c>
    </row>
    <row r="5328" spans="1:5" x14ac:dyDescent="0.25">
      <c r="A5328" s="2" t="s">
        <v>38</v>
      </c>
      <c r="B5328" s="6">
        <v>45996</v>
      </c>
      <c r="C5328" s="2" t="s">
        <v>53</v>
      </c>
      <c r="D5328" s="8">
        <v>-50</v>
      </c>
      <c r="E5328" s="8">
        <f>E5327+(0-50)</f>
        <v>8525834.7899995502</v>
      </c>
    </row>
    <row r="5329" spans="1:5" x14ac:dyDescent="0.25">
      <c r="A5329" s="2" t="s">
        <v>38</v>
      </c>
      <c r="B5329" s="6">
        <v>45996</v>
      </c>
      <c r="C5329" s="2" t="s">
        <v>53</v>
      </c>
      <c r="D5329" s="8">
        <v>-500</v>
      </c>
      <c r="E5329" s="8">
        <f>E5328+(0-500)</f>
        <v>8525334.7899995502</v>
      </c>
    </row>
    <row r="5330" spans="1:5" x14ac:dyDescent="0.25">
      <c r="A5330" s="2" t="s">
        <v>38</v>
      </c>
      <c r="B5330" s="6">
        <v>45999</v>
      </c>
      <c r="C5330" s="2" t="s">
        <v>53</v>
      </c>
      <c r="D5330" s="8">
        <v>-53.75</v>
      </c>
      <c r="E5330" s="8">
        <f>E5329+(0-53.75)</f>
        <v>8525281.0399995502</v>
      </c>
    </row>
    <row r="5331" spans="1:5" x14ac:dyDescent="0.25">
      <c r="A5331" s="2" t="s">
        <v>38</v>
      </c>
      <c r="B5331" s="6">
        <v>45999</v>
      </c>
      <c r="C5331" s="2" t="s">
        <v>53</v>
      </c>
      <c r="D5331" s="8">
        <v>-26.88</v>
      </c>
      <c r="E5331" s="8">
        <f>E5330+(0-26.88)</f>
        <v>8525254.1599995494</v>
      </c>
    </row>
    <row r="5332" spans="1:5" x14ac:dyDescent="0.25">
      <c r="A5332" s="2" t="s">
        <v>38</v>
      </c>
      <c r="B5332" s="6">
        <v>45999</v>
      </c>
      <c r="C5332" s="2" t="s">
        <v>53</v>
      </c>
      <c r="D5332" s="8">
        <v>-53.75</v>
      </c>
      <c r="E5332" s="8">
        <f>E5331+(0-53.75)</f>
        <v>8525200.4099995494</v>
      </c>
    </row>
    <row r="5333" spans="1:5" x14ac:dyDescent="0.25">
      <c r="A5333" s="2" t="s">
        <v>38</v>
      </c>
      <c r="B5333" s="6">
        <v>45999</v>
      </c>
      <c r="C5333" s="2" t="s">
        <v>53</v>
      </c>
      <c r="D5333" s="8">
        <v>-26.88</v>
      </c>
      <c r="E5333" s="8">
        <f>E5332+(0-26.88)</f>
        <v>8525173.5299995486</v>
      </c>
    </row>
    <row r="5334" spans="1:5" x14ac:dyDescent="0.25">
      <c r="A5334" s="2" t="s">
        <v>38</v>
      </c>
      <c r="B5334" s="6">
        <v>45999</v>
      </c>
      <c r="C5334" s="2" t="s">
        <v>19</v>
      </c>
      <c r="D5334" s="8">
        <v>-216</v>
      </c>
      <c r="E5334" s="8">
        <f>E5333+(0-216)</f>
        <v>8524957.5299995486</v>
      </c>
    </row>
    <row r="5335" spans="1:5" x14ac:dyDescent="0.25">
      <c r="A5335" s="2" t="s">
        <v>38</v>
      </c>
      <c r="B5335" s="6">
        <v>45999</v>
      </c>
      <c r="C5335" s="2" t="s">
        <v>19</v>
      </c>
      <c r="D5335" s="8">
        <v>-48</v>
      </c>
      <c r="E5335" s="8">
        <f>E5334+(0-48)</f>
        <v>8524909.5299995486</v>
      </c>
    </row>
    <row r="5336" spans="1:5" x14ac:dyDescent="0.25">
      <c r="A5336" s="2" t="s">
        <v>38</v>
      </c>
      <c r="B5336" s="6">
        <v>45999</v>
      </c>
      <c r="C5336" s="2" t="s">
        <v>53</v>
      </c>
      <c r="D5336" s="8">
        <v>-50</v>
      </c>
      <c r="E5336" s="8">
        <f>E5335+(0-50)</f>
        <v>8524859.5299995486</v>
      </c>
    </row>
    <row r="5337" spans="1:5" x14ac:dyDescent="0.25">
      <c r="A5337" s="2" t="s">
        <v>38</v>
      </c>
      <c r="B5337" s="6">
        <v>45999</v>
      </c>
      <c r="C5337" s="2" t="s">
        <v>19</v>
      </c>
      <c r="D5337" s="8">
        <v>-36</v>
      </c>
      <c r="E5337" s="8">
        <f>E5336+(0-36)</f>
        <v>8524823.5299995486</v>
      </c>
    </row>
    <row r="5338" spans="1:5" x14ac:dyDescent="0.25">
      <c r="A5338" s="2" t="s">
        <v>38</v>
      </c>
      <c r="B5338" s="6">
        <v>45999</v>
      </c>
      <c r="C5338" s="2" t="s">
        <v>53</v>
      </c>
      <c r="D5338" s="8">
        <v>-50</v>
      </c>
      <c r="E5338" s="8">
        <f>E5337+(0-50)</f>
        <v>8524773.5299995486</v>
      </c>
    </row>
    <row r="5339" spans="1:5" x14ac:dyDescent="0.25">
      <c r="A5339" s="2" t="s">
        <v>38</v>
      </c>
      <c r="B5339" s="6">
        <v>45999</v>
      </c>
      <c r="C5339" s="2" t="s">
        <v>53</v>
      </c>
      <c r="D5339" s="8">
        <v>-550</v>
      </c>
      <c r="E5339" s="8">
        <f>E5338+(0-550)</f>
        <v>8524223.5299995486</v>
      </c>
    </row>
    <row r="5340" spans="1:5" x14ac:dyDescent="0.25">
      <c r="A5340" s="2" t="s">
        <v>38</v>
      </c>
      <c r="B5340" s="6">
        <v>46000</v>
      </c>
      <c r="C5340" s="2" t="s">
        <v>19</v>
      </c>
      <c r="D5340" s="8">
        <v>-192</v>
      </c>
      <c r="E5340" s="8">
        <f>E5339+(0-192)</f>
        <v>8524031.5299995486</v>
      </c>
    </row>
    <row r="5341" spans="1:5" x14ac:dyDescent="0.25">
      <c r="A5341" s="2" t="s">
        <v>38</v>
      </c>
      <c r="B5341" s="6">
        <v>46000</v>
      </c>
      <c r="C5341" s="2" t="s">
        <v>53</v>
      </c>
      <c r="D5341" s="8">
        <v>-26.88</v>
      </c>
      <c r="E5341" s="8">
        <f>E5340+(0-26.88)</f>
        <v>8524004.6499995477</v>
      </c>
    </row>
    <row r="5342" spans="1:5" x14ac:dyDescent="0.25">
      <c r="A5342" s="2" t="s">
        <v>38</v>
      </c>
      <c r="B5342" s="6">
        <v>46000</v>
      </c>
      <c r="C5342" s="2" t="s">
        <v>53</v>
      </c>
      <c r="D5342" s="8">
        <v>-250</v>
      </c>
      <c r="E5342" s="8">
        <f>E5341+(0-250)</f>
        <v>8523754.6499995477</v>
      </c>
    </row>
    <row r="5343" spans="1:5" x14ac:dyDescent="0.25">
      <c r="A5343" s="2" t="s">
        <v>38</v>
      </c>
      <c r="B5343" s="6">
        <v>46000</v>
      </c>
      <c r="C5343" s="2" t="s">
        <v>53</v>
      </c>
      <c r="D5343" s="8">
        <v>-350</v>
      </c>
      <c r="E5343" s="8">
        <f>E5342+(0-350)</f>
        <v>8523404.6499995477</v>
      </c>
    </row>
    <row r="5344" spans="1:5" x14ac:dyDescent="0.25">
      <c r="A5344" s="2" t="s">
        <v>38</v>
      </c>
      <c r="B5344" s="6">
        <v>46000</v>
      </c>
      <c r="C5344" s="2" t="s">
        <v>53</v>
      </c>
      <c r="D5344" s="8">
        <v>-100</v>
      </c>
      <c r="E5344" s="8">
        <f>E5343+(0-100)</f>
        <v>8523304.6499995477</v>
      </c>
    </row>
    <row r="5345" spans="1:5" x14ac:dyDescent="0.25">
      <c r="A5345" s="2" t="s">
        <v>38</v>
      </c>
      <c r="B5345" s="6">
        <v>46002</v>
      </c>
      <c r="C5345" s="2" t="s">
        <v>53</v>
      </c>
      <c r="D5345" s="8">
        <v>-300</v>
      </c>
      <c r="E5345" s="8">
        <f>E5344+(0-300)</f>
        <v>8523004.6499995477</v>
      </c>
    </row>
    <row r="5346" spans="1:5" x14ac:dyDescent="0.25">
      <c r="A5346" s="2" t="s">
        <v>38</v>
      </c>
      <c r="B5346" s="6">
        <v>46002</v>
      </c>
      <c r="C5346" s="2" t="s">
        <v>53</v>
      </c>
      <c r="D5346" s="8">
        <v>-50</v>
      </c>
      <c r="E5346" s="8">
        <f>E5345+(0-50)</f>
        <v>8522954.6499995477</v>
      </c>
    </row>
    <row r="5347" spans="1:5" x14ac:dyDescent="0.25">
      <c r="A5347" s="2" t="s">
        <v>38</v>
      </c>
      <c r="B5347" s="6">
        <v>46003</v>
      </c>
      <c r="C5347" s="2" t="s">
        <v>53</v>
      </c>
      <c r="D5347" s="8">
        <v>-53.75</v>
      </c>
      <c r="E5347" s="8">
        <f>E5346+(0-53.75)</f>
        <v>8522900.8999995477</v>
      </c>
    </row>
    <row r="5348" spans="1:5" x14ac:dyDescent="0.25">
      <c r="A5348" s="2" t="s">
        <v>38</v>
      </c>
      <c r="B5348" s="6">
        <v>46003</v>
      </c>
      <c r="C5348" s="2" t="s">
        <v>53</v>
      </c>
      <c r="D5348" s="8">
        <v>-53.75</v>
      </c>
      <c r="E5348" s="8">
        <f>E5347+(0-53.75)</f>
        <v>8522847.1499995477</v>
      </c>
    </row>
    <row r="5349" spans="1:5" x14ac:dyDescent="0.25">
      <c r="A5349" s="2" t="s">
        <v>38</v>
      </c>
      <c r="B5349" s="6">
        <v>46003</v>
      </c>
      <c r="C5349" s="2" t="s">
        <v>53</v>
      </c>
      <c r="D5349" s="8">
        <v>-53.75</v>
      </c>
      <c r="E5349" s="8">
        <f>E5348+(0-53.75)</f>
        <v>8522793.3999995477</v>
      </c>
    </row>
    <row r="5350" spans="1:5" x14ac:dyDescent="0.25">
      <c r="A5350" s="2" t="s">
        <v>38</v>
      </c>
      <c r="B5350" s="6">
        <v>46003</v>
      </c>
      <c r="C5350" s="2" t="s">
        <v>53</v>
      </c>
      <c r="D5350" s="8">
        <v>-26.88</v>
      </c>
      <c r="E5350" s="8">
        <f>E5349+(0-26.88)</f>
        <v>8522766.5199995469</v>
      </c>
    </row>
    <row r="5351" spans="1:5" x14ac:dyDescent="0.25">
      <c r="A5351" s="2" t="s">
        <v>38</v>
      </c>
      <c r="B5351" s="6">
        <v>46003</v>
      </c>
      <c r="C5351" s="2" t="s">
        <v>53</v>
      </c>
      <c r="D5351" s="8">
        <v>-26.88</v>
      </c>
      <c r="E5351" s="8">
        <f>E5350+(0-26.88)</f>
        <v>8522739.6399995461</v>
      </c>
    </row>
    <row r="5352" spans="1:5" x14ac:dyDescent="0.25">
      <c r="A5352" s="2" t="s">
        <v>38</v>
      </c>
      <c r="B5352" s="6">
        <v>46003</v>
      </c>
      <c r="C5352" s="2" t="s">
        <v>53</v>
      </c>
      <c r="D5352" s="8">
        <v>-53.75</v>
      </c>
      <c r="E5352" s="8">
        <f>E5351+(0-53.75)</f>
        <v>8522685.8899995461</v>
      </c>
    </row>
    <row r="5353" spans="1:5" x14ac:dyDescent="0.25">
      <c r="A5353" s="2" t="s">
        <v>38</v>
      </c>
      <c r="B5353" s="6">
        <v>46003</v>
      </c>
      <c r="C5353" s="2" t="s">
        <v>53</v>
      </c>
      <c r="D5353" s="8">
        <v>-150</v>
      </c>
      <c r="E5353" s="8">
        <f>E5352+(0-150)</f>
        <v>8522535.8899995461</v>
      </c>
    </row>
    <row r="5354" spans="1:5" x14ac:dyDescent="0.25">
      <c r="A5354" s="2" t="s">
        <v>38</v>
      </c>
      <c r="B5354" s="6">
        <v>46003</v>
      </c>
      <c r="C5354" s="2" t="s">
        <v>53</v>
      </c>
      <c r="D5354" s="8">
        <v>-100</v>
      </c>
      <c r="E5354" s="8">
        <f>E5353+(0-100)</f>
        <v>8522435.8899995461</v>
      </c>
    </row>
    <row r="5355" spans="1:5" x14ac:dyDescent="0.25">
      <c r="A5355" s="2" t="s">
        <v>38</v>
      </c>
      <c r="B5355" s="6">
        <v>46006</v>
      </c>
      <c r="C5355" s="2" t="s">
        <v>53</v>
      </c>
      <c r="D5355" s="8">
        <v>-50</v>
      </c>
      <c r="E5355" s="8">
        <f>E5354+(0-50)</f>
        <v>8522385.8899995461</v>
      </c>
    </row>
    <row r="5356" spans="1:5" x14ac:dyDescent="0.25">
      <c r="A5356" s="2" t="s">
        <v>38</v>
      </c>
      <c r="B5356" s="6">
        <v>46006</v>
      </c>
      <c r="C5356" s="2" t="s">
        <v>53</v>
      </c>
      <c r="D5356" s="8">
        <v>-400</v>
      </c>
      <c r="E5356" s="8">
        <f>E5355+(0-400)</f>
        <v>8521985.8899995461</v>
      </c>
    </row>
    <row r="5357" spans="1:5" x14ac:dyDescent="0.25">
      <c r="A5357" s="2" t="s">
        <v>38</v>
      </c>
      <c r="B5357" s="6">
        <v>46007</v>
      </c>
      <c r="C5357" s="2" t="s">
        <v>53</v>
      </c>
      <c r="D5357" s="8">
        <v>-53.75</v>
      </c>
      <c r="E5357" s="8">
        <f>E5356+(0-53.75)</f>
        <v>8521932.1399995461</v>
      </c>
    </row>
    <row r="5358" spans="1:5" x14ac:dyDescent="0.25">
      <c r="A5358" s="2" t="s">
        <v>38</v>
      </c>
      <c r="B5358" s="6">
        <v>46007</v>
      </c>
      <c r="C5358" s="2" t="s">
        <v>53</v>
      </c>
      <c r="D5358" s="8">
        <v>-50</v>
      </c>
      <c r="E5358" s="8">
        <f>E5357+(0-50)</f>
        <v>8521882.1399995461</v>
      </c>
    </row>
    <row r="5359" spans="1:5" x14ac:dyDescent="0.25">
      <c r="A5359" s="2" t="s">
        <v>38</v>
      </c>
      <c r="B5359" s="6">
        <v>46007</v>
      </c>
      <c r="C5359" s="2" t="s">
        <v>53</v>
      </c>
      <c r="D5359" s="8">
        <v>-550</v>
      </c>
      <c r="E5359" s="8">
        <f>E5358+(0-550)</f>
        <v>8521332.1399995461</v>
      </c>
    </row>
    <row r="5360" spans="1:5" x14ac:dyDescent="0.25">
      <c r="A5360" s="2" t="s">
        <v>38</v>
      </c>
      <c r="B5360" s="6">
        <v>46008</v>
      </c>
      <c r="C5360" s="2" t="s">
        <v>53</v>
      </c>
      <c r="D5360" s="8">
        <v>-53.75</v>
      </c>
      <c r="E5360" s="8">
        <f>E5359+(0-53.75)</f>
        <v>8521278.3899995461</v>
      </c>
    </row>
    <row r="5361" spans="1:5" x14ac:dyDescent="0.25">
      <c r="A5361" s="2" t="s">
        <v>38</v>
      </c>
      <c r="B5361" s="6">
        <v>46008</v>
      </c>
      <c r="C5361" s="2" t="s">
        <v>53</v>
      </c>
      <c r="D5361" s="8">
        <v>-53.75</v>
      </c>
      <c r="E5361" s="8">
        <f>E5360+(0-53.75)</f>
        <v>8521224.6399995461</v>
      </c>
    </row>
    <row r="5362" spans="1:5" x14ac:dyDescent="0.25">
      <c r="A5362" s="2" t="s">
        <v>38</v>
      </c>
      <c r="B5362" s="6">
        <v>46008</v>
      </c>
      <c r="C5362" s="2" t="s">
        <v>53</v>
      </c>
      <c r="D5362" s="8">
        <v>-53.75</v>
      </c>
      <c r="E5362" s="8">
        <f>E5361+(0-53.75)</f>
        <v>8521170.8899995461</v>
      </c>
    </row>
    <row r="5363" spans="1:5" x14ac:dyDescent="0.25">
      <c r="A5363" s="2" t="s">
        <v>38</v>
      </c>
      <c r="B5363" s="6">
        <v>46008</v>
      </c>
      <c r="C5363" s="2" t="s">
        <v>53</v>
      </c>
      <c r="D5363" s="8">
        <v>-26.88</v>
      </c>
      <c r="E5363" s="8">
        <f>E5362+(0-26.88)</f>
        <v>8521144.0099995453</v>
      </c>
    </row>
    <row r="5364" spans="1:5" x14ac:dyDescent="0.25">
      <c r="A5364" s="2" t="s">
        <v>38</v>
      </c>
      <c r="B5364" s="6">
        <v>46008</v>
      </c>
      <c r="C5364" s="2" t="s">
        <v>53</v>
      </c>
      <c r="D5364" s="8">
        <v>-26.88</v>
      </c>
      <c r="E5364" s="8">
        <f>E5363+(0-26.88)</f>
        <v>8521117.1299995445</v>
      </c>
    </row>
    <row r="5365" spans="1:5" x14ac:dyDescent="0.25">
      <c r="A5365" s="2" t="s">
        <v>38</v>
      </c>
      <c r="B5365" s="6">
        <v>46008</v>
      </c>
      <c r="C5365" s="2" t="s">
        <v>53</v>
      </c>
      <c r="D5365" s="8">
        <v>-53.75</v>
      </c>
      <c r="E5365" s="8">
        <f>E5364+(0-53.75)</f>
        <v>8521063.3799995445</v>
      </c>
    </row>
    <row r="5366" spans="1:5" x14ac:dyDescent="0.25">
      <c r="A5366" s="2" t="s">
        <v>38</v>
      </c>
      <c r="B5366" s="6">
        <v>46008</v>
      </c>
      <c r="C5366" s="2" t="s">
        <v>53</v>
      </c>
      <c r="D5366" s="8">
        <v>-53.75</v>
      </c>
      <c r="E5366" s="8">
        <f>E5365+(0-53.75)</f>
        <v>8521009.6299995445</v>
      </c>
    </row>
    <row r="5367" spans="1:5" x14ac:dyDescent="0.25">
      <c r="A5367" s="2" t="s">
        <v>38</v>
      </c>
      <c r="B5367" s="6">
        <v>46008</v>
      </c>
      <c r="C5367" s="2" t="s">
        <v>53</v>
      </c>
      <c r="D5367" s="8">
        <v>-150</v>
      </c>
      <c r="E5367" s="8">
        <f>E5366+(0-150)</f>
        <v>8520859.6299995445</v>
      </c>
    </row>
    <row r="5368" spans="1:5" x14ac:dyDescent="0.25">
      <c r="A5368" s="2" t="s">
        <v>38</v>
      </c>
      <c r="B5368" s="6">
        <v>46008</v>
      </c>
      <c r="C5368" s="2" t="s">
        <v>53</v>
      </c>
      <c r="D5368" s="8">
        <v>-53.75</v>
      </c>
      <c r="E5368" s="8">
        <f>E5367+(0-53.75)</f>
        <v>8520805.8799995445</v>
      </c>
    </row>
    <row r="5369" spans="1:5" x14ac:dyDescent="0.25">
      <c r="A5369" s="2" t="s">
        <v>38</v>
      </c>
      <c r="B5369" s="6">
        <v>46020</v>
      </c>
      <c r="C5369" s="2" t="s">
        <v>53</v>
      </c>
      <c r="D5369" s="8">
        <v>-53.75</v>
      </c>
      <c r="E5369" s="8">
        <f>E5368+(0-53.75)</f>
        <v>8520752.1299995445</v>
      </c>
    </row>
    <row r="5370" spans="1:5" x14ac:dyDescent="0.25">
      <c r="A5370" s="2" t="s">
        <v>38</v>
      </c>
      <c r="B5370" s="6">
        <v>46020</v>
      </c>
      <c r="C5370" s="2" t="s">
        <v>53</v>
      </c>
      <c r="D5370" s="8">
        <v>-53.75</v>
      </c>
      <c r="E5370" s="8">
        <f>E5369+(0-53.75)</f>
        <v>8520698.3799995445</v>
      </c>
    </row>
    <row r="5371" spans="1:5" x14ac:dyDescent="0.25">
      <c r="A5371" s="2" t="s">
        <v>38</v>
      </c>
      <c r="B5371" s="6">
        <v>46020</v>
      </c>
      <c r="C5371" s="2" t="s">
        <v>233</v>
      </c>
      <c r="D5371" s="8">
        <v>-1284</v>
      </c>
      <c r="E5371" s="8">
        <f>E5370+(0-1284)</f>
        <v>8519414.3799995445</v>
      </c>
    </row>
    <row r="5372" spans="1:5" x14ac:dyDescent="0.25">
      <c r="A5372" s="2" t="s">
        <v>38</v>
      </c>
      <c r="B5372" s="6">
        <v>46020</v>
      </c>
      <c r="C5372" s="2" t="s">
        <v>53</v>
      </c>
      <c r="D5372" s="8">
        <v>-53.75</v>
      </c>
      <c r="E5372" s="8">
        <f>E5371+(0-53.75)</f>
        <v>8519360.6299995445</v>
      </c>
    </row>
    <row r="5373" spans="1:5" x14ac:dyDescent="0.25">
      <c r="A5373" s="2" t="s">
        <v>38</v>
      </c>
      <c r="B5373" s="6">
        <v>46020</v>
      </c>
      <c r="C5373" s="2" t="s">
        <v>53</v>
      </c>
      <c r="D5373" s="8">
        <v>-53.75</v>
      </c>
      <c r="E5373" s="8">
        <f>E5372+(0-53.75)</f>
        <v>8519306.8799995445</v>
      </c>
    </row>
    <row r="5374" spans="1:5" x14ac:dyDescent="0.25">
      <c r="A5374" s="2" t="s">
        <v>38</v>
      </c>
      <c r="B5374" s="6">
        <v>46020</v>
      </c>
      <c r="C5374" s="2" t="s">
        <v>53</v>
      </c>
      <c r="D5374" s="8">
        <v>-26.88</v>
      </c>
      <c r="E5374" s="8">
        <f>E5373+(0-26.88)</f>
        <v>8519279.9999995437</v>
      </c>
    </row>
    <row r="5375" spans="1:5" x14ac:dyDescent="0.25">
      <c r="A5375" s="2" t="s">
        <v>38</v>
      </c>
      <c r="B5375" s="6">
        <v>46020</v>
      </c>
      <c r="C5375" s="2" t="s">
        <v>53</v>
      </c>
      <c r="D5375" s="8">
        <v>-53.75</v>
      </c>
      <c r="E5375" s="8">
        <f>E5374+(0-53.75)</f>
        <v>8519226.2499995437</v>
      </c>
    </row>
    <row r="5376" spans="1:5" x14ac:dyDescent="0.25">
      <c r="A5376" s="2" t="s">
        <v>38</v>
      </c>
      <c r="B5376" s="6">
        <v>46020</v>
      </c>
      <c r="C5376" s="2" t="s">
        <v>53</v>
      </c>
      <c r="D5376" s="8">
        <v>-53.75</v>
      </c>
      <c r="E5376" s="8">
        <f>E5375+(0-53.75)</f>
        <v>8519172.4999995437</v>
      </c>
    </row>
    <row r="5377" spans="1:5" x14ac:dyDescent="0.25">
      <c r="A5377" s="2" t="s">
        <v>38</v>
      </c>
      <c r="B5377" s="6">
        <v>46020</v>
      </c>
      <c r="C5377" s="2" t="s">
        <v>53</v>
      </c>
      <c r="D5377" s="8">
        <v>-53.75</v>
      </c>
      <c r="E5377" s="8">
        <f>E5376+(0-53.75)</f>
        <v>8519118.7499995437</v>
      </c>
    </row>
    <row r="5378" spans="1:5" x14ac:dyDescent="0.25">
      <c r="A5378" s="2" t="s">
        <v>38</v>
      </c>
      <c r="B5378" s="6">
        <v>46020</v>
      </c>
      <c r="C5378" s="2" t="s">
        <v>53</v>
      </c>
      <c r="D5378" s="8">
        <v>-500</v>
      </c>
      <c r="E5378" s="8">
        <f>E5377+(0-500)</f>
        <v>8518618.7499995437</v>
      </c>
    </row>
    <row r="5379" spans="1:5" x14ac:dyDescent="0.25">
      <c r="A5379" s="2" t="s">
        <v>38</v>
      </c>
      <c r="B5379" s="6">
        <v>46021</v>
      </c>
      <c r="C5379" s="2" t="s">
        <v>19</v>
      </c>
      <c r="D5379" s="8">
        <v>-396</v>
      </c>
      <c r="E5379" s="8">
        <f>E5378+(0-396)</f>
        <v>8518222.7499995437</v>
      </c>
    </row>
    <row r="5380" spans="1:5" x14ac:dyDescent="0.25">
      <c r="A5380" s="2" t="s">
        <v>38</v>
      </c>
      <c r="B5380" s="6">
        <v>46021</v>
      </c>
      <c r="C5380" s="2" t="s">
        <v>53</v>
      </c>
      <c r="D5380" s="8">
        <v>-50</v>
      </c>
      <c r="E5380" s="8">
        <f>E5379+(0-50)</f>
        <v>8518172.7499995437</v>
      </c>
    </row>
    <row r="5381" spans="1:5" x14ac:dyDescent="0.25">
      <c r="A5381" s="2" t="s">
        <v>38</v>
      </c>
      <c r="B5381" s="6">
        <v>46021</v>
      </c>
      <c r="C5381" s="2" t="s">
        <v>53</v>
      </c>
      <c r="D5381" s="8">
        <v>-450</v>
      </c>
      <c r="E5381" s="8">
        <f>E5380+(0-450)</f>
        <v>8517722.7499995437</v>
      </c>
    </row>
    <row r="5382" spans="1:5" x14ac:dyDescent="0.25">
      <c r="A5382" s="2" t="s">
        <v>38</v>
      </c>
      <c r="B5382" s="6">
        <v>46022</v>
      </c>
      <c r="C5382" s="2" t="s">
        <v>53</v>
      </c>
      <c r="D5382" s="8">
        <v>-53.75</v>
      </c>
      <c r="E5382" s="8">
        <f>E5381+(0-53.75)</f>
        <v>8517668.9999995437</v>
      </c>
    </row>
    <row r="5383" spans="1:5" x14ac:dyDescent="0.25">
      <c r="A5383" s="2" t="s">
        <v>38</v>
      </c>
      <c r="B5383" s="6">
        <v>46022</v>
      </c>
      <c r="C5383" s="2" t="s">
        <v>19</v>
      </c>
      <c r="D5383" s="8">
        <v>-132</v>
      </c>
      <c r="E5383" s="8">
        <f>E5382+(0-132)</f>
        <v>8517536.9999995437</v>
      </c>
    </row>
    <row r="5384" spans="1:5" x14ac:dyDescent="0.25">
      <c r="A5384" s="2" t="s">
        <v>38</v>
      </c>
      <c r="B5384" s="6">
        <v>46022</v>
      </c>
      <c r="C5384" s="2" t="s">
        <v>53</v>
      </c>
      <c r="D5384" s="8">
        <v>-26.88</v>
      </c>
      <c r="E5384" s="8">
        <f>E5383+(0-26.88)</f>
        <v>8517510.1199995428</v>
      </c>
    </row>
    <row r="5385" spans="1:5" x14ac:dyDescent="0.25">
      <c r="A5385" s="2" t="s">
        <v>38</v>
      </c>
      <c r="B5385" s="6">
        <v>46022</v>
      </c>
      <c r="C5385" s="2" t="s">
        <v>53</v>
      </c>
      <c r="D5385" s="8">
        <v>-200</v>
      </c>
      <c r="E5385" s="8">
        <f>E5384+(0-200)</f>
        <v>8517310.1199995428</v>
      </c>
    </row>
    <row r="5386" spans="1:5" x14ac:dyDescent="0.25">
      <c r="A5386" s="2" t="s">
        <v>38</v>
      </c>
      <c r="B5386" s="6">
        <v>46022</v>
      </c>
      <c r="C5386" s="2" t="s">
        <v>53</v>
      </c>
      <c r="D5386" s="8">
        <v>-50</v>
      </c>
      <c r="E5386" s="8">
        <f>E5385+(0-50)</f>
        <v>8517260.1199995428</v>
      </c>
    </row>
    <row r="5387" spans="1:5" x14ac:dyDescent="0.25">
      <c r="A5387" s="2" t="s">
        <v>38</v>
      </c>
      <c r="B5387" s="6">
        <v>46023</v>
      </c>
      <c r="C5387" s="2" t="s">
        <v>19</v>
      </c>
      <c r="D5387" s="8">
        <v>-216</v>
      </c>
      <c r="E5387" s="8">
        <f>E5386+(0-216)</f>
        <v>8517044.1199995428</v>
      </c>
    </row>
    <row r="5388" spans="1:5" x14ac:dyDescent="0.25">
      <c r="A5388" s="2" t="s">
        <v>38</v>
      </c>
      <c r="B5388" s="6">
        <v>46024</v>
      </c>
      <c r="C5388" s="2" t="s">
        <v>53</v>
      </c>
      <c r="D5388" s="8">
        <v>-100</v>
      </c>
      <c r="E5388" s="8">
        <f>E5387+(0-100)</f>
        <v>8516944.1199995428</v>
      </c>
    </row>
    <row r="5389" spans="1:5" x14ac:dyDescent="0.25">
      <c r="A5389" s="2" t="s">
        <v>38</v>
      </c>
      <c r="B5389" s="6">
        <v>46024</v>
      </c>
      <c r="C5389" s="2" t="s">
        <v>53</v>
      </c>
      <c r="D5389" s="8">
        <v>-50</v>
      </c>
      <c r="E5389" s="8">
        <f>E5388+(0-50)</f>
        <v>8516894.1199995428</v>
      </c>
    </row>
    <row r="5390" spans="1:5" x14ac:dyDescent="0.25">
      <c r="A5390" s="2" t="s">
        <v>38</v>
      </c>
      <c r="B5390" s="6">
        <v>46027</v>
      </c>
      <c r="C5390" s="2" t="s">
        <v>19</v>
      </c>
      <c r="D5390" s="8">
        <v>-12</v>
      </c>
      <c r="E5390" s="8">
        <f>E5389+(0-12)</f>
        <v>8516882.1199995428</v>
      </c>
    </row>
    <row r="5391" spans="1:5" x14ac:dyDescent="0.25">
      <c r="A5391" s="2" t="s">
        <v>38</v>
      </c>
      <c r="B5391" s="6">
        <v>46027</v>
      </c>
      <c r="C5391" s="2" t="s">
        <v>19</v>
      </c>
      <c r="D5391" s="8">
        <v>-24</v>
      </c>
      <c r="E5391" s="8">
        <f>E5390+(0-24)</f>
        <v>8516858.1199995428</v>
      </c>
    </row>
    <row r="5392" spans="1:5" x14ac:dyDescent="0.25">
      <c r="A5392" s="2" t="s">
        <v>38</v>
      </c>
      <c r="B5392" s="6">
        <v>46027</v>
      </c>
      <c r="C5392" s="2" t="s">
        <v>19</v>
      </c>
      <c r="D5392" s="8">
        <v>-12</v>
      </c>
      <c r="E5392" s="8">
        <f>E5391+(0-12)</f>
        <v>8516846.1199995428</v>
      </c>
    </row>
    <row r="5393" spans="1:5" x14ac:dyDescent="0.25">
      <c r="A5393" s="2" t="s">
        <v>38</v>
      </c>
      <c r="B5393" s="6">
        <v>46027</v>
      </c>
      <c r="C5393" s="2" t="s">
        <v>53</v>
      </c>
      <c r="D5393" s="8">
        <v>-50</v>
      </c>
      <c r="E5393" s="8">
        <f>E5392+(0-50)</f>
        <v>8516796.1199995428</v>
      </c>
    </row>
    <row r="5394" spans="1:5" x14ac:dyDescent="0.25">
      <c r="A5394" s="2" t="s">
        <v>38</v>
      </c>
      <c r="B5394" s="6">
        <v>46027</v>
      </c>
      <c r="C5394" s="2" t="s">
        <v>19</v>
      </c>
      <c r="D5394" s="8">
        <v>-12</v>
      </c>
      <c r="E5394" s="8">
        <f>E5393+(0-12)</f>
        <v>8516784.1199995428</v>
      </c>
    </row>
    <row r="5395" spans="1:5" x14ac:dyDescent="0.25">
      <c r="A5395" s="2" t="s">
        <v>38</v>
      </c>
      <c r="B5395" s="6">
        <v>46028</v>
      </c>
      <c r="C5395" s="2" t="s">
        <v>19</v>
      </c>
      <c r="D5395" s="8">
        <v>-108</v>
      </c>
      <c r="E5395" s="8">
        <f>E5394+(0-108)</f>
        <v>8516676.1199995428</v>
      </c>
    </row>
    <row r="5396" spans="1:5" x14ac:dyDescent="0.25">
      <c r="A5396" s="2" t="s">
        <v>38</v>
      </c>
      <c r="B5396" s="6">
        <v>46028</v>
      </c>
      <c r="C5396" s="2" t="s">
        <v>53</v>
      </c>
      <c r="D5396" s="8">
        <v>-53.75</v>
      </c>
      <c r="E5396" s="8">
        <f>E5395+(0-53.75)</f>
        <v>8516622.3699995428</v>
      </c>
    </row>
    <row r="5397" spans="1:5" x14ac:dyDescent="0.25">
      <c r="A5397" s="2" t="s">
        <v>38</v>
      </c>
      <c r="B5397" s="6">
        <v>46028</v>
      </c>
      <c r="C5397" s="2" t="s">
        <v>53</v>
      </c>
      <c r="D5397" s="8">
        <v>-53.75</v>
      </c>
      <c r="E5397" s="8">
        <f>E5396+(0-53.75)</f>
        <v>8516568.6199995428</v>
      </c>
    </row>
    <row r="5398" spans="1:5" x14ac:dyDescent="0.25">
      <c r="A5398" s="2" t="s">
        <v>38</v>
      </c>
      <c r="B5398" s="6">
        <v>46029</v>
      </c>
      <c r="C5398" s="2" t="s">
        <v>19</v>
      </c>
      <c r="D5398" s="8">
        <v>-180</v>
      </c>
      <c r="E5398" s="8">
        <f>E5397+(0-180)</f>
        <v>8516388.6199995428</v>
      </c>
    </row>
    <row r="5399" spans="1:5" x14ac:dyDescent="0.25">
      <c r="A5399" s="2" t="s">
        <v>38</v>
      </c>
      <c r="B5399" s="6">
        <v>46029</v>
      </c>
      <c r="C5399" s="2" t="s">
        <v>53</v>
      </c>
      <c r="D5399" s="8">
        <v>-53.75</v>
      </c>
      <c r="E5399" s="8">
        <f>E5398+(0-53.75)</f>
        <v>8516334.8699995428</v>
      </c>
    </row>
    <row r="5400" spans="1:5" x14ac:dyDescent="0.25">
      <c r="A5400" s="2" t="s">
        <v>38</v>
      </c>
      <c r="B5400" s="6">
        <v>46030</v>
      </c>
      <c r="C5400" s="2" t="s">
        <v>19</v>
      </c>
      <c r="D5400" s="8">
        <v>-144</v>
      </c>
      <c r="E5400" s="8">
        <f>E5399+(0-144)</f>
        <v>8516190.8699995428</v>
      </c>
    </row>
    <row r="5401" spans="1:5" x14ac:dyDescent="0.25">
      <c r="A5401" s="2" t="s">
        <v>38</v>
      </c>
      <c r="B5401" s="6">
        <v>46031</v>
      </c>
      <c r="C5401" s="2" t="s">
        <v>19</v>
      </c>
      <c r="D5401" s="8">
        <v>-96</v>
      </c>
      <c r="E5401" s="8">
        <f>E5400+(0-96)</f>
        <v>8516094.8699995428</v>
      </c>
    </row>
    <row r="5402" spans="1:5" x14ac:dyDescent="0.25">
      <c r="A5402" s="2" t="s">
        <v>38</v>
      </c>
      <c r="B5402" s="6">
        <v>46034</v>
      </c>
      <c r="C5402" s="2" t="s">
        <v>53</v>
      </c>
      <c r="D5402" s="8">
        <v>-53.75</v>
      </c>
      <c r="E5402" s="8">
        <f>E5401+(0-53.75)</f>
        <v>8516041.1199995428</v>
      </c>
    </row>
    <row r="5403" spans="1:5" x14ac:dyDescent="0.25">
      <c r="A5403" s="2" t="s">
        <v>38</v>
      </c>
      <c r="B5403" s="6">
        <v>46034</v>
      </c>
      <c r="C5403" s="2" t="s">
        <v>53</v>
      </c>
      <c r="D5403" s="8">
        <v>-53.75</v>
      </c>
      <c r="E5403" s="8">
        <f>E5402+(0-53.75)</f>
        <v>8515987.3699995428</v>
      </c>
    </row>
    <row r="5404" spans="1:5" x14ac:dyDescent="0.25">
      <c r="A5404" s="2" t="s">
        <v>38</v>
      </c>
      <c r="B5404" s="6">
        <v>46035</v>
      </c>
      <c r="C5404" s="2" t="s">
        <v>19</v>
      </c>
      <c r="D5404" s="8">
        <v>-48</v>
      </c>
      <c r="E5404" s="8">
        <f>E5403+(0-48)</f>
        <v>8515939.3699995428</v>
      </c>
    </row>
    <row r="5405" spans="1:5" x14ac:dyDescent="0.25">
      <c r="A5405" s="2" t="s">
        <v>38</v>
      </c>
      <c r="B5405" s="6">
        <v>46035</v>
      </c>
      <c r="C5405" s="2" t="s">
        <v>16</v>
      </c>
      <c r="D5405" s="8">
        <v>-50</v>
      </c>
      <c r="E5405" s="8">
        <f>E5404+(0-50)</f>
        <v>8515889.3699995428</v>
      </c>
    </row>
    <row r="5406" spans="1:5" x14ac:dyDescent="0.25">
      <c r="A5406" s="2" t="s">
        <v>38</v>
      </c>
      <c r="B5406" s="6">
        <v>46036</v>
      </c>
      <c r="C5406" s="2" t="s">
        <v>19</v>
      </c>
      <c r="D5406" s="8">
        <v>-108</v>
      </c>
      <c r="E5406" s="8">
        <f>E5405+(0-108)</f>
        <v>8515781.3699995428</v>
      </c>
    </row>
    <row r="5407" spans="1:5" x14ac:dyDescent="0.25">
      <c r="A5407" s="2" t="s">
        <v>38</v>
      </c>
      <c r="B5407" s="6">
        <v>46036</v>
      </c>
      <c r="C5407" s="2" t="s">
        <v>19</v>
      </c>
      <c r="D5407" s="8">
        <v>-216</v>
      </c>
      <c r="E5407" s="8">
        <f>E5406+(0-216)</f>
        <v>8515565.3699995428</v>
      </c>
    </row>
    <row r="5408" spans="1:5" x14ac:dyDescent="0.25">
      <c r="A5408" s="2" t="s">
        <v>38</v>
      </c>
      <c r="B5408" s="6">
        <v>46037</v>
      </c>
      <c r="C5408" s="2" t="s">
        <v>19</v>
      </c>
      <c r="D5408" s="8">
        <v>-192</v>
      </c>
      <c r="E5408" s="8">
        <f>E5407+(0-192)</f>
        <v>8515373.3699995428</v>
      </c>
    </row>
    <row r="5409" spans="1:5" x14ac:dyDescent="0.25">
      <c r="A5409" s="2" t="s">
        <v>38</v>
      </c>
      <c r="B5409" s="6">
        <v>46038</v>
      </c>
      <c r="C5409" s="2" t="s">
        <v>53</v>
      </c>
      <c r="D5409" s="8">
        <v>-660</v>
      </c>
      <c r="E5409" s="8">
        <f>E5408+(0-660)</f>
        <v>8514713.3699995428</v>
      </c>
    </row>
    <row r="5410" spans="1:5" x14ac:dyDescent="0.25">
      <c r="A5410" s="2" t="s">
        <v>38</v>
      </c>
      <c r="B5410" s="6">
        <v>46038</v>
      </c>
      <c r="C5410" s="2" t="s">
        <v>53</v>
      </c>
      <c r="D5410" s="8">
        <v>-53.75</v>
      </c>
      <c r="E5410" s="8">
        <f>E5409+(0-53.75)</f>
        <v>8514659.6199995428</v>
      </c>
    </row>
    <row r="5411" spans="1:5" x14ac:dyDescent="0.25">
      <c r="A5411" s="2" t="s">
        <v>38</v>
      </c>
      <c r="B5411" s="6">
        <v>46041</v>
      </c>
      <c r="C5411" s="2" t="s">
        <v>19</v>
      </c>
      <c r="D5411" s="8">
        <v>-72</v>
      </c>
      <c r="E5411" s="8">
        <f>E5410+(0-72)</f>
        <v>8514587.6199995428</v>
      </c>
    </row>
    <row r="5412" spans="1:5" x14ac:dyDescent="0.25">
      <c r="A5412" s="2" t="s">
        <v>38</v>
      </c>
      <c r="B5412" s="6">
        <v>46041</v>
      </c>
      <c r="C5412" s="2" t="s">
        <v>19</v>
      </c>
      <c r="D5412" s="8">
        <v>-132</v>
      </c>
      <c r="E5412" s="8">
        <f>E5411+(0-132)</f>
        <v>8514455.6199995428</v>
      </c>
    </row>
    <row r="5413" spans="1:5" x14ac:dyDescent="0.25">
      <c r="A5413" s="2" t="s">
        <v>38</v>
      </c>
      <c r="B5413" s="6">
        <v>46041</v>
      </c>
      <c r="C5413" s="2" t="s">
        <v>19</v>
      </c>
      <c r="D5413" s="8">
        <v>-12</v>
      </c>
      <c r="E5413" s="8">
        <f>E5412+(0-12)</f>
        <v>8514443.6199995428</v>
      </c>
    </row>
    <row r="5414" spans="1:5" x14ac:dyDescent="0.25">
      <c r="A5414" s="2" t="s">
        <v>38</v>
      </c>
      <c r="B5414" s="6">
        <v>46041</v>
      </c>
      <c r="C5414" s="2" t="s">
        <v>19</v>
      </c>
      <c r="D5414" s="8">
        <v>-24</v>
      </c>
      <c r="E5414" s="8">
        <f>E5413+(0-24)</f>
        <v>8514419.6199995428</v>
      </c>
    </row>
    <row r="5415" spans="1:5" x14ac:dyDescent="0.25">
      <c r="A5415" s="2" t="s">
        <v>38</v>
      </c>
      <c r="B5415" s="6">
        <v>46041</v>
      </c>
      <c r="C5415" s="2" t="s">
        <v>53</v>
      </c>
      <c r="D5415" s="8">
        <v>-53.75</v>
      </c>
      <c r="E5415" s="8">
        <f>E5414+(0-53.75)</f>
        <v>8514365.8699995428</v>
      </c>
    </row>
    <row r="5416" spans="1:5" x14ac:dyDescent="0.25">
      <c r="A5416" s="2" t="s">
        <v>38</v>
      </c>
      <c r="B5416" s="6">
        <v>46041</v>
      </c>
      <c r="C5416" s="2" t="s">
        <v>16</v>
      </c>
      <c r="D5416" s="8">
        <v>-50</v>
      </c>
      <c r="E5416" s="8">
        <f>E5415+(0-50)</f>
        <v>8514315.8699995428</v>
      </c>
    </row>
    <row r="5417" spans="1:5" x14ac:dyDescent="0.25">
      <c r="A5417" s="2" t="s">
        <v>38</v>
      </c>
      <c r="B5417" s="6">
        <v>46041</v>
      </c>
      <c r="C5417" s="2" t="s">
        <v>16</v>
      </c>
      <c r="D5417" s="8">
        <v>-50</v>
      </c>
      <c r="E5417" s="8">
        <f>E5416+(0-50)</f>
        <v>8514265.8699995428</v>
      </c>
    </row>
    <row r="5418" spans="1:5" x14ac:dyDescent="0.25">
      <c r="A5418" s="2" t="s">
        <v>38</v>
      </c>
      <c r="B5418" s="6">
        <v>46041</v>
      </c>
      <c r="C5418" s="2" t="s">
        <v>16</v>
      </c>
      <c r="D5418" s="8">
        <v>-50</v>
      </c>
      <c r="E5418" s="8">
        <f>E5417+(0-50)</f>
        <v>8514215.8699995428</v>
      </c>
    </row>
    <row r="5419" spans="1:5" x14ac:dyDescent="0.25">
      <c r="A5419" s="2" t="s">
        <v>38</v>
      </c>
      <c r="B5419" s="6">
        <v>46041</v>
      </c>
      <c r="C5419" s="2" t="s">
        <v>16</v>
      </c>
      <c r="D5419" s="8">
        <v>-50</v>
      </c>
      <c r="E5419" s="8">
        <f>E5418+(0-50)</f>
        <v>8514165.8699995428</v>
      </c>
    </row>
    <row r="5420" spans="1:5" x14ac:dyDescent="0.25">
      <c r="A5420" s="2" t="s">
        <v>38</v>
      </c>
      <c r="B5420" s="6">
        <v>46041</v>
      </c>
      <c r="C5420" s="2" t="s">
        <v>16</v>
      </c>
      <c r="D5420" s="8">
        <v>-50</v>
      </c>
      <c r="E5420" s="8">
        <f>E5419+(0-50)</f>
        <v>8514115.8699995428</v>
      </c>
    </row>
    <row r="5421" spans="1:5" x14ac:dyDescent="0.25">
      <c r="A5421" s="2" t="s">
        <v>38</v>
      </c>
      <c r="B5421" s="6">
        <v>46041</v>
      </c>
      <c r="C5421" s="2" t="s">
        <v>16</v>
      </c>
      <c r="D5421" s="8">
        <v>-50</v>
      </c>
      <c r="E5421" s="8">
        <f>E5420+(0-50)</f>
        <v>8514065.8699995428</v>
      </c>
    </row>
    <row r="5422" spans="1:5" x14ac:dyDescent="0.25">
      <c r="A5422" s="2" t="s">
        <v>38</v>
      </c>
      <c r="B5422" s="6">
        <v>46042</v>
      </c>
      <c r="C5422" s="2" t="s">
        <v>19</v>
      </c>
      <c r="D5422" s="8">
        <v>-132</v>
      </c>
      <c r="E5422" s="8">
        <f>E5421+(0-132)</f>
        <v>8513933.8699995428</v>
      </c>
    </row>
    <row r="5423" spans="1:5" x14ac:dyDescent="0.25">
      <c r="A5423" s="2" t="s">
        <v>38</v>
      </c>
      <c r="B5423" s="6">
        <v>46042</v>
      </c>
      <c r="C5423" s="2" t="s">
        <v>53</v>
      </c>
      <c r="D5423" s="8">
        <v>-53.75</v>
      </c>
      <c r="E5423" s="8">
        <f>E5422+(0-53.75)</f>
        <v>8513880.1199995428</v>
      </c>
    </row>
    <row r="5424" spans="1:5" x14ac:dyDescent="0.25">
      <c r="A5424" s="2" t="s">
        <v>38</v>
      </c>
      <c r="B5424" s="6">
        <v>46042</v>
      </c>
      <c r="C5424" s="2" t="s">
        <v>16</v>
      </c>
      <c r="D5424" s="8">
        <v>-50</v>
      </c>
      <c r="E5424" s="8">
        <f>E5423+(0-50)</f>
        <v>8513830.1199995428</v>
      </c>
    </row>
    <row r="5425" spans="1:5" x14ac:dyDescent="0.25">
      <c r="A5425" s="2" t="s">
        <v>38</v>
      </c>
      <c r="B5425" s="6">
        <v>46042</v>
      </c>
      <c r="C5425" s="2" t="s">
        <v>16</v>
      </c>
      <c r="D5425" s="8">
        <v>-50</v>
      </c>
      <c r="E5425" s="8">
        <f>E5424+(0-50)</f>
        <v>8513780.1199995428</v>
      </c>
    </row>
    <row r="5426" spans="1:5" x14ac:dyDescent="0.25">
      <c r="A5426" s="2" t="s">
        <v>38</v>
      </c>
      <c r="B5426" s="6">
        <v>46043</v>
      </c>
      <c r="C5426" s="2" t="s">
        <v>19</v>
      </c>
      <c r="D5426" s="8">
        <v>-216</v>
      </c>
      <c r="E5426" s="8">
        <f>E5425+(0-216)</f>
        <v>8513564.1199995428</v>
      </c>
    </row>
    <row r="5427" spans="1:5" x14ac:dyDescent="0.25">
      <c r="A5427" s="2" t="s">
        <v>38</v>
      </c>
      <c r="B5427" s="6">
        <v>46043</v>
      </c>
      <c r="C5427" s="2" t="s">
        <v>53</v>
      </c>
      <c r="D5427" s="8">
        <v>-26.88</v>
      </c>
      <c r="E5427" s="8">
        <f>E5426+(0-26.88)</f>
        <v>8513537.239999542</v>
      </c>
    </row>
    <row r="5428" spans="1:5" x14ac:dyDescent="0.25">
      <c r="A5428" s="2" t="s">
        <v>38</v>
      </c>
      <c r="B5428" s="6">
        <v>46043</v>
      </c>
      <c r="C5428" s="2" t="s">
        <v>53</v>
      </c>
      <c r="D5428" s="8">
        <v>-53.75</v>
      </c>
      <c r="E5428" s="8">
        <f>E5427+(0-53.75)</f>
        <v>8513483.489999542</v>
      </c>
    </row>
    <row r="5429" spans="1:5" x14ac:dyDescent="0.25">
      <c r="A5429" s="2" t="s">
        <v>38</v>
      </c>
      <c r="B5429" s="6">
        <v>46043</v>
      </c>
      <c r="C5429" s="2" t="s">
        <v>16</v>
      </c>
      <c r="D5429" s="8">
        <v>-50</v>
      </c>
      <c r="E5429" s="8">
        <f>E5428+(0-50)</f>
        <v>8513433.489999542</v>
      </c>
    </row>
    <row r="5430" spans="1:5" x14ac:dyDescent="0.25">
      <c r="A5430" s="2" t="s">
        <v>38</v>
      </c>
      <c r="B5430" s="6">
        <v>46043</v>
      </c>
      <c r="C5430" s="2" t="s">
        <v>16</v>
      </c>
      <c r="D5430" s="8">
        <v>-50</v>
      </c>
      <c r="E5430" s="8">
        <f>E5429+(0-50)</f>
        <v>8513383.489999542</v>
      </c>
    </row>
    <row r="5431" spans="1:5" x14ac:dyDescent="0.25">
      <c r="A5431" s="2" t="s">
        <v>38</v>
      </c>
      <c r="B5431" s="6">
        <v>46044</v>
      </c>
      <c r="C5431" s="2" t="s">
        <v>19</v>
      </c>
      <c r="D5431" s="8">
        <v>-156</v>
      </c>
      <c r="E5431" s="8">
        <f>E5430+(0-156)</f>
        <v>8513227.489999542</v>
      </c>
    </row>
    <row r="5432" spans="1:5" x14ac:dyDescent="0.25">
      <c r="A5432" s="2" t="s">
        <v>38</v>
      </c>
      <c r="B5432" s="6">
        <v>46044</v>
      </c>
      <c r="C5432" s="2" t="s">
        <v>53</v>
      </c>
      <c r="D5432" s="8">
        <v>-26.88</v>
      </c>
      <c r="E5432" s="8">
        <f>E5431+(0-26.88)</f>
        <v>8513200.6099995412</v>
      </c>
    </row>
    <row r="5433" spans="1:5" x14ac:dyDescent="0.25">
      <c r="A5433" s="2" t="s">
        <v>38</v>
      </c>
      <c r="B5433" s="6">
        <v>46044</v>
      </c>
      <c r="C5433" s="2" t="s">
        <v>16</v>
      </c>
      <c r="D5433" s="8">
        <v>-50</v>
      </c>
      <c r="E5433" s="8">
        <f>E5432+(0-50)</f>
        <v>8513150.6099995412</v>
      </c>
    </row>
    <row r="5434" spans="1:5" x14ac:dyDescent="0.25">
      <c r="A5434" s="2" t="s">
        <v>38</v>
      </c>
      <c r="B5434" s="6">
        <v>46045</v>
      </c>
      <c r="C5434" s="2" t="s">
        <v>53</v>
      </c>
      <c r="D5434" s="8">
        <v>-26.88</v>
      </c>
      <c r="E5434" s="8">
        <f>E5433+(0-26.88)</f>
        <v>8513123.7299995404</v>
      </c>
    </row>
    <row r="5435" spans="1:5" x14ac:dyDescent="0.25">
      <c r="A5435" s="2" t="s">
        <v>38</v>
      </c>
      <c r="B5435" s="6">
        <v>46045</v>
      </c>
      <c r="C5435" s="2" t="s">
        <v>53</v>
      </c>
      <c r="D5435" s="8">
        <v>-53.75</v>
      </c>
      <c r="E5435" s="8">
        <f>E5434+(0-53.75)</f>
        <v>8513069.9799995404</v>
      </c>
    </row>
    <row r="5436" spans="1:5" x14ac:dyDescent="0.25">
      <c r="A5436" s="2" t="s">
        <v>38</v>
      </c>
      <c r="B5436" s="6">
        <v>46045</v>
      </c>
      <c r="C5436" s="2" t="s">
        <v>16</v>
      </c>
      <c r="D5436" s="8">
        <v>-50</v>
      </c>
      <c r="E5436" s="8">
        <f>E5435+(0-50)</f>
        <v>8513019.9799995404</v>
      </c>
    </row>
    <row r="5437" spans="1:5" x14ac:dyDescent="0.25">
      <c r="A5437" s="2" t="s">
        <v>38</v>
      </c>
      <c r="B5437" s="6">
        <v>46045</v>
      </c>
      <c r="C5437" s="2" t="s">
        <v>16</v>
      </c>
      <c r="D5437" s="8">
        <v>-50</v>
      </c>
      <c r="E5437" s="8">
        <f>E5436+(0-50)</f>
        <v>8512969.9799995404</v>
      </c>
    </row>
    <row r="5438" spans="1:5" x14ac:dyDescent="0.25">
      <c r="A5438" s="2" t="s">
        <v>38</v>
      </c>
      <c r="B5438" s="6">
        <v>46048</v>
      </c>
      <c r="C5438" s="2" t="s">
        <v>53</v>
      </c>
      <c r="D5438" s="8">
        <v>-26.88</v>
      </c>
      <c r="E5438" s="8">
        <f>E5437+(0-26.88)</f>
        <v>8512943.0999995396</v>
      </c>
    </row>
    <row r="5439" spans="1:5" x14ac:dyDescent="0.25">
      <c r="A5439" s="2" t="s">
        <v>38</v>
      </c>
      <c r="B5439" s="6">
        <v>46048</v>
      </c>
      <c r="C5439" s="2" t="s">
        <v>16</v>
      </c>
      <c r="D5439" s="8">
        <v>-50</v>
      </c>
      <c r="E5439" s="8">
        <f>E5438+(0-50)</f>
        <v>8512893.0999995396</v>
      </c>
    </row>
    <row r="5440" spans="1:5" x14ac:dyDescent="0.25">
      <c r="A5440" s="2" t="s">
        <v>38</v>
      </c>
      <c r="B5440" s="6">
        <v>46049</v>
      </c>
      <c r="C5440" s="2" t="s">
        <v>16</v>
      </c>
      <c r="D5440" s="8">
        <v>-26.88</v>
      </c>
      <c r="E5440" s="8">
        <f>E5439+(0-26.88)</f>
        <v>8512866.2199995387</v>
      </c>
    </row>
    <row r="5441" spans="1:5" x14ac:dyDescent="0.25">
      <c r="A5441" s="2" t="s">
        <v>38</v>
      </c>
      <c r="B5441" s="6">
        <v>46049</v>
      </c>
      <c r="C5441" s="2" t="s">
        <v>19</v>
      </c>
      <c r="D5441" s="8">
        <v>-180</v>
      </c>
      <c r="E5441" s="8">
        <f>E5440+(0-180)</f>
        <v>8512686.2199995387</v>
      </c>
    </row>
    <row r="5442" spans="1:5" x14ac:dyDescent="0.25">
      <c r="A5442" s="2" t="s">
        <v>38</v>
      </c>
      <c r="B5442" s="6">
        <v>46049</v>
      </c>
      <c r="C5442" s="2" t="s">
        <v>19</v>
      </c>
      <c r="D5442" s="8">
        <v>-240</v>
      </c>
      <c r="E5442" s="8">
        <f>E5441+(0-240)</f>
        <v>8512446.2199995387</v>
      </c>
    </row>
    <row r="5443" spans="1:5" x14ac:dyDescent="0.25">
      <c r="A5443" s="2" t="s">
        <v>38</v>
      </c>
      <c r="B5443" s="6">
        <v>46049</v>
      </c>
      <c r="C5443" s="2" t="s">
        <v>19</v>
      </c>
      <c r="D5443" s="8">
        <v>-36</v>
      </c>
      <c r="E5443" s="8">
        <f>E5442+(0-36)</f>
        <v>8512410.2199995387</v>
      </c>
    </row>
    <row r="5444" spans="1:5" x14ac:dyDescent="0.25">
      <c r="A5444" s="2" t="s">
        <v>38</v>
      </c>
      <c r="B5444" s="6">
        <v>46049</v>
      </c>
      <c r="C5444" s="2" t="s">
        <v>19</v>
      </c>
      <c r="D5444" s="8">
        <v>-96</v>
      </c>
      <c r="E5444" s="8">
        <f>E5443+(0-96)</f>
        <v>8512314.2199995387</v>
      </c>
    </row>
    <row r="5445" spans="1:5" x14ac:dyDescent="0.25">
      <c r="A5445" s="2" t="s">
        <v>38</v>
      </c>
      <c r="B5445" s="6">
        <v>46049</v>
      </c>
      <c r="C5445" s="2" t="s">
        <v>16</v>
      </c>
      <c r="D5445" s="8">
        <v>-50</v>
      </c>
      <c r="E5445" s="8">
        <f>E5444+(0-50)</f>
        <v>8512264.2199995387</v>
      </c>
    </row>
    <row r="5446" spans="1:5" x14ac:dyDescent="0.25">
      <c r="A5446" s="2" t="s">
        <v>38</v>
      </c>
      <c r="B5446" s="6">
        <v>46050</v>
      </c>
      <c r="C5446" s="2" t="s">
        <v>19</v>
      </c>
      <c r="D5446" s="8">
        <v>-168</v>
      </c>
      <c r="E5446" s="8">
        <f>E5445+(0-168)</f>
        <v>8512096.2199995387</v>
      </c>
    </row>
    <row r="5447" spans="1:5" x14ac:dyDescent="0.25">
      <c r="A5447" s="2" t="s">
        <v>38</v>
      </c>
      <c r="B5447" s="6">
        <v>46050</v>
      </c>
      <c r="C5447" s="2" t="s">
        <v>53</v>
      </c>
      <c r="D5447" s="8">
        <v>-53.75</v>
      </c>
      <c r="E5447" s="8">
        <f>E5446+(0-53.75)</f>
        <v>8512042.4699995387</v>
      </c>
    </row>
    <row r="5448" spans="1:5" x14ac:dyDescent="0.25">
      <c r="A5448" s="2" t="s">
        <v>38</v>
      </c>
      <c r="B5448" s="6">
        <v>46050</v>
      </c>
      <c r="C5448" s="2" t="s">
        <v>16</v>
      </c>
      <c r="D5448" s="8">
        <v>-50</v>
      </c>
      <c r="E5448" s="8">
        <f>E5447+(0-50)</f>
        <v>8511992.4699995387</v>
      </c>
    </row>
    <row r="5449" spans="1:5" x14ac:dyDescent="0.25">
      <c r="A5449" s="2" t="s">
        <v>38</v>
      </c>
      <c r="B5449" s="6">
        <v>46051</v>
      </c>
      <c r="C5449" s="2" t="s">
        <v>19</v>
      </c>
      <c r="D5449" s="8">
        <v>-204</v>
      </c>
      <c r="E5449" s="8">
        <f>E5448+(0-204)</f>
        <v>8511788.4699995387</v>
      </c>
    </row>
    <row r="5450" spans="1:5" x14ac:dyDescent="0.25">
      <c r="A5450" s="2" t="s">
        <v>38</v>
      </c>
      <c r="B5450" s="6">
        <v>46052</v>
      </c>
      <c r="C5450" s="2" t="s">
        <v>53</v>
      </c>
      <c r="D5450" s="8">
        <v>-53.75</v>
      </c>
      <c r="E5450" s="8">
        <f>E5449+(0-53.75)</f>
        <v>8511734.7199995387</v>
      </c>
    </row>
    <row r="5451" spans="1:5" x14ac:dyDescent="0.25">
      <c r="A5451" s="2" t="s">
        <v>38</v>
      </c>
      <c r="B5451" s="6">
        <v>46052</v>
      </c>
      <c r="C5451" s="2" t="s">
        <v>53</v>
      </c>
      <c r="D5451" s="8">
        <v>-53.75</v>
      </c>
      <c r="E5451" s="8">
        <f>E5450+(0-53.75)</f>
        <v>8511680.9699995387</v>
      </c>
    </row>
    <row r="5452" spans="1:5" x14ac:dyDescent="0.25">
      <c r="A5452" s="2" t="s">
        <v>38</v>
      </c>
      <c r="B5452" s="6">
        <v>46052</v>
      </c>
      <c r="C5452" s="2" t="s">
        <v>233</v>
      </c>
      <c r="D5452" s="8">
        <v>-1397.5</v>
      </c>
      <c r="E5452" s="8">
        <f>E5451+(0-1397.5)</f>
        <v>8510283.4699995387</v>
      </c>
    </row>
    <row r="5453" spans="1:5" x14ac:dyDescent="0.25">
      <c r="A5453" s="2" t="s">
        <v>38</v>
      </c>
      <c r="B5453" s="6">
        <v>46052</v>
      </c>
      <c r="C5453" s="2" t="s">
        <v>16</v>
      </c>
      <c r="D5453" s="8">
        <v>-50</v>
      </c>
      <c r="E5453" s="8">
        <f>E5452+(0-50)</f>
        <v>8510233.4699995387</v>
      </c>
    </row>
    <row r="5454" spans="1:5" x14ac:dyDescent="0.25">
      <c r="A5454" s="2" t="s">
        <v>38</v>
      </c>
      <c r="B5454" s="6">
        <v>46052</v>
      </c>
      <c r="C5454" s="2" t="s">
        <v>16</v>
      </c>
      <c r="D5454" s="8">
        <v>-50</v>
      </c>
      <c r="E5454" s="8">
        <f>E5453+(0-50)</f>
        <v>8510183.4699995387</v>
      </c>
    </row>
    <row r="5455" spans="1:5" x14ac:dyDescent="0.25">
      <c r="A5455" s="2" t="s">
        <v>38</v>
      </c>
      <c r="B5455" s="6">
        <v>46052</v>
      </c>
      <c r="C5455" s="2" t="s">
        <v>16</v>
      </c>
      <c r="D5455" s="8">
        <v>-50</v>
      </c>
      <c r="E5455" s="8">
        <f>E5454+(0-50)</f>
        <v>8510133.4699995387</v>
      </c>
    </row>
    <row r="5456" spans="1:5" x14ac:dyDescent="0.25">
      <c r="A5456" s="2" t="s">
        <v>38</v>
      </c>
      <c r="B5456" s="6">
        <v>46052</v>
      </c>
      <c r="C5456" s="2" t="s">
        <v>16</v>
      </c>
      <c r="D5456" s="8">
        <v>-50</v>
      </c>
      <c r="E5456" s="8">
        <f>E5455+(0-50)</f>
        <v>8510083.4699995387</v>
      </c>
    </row>
    <row r="5457" spans="1:5" x14ac:dyDescent="0.25">
      <c r="A5457" s="2" t="s">
        <v>38</v>
      </c>
      <c r="B5457" s="6">
        <v>46052</v>
      </c>
      <c r="C5457" s="2" t="s">
        <v>16</v>
      </c>
      <c r="D5457" s="8">
        <v>-50</v>
      </c>
      <c r="E5457" s="8">
        <f>E5456+(0-50)</f>
        <v>8510033.4699995387</v>
      </c>
    </row>
    <row r="5458" spans="1:5" x14ac:dyDescent="0.25">
      <c r="A5458" s="2" t="s">
        <v>38</v>
      </c>
      <c r="B5458" s="6">
        <v>46052</v>
      </c>
      <c r="C5458" s="2" t="s">
        <v>16</v>
      </c>
      <c r="D5458" s="8">
        <v>-50</v>
      </c>
      <c r="E5458" s="8">
        <f>E5457+(0-50)</f>
        <v>8509983.4699995387</v>
      </c>
    </row>
    <row r="5459" spans="1:5" x14ac:dyDescent="0.25">
      <c r="A5459" s="2" t="s">
        <v>38</v>
      </c>
      <c r="B5459" s="6">
        <v>46052</v>
      </c>
      <c r="C5459" s="2" t="s">
        <v>16</v>
      </c>
      <c r="D5459" s="8">
        <v>-50</v>
      </c>
      <c r="E5459" s="8">
        <f>E5458+(0-50)</f>
        <v>8509933.4699995387</v>
      </c>
    </row>
    <row r="5460" spans="1:5" x14ac:dyDescent="0.25">
      <c r="A5460" s="2" t="s">
        <v>38</v>
      </c>
      <c r="B5460" s="6">
        <v>46052</v>
      </c>
      <c r="C5460" s="2" t="s">
        <v>16</v>
      </c>
      <c r="D5460" s="8">
        <v>-50</v>
      </c>
      <c r="E5460" s="8">
        <f>E5459+(0-50)</f>
        <v>8509883.4699995387</v>
      </c>
    </row>
    <row r="5461" spans="1:5" x14ac:dyDescent="0.25">
      <c r="A5461" s="2" t="s">
        <v>38</v>
      </c>
      <c r="B5461" s="6">
        <v>46052</v>
      </c>
      <c r="C5461" s="2" t="s">
        <v>53</v>
      </c>
      <c r="D5461" s="8">
        <v>-26.88</v>
      </c>
      <c r="E5461" s="8">
        <f>E5460+(0-26.88)</f>
        <v>8509856.5899995379</v>
      </c>
    </row>
    <row r="5462" spans="1:5" x14ac:dyDescent="0.25">
      <c r="A5462" s="2" t="s">
        <v>38</v>
      </c>
      <c r="B5462" s="6">
        <v>46052</v>
      </c>
      <c r="C5462" s="2" t="s">
        <v>53</v>
      </c>
      <c r="D5462" s="8">
        <v>-53.75</v>
      </c>
      <c r="E5462" s="8">
        <f>E5461+(0-53.75)</f>
        <v>8509802.8399995379</v>
      </c>
    </row>
    <row r="5463" spans="1:5" x14ac:dyDescent="0.25">
      <c r="A5463" s="2" t="s">
        <v>38</v>
      </c>
      <c r="B5463" s="6">
        <v>46052</v>
      </c>
      <c r="C5463" s="2" t="s">
        <v>53</v>
      </c>
      <c r="D5463" s="8">
        <v>-53.75</v>
      </c>
      <c r="E5463" s="8">
        <f>E5462+(0-53.75)</f>
        <v>8509749.0899995379</v>
      </c>
    </row>
    <row r="5464" spans="1:5" x14ac:dyDescent="0.25">
      <c r="A5464" s="2" t="s">
        <v>38</v>
      </c>
      <c r="B5464" s="6">
        <v>46052</v>
      </c>
      <c r="C5464" s="2" t="s">
        <v>53</v>
      </c>
      <c r="D5464" s="8">
        <v>-53.75</v>
      </c>
      <c r="E5464" s="8">
        <f>E5463+(0-53.75)</f>
        <v>8509695.3399995379</v>
      </c>
    </row>
    <row r="5465" spans="1:5" x14ac:dyDescent="0.25">
      <c r="A5465" s="2" t="s">
        <v>38</v>
      </c>
      <c r="B5465" s="6">
        <v>46052</v>
      </c>
      <c r="C5465" s="2" t="s">
        <v>53</v>
      </c>
      <c r="D5465" s="8">
        <v>-53.75</v>
      </c>
      <c r="E5465" s="8">
        <f>E5464+(0-53.75)</f>
        <v>8509641.5899995379</v>
      </c>
    </row>
    <row r="5466" spans="1:5" x14ac:dyDescent="0.25">
      <c r="A5466" s="2" t="s">
        <v>38</v>
      </c>
      <c r="B5466" s="6">
        <v>46052</v>
      </c>
      <c r="C5466" s="2" t="s">
        <v>53</v>
      </c>
      <c r="D5466" s="8">
        <v>-53.75</v>
      </c>
      <c r="E5466" s="8">
        <f>E5465+(0-53.75)</f>
        <v>8509587.8399995379</v>
      </c>
    </row>
    <row r="5467" spans="1:5" x14ac:dyDescent="0.25">
      <c r="A5467" s="2" t="s">
        <v>38</v>
      </c>
      <c r="B5467" s="6">
        <v>46052</v>
      </c>
      <c r="C5467" s="2" t="s">
        <v>53</v>
      </c>
      <c r="D5467" s="8">
        <v>-53.75</v>
      </c>
      <c r="E5467" s="8">
        <f>E5466+(0-53.75)</f>
        <v>8509534.0899995379</v>
      </c>
    </row>
    <row r="5468" spans="1:5" x14ac:dyDescent="0.25">
      <c r="A5468" s="2" t="s">
        <v>38</v>
      </c>
      <c r="B5468" s="6">
        <v>46052</v>
      </c>
      <c r="C5468" s="2" t="s">
        <v>16</v>
      </c>
      <c r="D5468" s="8">
        <v>-50</v>
      </c>
      <c r="E5468" s="8">
        <f>E5467+(0-50)</f>
        <v>8509484.0899995379</v>
      </c>
    </row>
    <row r="5469" spans="1:5" x14ac:dyDescent="0.25">
      <c r="A5469" s="2" t="s">
        <v>38</v>
      </c>
      <c r="B5469" s="6">
        <v>46052</v>
      </c>
      <c r="C5469" s="2" t="s">
        <v>16</v>
      </c>
      <c r="D5469" s="8">
        <v>-50</v>
      </c>
      <c r="E5469" s="8">
        <f>E5468+(0-50)</f>
        <v>8509434.0899995379</v>
      </c>
    </row>
    <row r="5470" spans="1:5" x14ac:dyDescent="0.25">
      <c r="A5470" s="2" t="s">
        <v>38</v>
      </c>
      <c r="B5470" s="6">
        <v>46052</v>
      </c>
      <c r="C5470" s="2" t="s">
        <v>16</v>
      </c>
      <c r="D5470" s="8">
        <v>-50</v>
      </c>
      <c r="E5470" s="8">
        <f>E5469+(0-50)</f>
        <v>8509384.0899995379</v>
      </c>
    </row>
    <row r="5471" spans="1:5" x14ac:dyDescent="0.25">
      <c r="A5471" s="2" t="s">
        <v>38</v>
      </c>
      <c r="B5471" s="6">
        <v>46052</v>
      </c>
      <c r="C5471" s="2" t="s">
        <v>16</v>
      </c>
      <c r="D5471" s="8">
        <v>-50</v>
      </c>
      <c r="E5471" s="8">
        <f>E5470+(0-50)</f>
        <v>8509334.0899995379</v>
      </c>
    </row>
    <row r="5472" spans="1:5" x14ac:dyDescent="0.25">
      <c r="A5472" s="2" t="s">
        <v>38</v>
      </c>
      <c r="B5472" s="6">
        <v>46052</v>
      </c>
      <c r="C5472" s="2" t="s">
        <v>16</v>
      </c>
      <c r="D5472" s="8">
        <v>-50</v>
      </c>
      <c r="E5472" s="8">
        <f>E5471+(0-50)</f>
        <v>8509284.0899995379</v>
      </c>
    </row>
    <row r="5473" spans="1:5" x14ac:dyDescent="0.25">
      <c r="A5473" s="2" t="s">
        <v>38</v>
      </c>
      <c r="B5473" s="6">
        <v>46052</v>
      </c>
      <c r="C5473" s="2" t="s">
        <v>16</v>
      </c>
      <c r="D5473" s="8">
        <v>-50</v>
      </c>
      <c r="E5473" s="8">
        <f>E5472+(0-50)</f>
        <v>8509234.0899995379</v>
      </c>
    </row>
    <row r="5474" spans="1:5" x14ac:dyDescent="0.25">
      <c r="A5474" s="2" t="s">
        <v>38</v>
      </c>
      <c r="B5474" s="6">
        <v>46052</v>
      </c>
      <c r="C5474" s="2" t="s">
        <v>16</v>
      </c>
      <c r="D5474" s="8">
        <v>-50</v>
      </c>
      <c r="E5474" s="8">
        <f>E5473+(0-50)</f>
        <v>8509184.0899995379</v>
      </c>
    </row>
    <row r="5475" spans="1:5" x14ac:dyDescent="0.25">
      <c r="A5475" s="2" t="s">
        <v>38</v>
      </c>
      <c r="B5475" s="6">
        <v>46052</v>
      </c>
      <c r="C5475" s="2" t="s">
        <v>16</v>
      </c>
      <c r="D5475" s="8">
        <v>-50</v>
      </c>
      <c r="E5475" s="8">
        <f>E5474+(0-50)</f>
        <v>8509134.0899995379</v>
      </c>
    </row>
    <row r="5476" spans="1:5" x14ac:dyDescent="0.25">
      <c r="A5476" s="2" t="s">
        <v>38</v>
      </c>
      <c r="B5476" s="6">
        <v>46052</v>
      </c>
      <c r="C5476" s="2" t="s">
        <v>16</v>
      </c>
      <c r="D5476" s="8">
        <v>-50</v>
      </c>
      <c r="E5476" s="8">
        <f>E5475+(0-50)</f>
        <v>8509084.0899995379</v>
      </c>
    </row>
    <row r="5477" spans="1:5" x14ac:dyDescent="0.25">
      <c r="A5477" s="2" t="s">
        <v>38</v>
      </c>
      <c r="B5477" s="6">
        <v>46055</v>
      </c>
      <c r="C5477" s="2" t="s">
        <v>53</v>
      </c>
      <c r="D5477" s="8">
        <v>-53.75</v>
      </c>
      <c r="E5477" s="8">
        <f>E5476+(0-53.75)</f>
        <v>8509030.3399995379</v>
      </c>
    </row>
    <row r="5478" spans="1:5" x14ac:dyDescent="0.25">
      <c r="A5478" s="2" t="s">
        <v>38</v>
      </c>
      <c r="B5478" s="6">
        <v>46055</v>
      </c>
      <c r="C5478" s="2" t="s">
        <v>19</v>
      </c>
      <c r="D5478" s="8">
        <v>-204</v>
      </c>
      <c r="E5478" s="8">
        <f>E5477+(0-204)</f>
        <v>8508826.3399995379</v>
      </c>
    </row>
    <row r="5479" spans="1:5" x14ac:dyDescent="0.25">
      <c r="A5479" s="2" t="s">
        <v>38</v>
      </c>
      <c r="B5479" s="6">
        <v>46055</v>
      </c>
      <c r="C5479" s="2" t="s">
        <v>19</v>
      </c>
      <c r="D5479" s="8">
        <v>-444</v>
      </c>
      <c r="E5479" s="8">
        <f>E5478+(0-444)</f>
        <v>8508382.3399995379</v>
      </c>
    </row>
    <row r="5480" spans="1:5" x14ac:dyDescent="0.25">
      <c r="A5480" s="2" t="s">
        <v>38</v>
      </c>
      <c r="B5480" s="6">
        <v>46055</v>
      </c>
      <c r="C5480" s="2" t="s">
        <v>53</v>
      </c>
      <c r="D5480" s="8">
        <v>-53.75</v>
      </c>
      <c r="E5480" s="8">
        <f>E5479+(0-53.75)</f>
        <v>8508328.5899995379</v>
      </c>
    </row>
    <row r="5481" spans="1:5" x14ac:dyDescent="0.25">
      <c r="A5481" s="2" t="s">
        <v>38</v>
      </c>
      <c r="B5481" s="6">
        <v>46055</v>
      </c>
      <c r="C5481" s="2" t="s">
        <v>19</v>
      </c>
      <c r="D5481" s="8">
        <v>-36</v>
      </c>
      <c r="E5481" s="8">
        <f>E5480+(0-36)</f>
        <v>8508292.5899995379</v>
      </c>
    </row>
    <row r="5482" spans="1:5" x14ac:dyDescent="0.25">
      <c r="A5482" s="2" t="s">
        <v>38</v>
      </c>
      <c r="B5482" s="6">
        <v>46055</v>
      </c>
      <c r="C5482" s="2" t="s">
        <v>19</v>
      </c>
      <c r="D5482" s="8">
        <v>-12</v>
      </c>
      <c r="E5482" s="8">
        <f>E5481+(0-12)</f>
        <v>8508280.5899995379</v>
      </c>
    </row>
    <row r="5483" spans="1:5" x14ac:dyDescent="0.25">
      <c r="A5483" s="2" t="s">
        <v>38</v>
      </c>
      <c r="B5483" s="6">
        <v>46055</v>
      </c>
      <c r="C5483" s="2" t="s">
        <v>16</v>
      </c>
      <c r="D5483" s="8">
        <v>-50</v>
      </c>
      <c r="E5483" s="8">
        <f>E5482+(0-50)</f>
        <v>8508230.5899995379</v>
      </c>
    </row>
    <row r="5484" spans="1:5" x14ac:dyDescent="0.25">
      <c r="A5484" s="2" t="s">
        <v>38</v>
      </c>
      <c r="B5484" s="6">
        <v>46055</v>
      </c>
      <c r="C5484" s="2" t="s">
        <v>16</v>
      </c>
      <c r="D5484" s="8">
        <v>-50</v>
      </c>
      <c r="E5484" s="8">
        <f>E5483+(0-50)</f>
        <v>8508180.5899995379</v>
      </c>
    </row>
    <row r="5485" spans="1:5" x14ac:dyDescent="0.25">
      <c r="A5485" s="2" t="s">
        <v>38</v>
      </c>
      <c r="B5485" s="6">
        <v>46055</v>
      </c>
      <c r="C5485" s="2" t="s">
        <v>16</v>
      </c>
      <c r="D5485" s="8">
        <v>-50</v>
      </c>
      <c r="E5485" s="8">
        <f>E5484+(0-50)</f>
        <v>8508130.5899995379</v>
      </c>
    </row>
    <row r="5486" spans="1:5" x14ac:dyDescent="0.25">
      <c r="A5486" s="2" t="s">
        <v>38</v>
      </c>
      <c r="B5486" s="6">
        <v>46055</v>
      </c>
      <c r="C5486" s="2" t="s">
        <v>16</v>
      </c>
      <c r="D5486" s="8">
        <v>-50</v>
      </c>
      <c r="E5486" s="8">
        <f>E5485+(0-50)</f>
        <v>8508080.5899995379</v>
      </c>
    </row>
    <row r="5487" spans="1:5" x14ac:dyDescent="0.25">
      <c r="A5487" s="2" t="s">
        <v>38</v>
      </c>
      <c r="B5487" s="6">
        <v>46056</v>
      </c>
      <c r="C5487" s="2" t="s">
        <v>19</v>
      </c>
      <c r="D5487" s="8">
        <v>-156</v>
      </c>
      <c r="E5487" s="8">
        <f>E5486+(0-156)</f>
        <v>8507924.5899995379</v>
      </c>
    </row>
    <row r="5488" spans="1:5" x14ac:dyDescent="0.25">
      <c r="A5488" s="2" t="s">
        <v>38</v>
      </c>
      <c r="B5488" s="6">
        <v>46056</v>
      </c>
      <c r="C5488" s="2" t="s">
        <v>53</v>
      </c>
      <c r="D5488" s="8">
        <v>-26.88</v>
      </c>
      <c r="E5488" s="8">
        <f>E5487+(0-26.88)</f>
        <v>8507897.7099995371</v>
      </c>
    </row>
    <row r="5489" spans="1:5" x14ac:dyDescent="0.25">
      <c r="A5489" s="2" t="s">
        <v>38</v>
      </c>
      <c r="B5489" s="6">
        <v>46056</v>
      </c>
      <c r="C5489" s="2" t="s">
        <v>16</v>
      </c>
      <c r="D5489" s="8">
        <v>-50</v>
      </c>
      <c r="E5489" s="8">
        <f>E5488+(0-50)</f>
        <v>8507847.7099995371</v>
      </c>
    </row>
    <row r="5490" spans="1:5" x14ac:dyDescent="0.25">
      <c r="A5490" s="2" t="s">
        <v>38</v>
      </c>
      <c r="B5490" s="6">
        <v>46058</v>
      </c>
      <c r="C5490" s="2" t="s">
        <v>19</v>
      </c>
      <c r="D5490" s="8">
        <v>-204</v>
      </c>
      <c r="E5490" s="8">
        <f>E5489+(0-204)</f>
        <v>8507643.7099995371</v>
      </c>
    </row>
    <row r="5491" spans="1:5" x14ac:dyDescent="0.25">
      <c r="A5491" s="2" t="s">
        <v>38</v>
      </c>
      <c r="B5491" s="6">
        <v>46058</v>
      </c>
      <c r="C5491" s="2" t="s">
        <v>19</v>
      </c>
      <c r="D5491" s="8">
        <v>-108</v>
      </c>
      <c r="E5491" s="8">
        <f>E5490+(0-108)</f>
        <v>8507535.7099995371</v>
      </c>
    </row>
    <row r="5492" spans="1:5" x14ac:dyDescent="0.25">
      <c r="A5492" s="2" t="s">
        <v>38</v>
      </c>
      <c r="B5492" s="6">
        <v>46059</v>
      </c>
      <c r="C5492" s="2" t="s">
        <v>19</v>
      </c>
      <c r="D5492" s="8">
        <v>-144</v>
      </c>
      <c r="E5492" s="8">
        <f>E5491+(0-144)</f>
        <v>8507391.7099995371</v>
      </c>
    </row>
    <row r="5493" spans="1:5" x14ac:dyDescent="0.25">
      <c r="A5493" s="2" t="s">
        <v>38</v>
      </c>
      <c r="B5493" s="6">
        <v>46062</v>
      </c>
      <c r="C5493" s="2" t="s">
        <v>53</v>
      </c>
      <c r="D5493" s="8">
        <v>-53.75</v>
      </c>
      <c r="E5493" s="8">
        <f>E5492+(0-53.75)</f>
        <v>8507337.9599995371</v>
      </c>
    </row>
    <row r="5494" spans="1:5" x14ac:dyDescent="0.25">
      <c r="A5494" s="2" t="s">
        <v>38</v>
      </c>
      <c r="B5494" s="6">
        <v>46062</v>
      </c>
      <c r="C5494" s="2" t="s">
        <v>19</v>
      </c>
      <c r="D5494" s="8">
        <v>-192</v>
      </c>
      <c r="E5494" s="8">
        <f>E5493+(0-192)</f>
        <v>8507145.9599995371</v>
      </c>
    </row>
    <row r="5495" spans="1:5" x14ac:dyDescent="0.25">
      <c r="A5495" s="2" t="s">
        <v>38</v>
      </c>
      <c r="B5495" s="6">
        <v>46062</v>
      </c>
      <c r="C5495" s="2" t="s">
        <v>53</v>
      </c>
      <c r="D5495" s="8">
        <v>-53.75</v>
      </c>
      <c r="E5495" s="8">
        <f>E5494+(0-53.75)</f>
        <v>8507092.2099995371</v>
      </c>
    </row>
    <row r="5496" spans="1:5" x14ac:dyDescent="0.25">
      <c r="A5496" s="2" t="s">
        <v>38</v>
      </c>
      <c r="B5496" s="6">
        <v>46062</v>
      </c>
      <c r="C5496" s="2" t="s">
        <v>53</v>
      </c>
      <c r="D5496" s="8">
        <v>-53.75</v>
      </c>
      <c r="E5496" s="8">
        <f>E5495+(0-53.75)</f>
        <v>8507038.4599995371</v>
      </c>
    </row>
    <row r="5497" spans="1:5" x14ac:dyDescent="0.25">
      <c r="A5497" s="2" t="s">
        <v>38</v>
      </c>
      <c r="B5497" s="6">
        <v>46062</v>
      </c>
      <c r="C5497" s="2" t="s">
        <v>53</v>
      </c>
      <c r="D5497" s="8">
        <v>-53.75</v>
      </c>
      <c r="E5497" s="8">
        <f>E5496+(0-53.75)</f>
        <v>8506984.7099995371</v>
      </c>
    </row>
    <row r="5498" spans="1:5" x14ac:dyDescent="0.25">
      <c r="A5498" s="2" t="s">
        <v>38</v>
      </c>
      <c r="B5498" s="6">
        <v>46062</v>
      </c>
      <c r="C5498" s="2" t="s">
        <v>16</v>
      </c>
      <c r="D5498" s="8">
        <v>-50</v>
      </c>
      <c r="E5498" s="8">
        <f>E5497+(0-50)</f>
        <v>8506934.7099995371</v>
      </c>
    </row>
    <row r="5499" spans="1:5" x14ac:dyDescent="0.25">
      <c r="A5499" s="2" t="s">
        <v>38</v>
      </c>
      <c r="B5499" s="6">
        <v>46062</v>
      </c>
      <c r="C5499" s="2" t="s">
        <v>16</v>
      </c>
      <c r="D5499" s="8">
        <v>-50</v>
      </c>
      <c r="E5499" s="8">
        <f>E5498+(0-50)</f>
        <v>8506884.7099995371</v>
      </c>
    </row>
    <row r="5500" spans="1:5" x14ac:dyDescent="0.25">
      <c r="A5500" s="2" t="s">
        <v>38</v>
      </c>
      <c r="B5500" s="6">
        <v>46062</v>
      </c>
      <c r="C5500" s="2" t="s">
        <v>16</v>
      </c>
      <c r="D5500" s="8">
        <v>-50</v>
      </c>
      <c r="E5500" s="8">
        <f>E5499+(0-50)</f>
        <v>8506834.7099995371</v>
      </c>
    </row>
    <row r="5501" spans="1:5" x14ac:dyDescent="0.25">
      <c r="A5501" s="2" t="s">
        <v>38</v>
      </c>
      <c r="B5501" s="6">
        <v>46062</v>
      </c>
      <c r="C5501" s="2" t="s">
        <v>16</v>
      </c>
      <c r="D5501" s="8">
        <v>-50</v>
      </c>
      <c r="E5501" s="8">
        <f>E5500+(0-50)</f>
        <v>8506784.7099995371</v>
      </c>
    </row>
    <row r="5502" spans="1:5" x14ac:dyDescent="0.25">
      <c r="A5502" s="2" t="s">
        <v>38</v>
      </c>
      <c r="B5502" s="6">
        <v>46063</v>
      </c>
      <c r="C5502" s="2" t="s">
        <v>53</v>
      </c>
      <c r="D5502" s="8">
        <v>-53.75</v>
      </c>
      <c r="E5502" s="8">
        <f>E5501+(0-53.75)</f>
        <v>8506730.9599995371</v>
      </c>
    </row>
    <row r="5503" spans="1:5" x14ac:dyDescent="0.25">
      <c r="A5503" s="2" t="s">
        <v>38</v>
      </c>
      <c r="B5503" s="6">
        <v>46063</v>
      </c>
      <c r="C5503" s="2" t="s">
        <v>16</v>
      </c>
      <c r="D5503" s="8">
        <v>-50</v>
      </c>
      <c r="E5503" s="8">
        <f>E5502+(0-50)</f>
        <v>8506680.9599995371</v>
      </c>
    </row>
    <row r="5504" spans="1:5" x14ac:dyDescent="0.25">
      <c r="A5504" s="2" t="s">
        <v>38</v>
      </c>
      <c r="B5504" s="6">
        <v>46064</v>
      </c>
      <c r="C5504" s="2" t="s">
        <v>53</v>
      </c>
      <c r="D5504" s="8">
        <v>-53.75</v>
      </c>
      <c r="E5504" s="8">
        <f>E5503+(0-53.75)</f>
        <v>8506627.2099995371</v>
      </c>
    </row>
    <row r="5505" spans="1:5" x14ac:dyDescent="0.25">
      <c r="A5505" s="2" t="s">
        <v>38</v>
      </c>
      <c r="B5505" s="6">
        <v>46064</v>
      </c>
      <c r="C5505" s="2" t="s">
        <v>53</v>
      </c>
      <c r="D5505" s="8">
        <v>-53.75</v>
      </c>
      <c r="E5505" s="8">
        <f>E5504+(0-53.75)</f>
        <v>8506573.4599995371</v>
      </c>
    </row>
    <row r="5506" spans="1:5" x14ac:dyDescent="0.25">
      <c r="A5506" s="2" t="s">
        <v>38</v>
      </c>
      <c r="B5506" s="6">
        <v>46064</v>
      </c>
      <c r="C5506" s="2" t="s">
        <v>16</v>
      </c>
      <c r="D5506" s="8">
        <v>-50</v>
      </c>
      <c r="E5506" s="8">
        <f>E5505+(0-50)</f>
        <v>8506523.4599995371</v>
      </c>
    </row>
    <row r="5507" spans="1:5" x14ac:dyDescent="0.25">
      <c r="A5507" s="2" t="s">
        <v>38</v>
      </c>
      <c r="B5507" s="6">
        <v>46064</v>
      </c>
      <c r="C5507" s="2" t="s">
        <v>16</v>
      </c>
      <c r="D5507" s="8">
        <v>-50</v>
      </c>
      <c r="E5507" s="8">
        <f>E5506+(0-50)</f>
        <v>8506473.4599995371</v>
      </c>
    </row>
    <row r="5508" spans="1:5" x14ac:dyDescent="0.25">
      <c r="A5508" s="2" t="s">
        <v>38</v>
      </c>
      <c r="B5508" s="6">
        <v>46065</v>
      </c>
      <c r="C5508" s="2" t="s">
        <v>19</v>
      </c>
      <c r="D5508" s="8">
        <v>-84</v>
      </c>
      <c r="E5508" s="8">
        <f>E5507+(0-84)</f>
        <v>8506389.4599995371</v>
      </c>
    </row>
    <row r="5509" spans="1:5" x14ac:dyDescent="0.25">
      <c r="A5509" s="2" t="s">
        <v>38</v>
      </c>
      <c r="B5509" s="6">
        <v>46065</v>
      </c>
      <c r="C5509" s="2" t="s">
        <v>53</v>
      </c>
      <c r="D5509" s="8">
        <v>-53.75</v>
      </c>
      <c r="E5509" s="8">
        <f>E5508+(0-53.75)</f>
        <v>8506335.7099995371</v>
      </c>
    </row>
    <row r="5510" spans="1:5" x14ac:dyDescent="0.25">
      <c r="A5510" s="2" t="s">
        <v>38</v>
      </c>
      <c r="B5510" s="6">
        <v>46065</v>
      </c>
      <c r="C5510" s="2" t="s">
        <v>215</v>
      </c>
      <c r="D5510" s="8">
        <v>-168</v>
      </c>
      <c r="E5510" s="8">
        <f>E5509+(0-168)</f>
        <v>8506167.7099995371</v>
      </c>
    </row>
    <row r="5511" spans="1:5" x14ac:dyDescent="0.25">
      <c r="A5511" s="2" t="s">
        <v>38</v>
      </c>
      <c r="B5511" s="6">
        <v>46065</v>
      </c>
      <c r="C5511" s="2" t="s">
        <v>16</v>
      </c>
      <c r="D5511" s="8">
        <v>-50</v>
      </c>
      <c r="E5511" s="8">
        <f>E5510+(0-50)</f>
        <v>8506117.7099995371</v>
      </c>
    </row>
    <row r="5512" spans="1:5" x14ac:dyDescent="0.25">
      <c r="A5512" s="2" t="s">
        <v>38</v>
      </c>
      <c r="B5512" s="6">
        <v>46066</v>
      </c>
      <c r="C5512" s="2" t="s">
        <v>19</v>
      </c>
      <c r="D5512" s="8">
        <v>-132</v>
      </c>
      <c r="E5512" s="8">
        <f>E5511+(0-132)</f>
        <v>8505985.7099995371</v>
      </c>
    </row>
    <row r="5513" spans="1:5" x14ac:dyDescent="0.25">
      <c r="A5513" s="2" t="s">
        <v>38</v>
      </c>
      <c r="B5513" s="6">
        <v>46066</v>
      </c>
      <c r="C5513" s="2" t="s">
        <v>19</v>
      </c>
      <c r="D5513" s="8">
        <v>-192</v>
      </c>
      <c r="E5513" s="8">
        <f>E5512+(0-192)</f>
        <v>8505793.7099995371</v>
      </c>
    </row>
    <row r="5514" spans="1:5" x14ac:dyDescent="0.25">
      <c r="A5514" s="2" t="s">
        <v>38</v>
      </c>
      <c r="B5514" s="6">
        <v>46066</v>
      </c>
      <c r="C5514" s="2" t="s">
        <v>19</v>
      </c>
      <c r="D5514" s="8">
        <v>-108</v>
      </c>
      <c r="E5514" s="8">
        <f>E5513+(0-108)</f>
        <v>8505685.7099995371</v>
      </c>
    </row>
    <row r="5515" spans="1:5" x14ac:dyDescent="0.25">
      <c r="A5515" s="2" t="s">
        <v>38</v>
      </c>
      <c r="B5515" s="6">
        <v>46069</v>
      </c>
      <c r="C5515" s="2" t="s">
        <v>19</v>
      </c>
      <c r="D5515" s="8">
        <v>-192</v>
      </c>
      <c r="E5515" s="8">
        <f>E5514+(0-192)</f>
        <v>8505493.7099995371</v>
      </c>
    </row>
    <row r="5516" spans="1:5" x14ac:dyDescent="0.25">
      <c r="A5516" s="2" t="s">
        <v>38</v>
      </c>
      <c r="B5516" s="6">
        <v>46069</v>
      </c>
      <c r="C5516" s="2" t="s">
        <v>53</v>
      </c>
      <c r="D5516" s="8">
        <v>-53.75</v>
      </c>
      <c r="E5516" s="8">
        <f>E5515+(0-53.75)</f>
        <v>8505439.9599995371</v>
      </c>
    </row>
    <row r="5517" spans="1:5" x14ac:dyDescent="0.25">
      <c r="A5517" s="2" t="s">
        <v>38</v>
      </c>
      <c r="B5517" s="6">
        <v>46069</v>
      </c>
      <c r="C5517" s="2" t="s">
        <v>19</v>
      </c>
      <c r="D5517" s="8">
        <v>-36</v>
      </c>
      <c r="E5517" s="8">
        <f>E5516+(0-36)</f>
        <v>8505403.9599995371</v>
      </c>
    </row>
    <row r="5518" spans="1:5" x14ac:dyDescent="0.25">
      <c r="A5518" s="2" t="s">
        <v>38</v>
      </c>
      <c r="B5518" s="6">
        <v>46069</v>
      </c>
      <c r="C5518" s="2" t="s">
        <v>16</v>
      </c>
      <c r="D5518" s="8">
        <v>-50</v>
      </c>
      <c r="E5518" s="8">
        <f>E5517+(0-50)</f>
        <v>8505353.9599995371</v>
      </c>
    </row>
    <row r="5519" spans="1:5" x14ac:dyDescent="0.25">
      <c r="A5519" s="2" t="s">
        <v>38</v>
      </c>
      <c r="B5519" s="6">
        <v>46070</v>
      </c>
      <c r="C5519" s="2" t="s">
        <v>19</v>
      </c>
      <c r="D5519" s="8">
        <v>-84</v>
      </c>
      <c r="E5519" s="8">
        <f>E5518+(0-84)</f>
        <v>8505269.9599995371</v>
      </c>
    </row>
    <row r="5520" spans="1:5" x14ac:dyDescent="0.25">
      <c r="A5520" s="2" t="s">
        <v>38</v>
      </c>
      <c r="B5520" s="6">
        <v>46071</v>
      </c>
      <c r="C5520" s="2" t="s">
        <v>19</v>
      </c>
      <c r="D5520" s="8">
        <v>-192</v>
      </c>
      <c r="E5520" s="8">
        <f>E5519+(0-192)</f>
        <v>8505077.9599995371</v>
      </c>
    </row>
    <row r="5521" spans="1:5" x14ac:dyDescent="0.25">
      <c r="A5521" s="2" t="s">
        <v>38</v>
      </c>
      <c r="B5521" s="6">
        <v>46071</v>
      </c>
      <c r="C5521" s="2" t="s">
        <v>53</v>
      </c>
      <c r="D5521" s="8">
        <v>-26.88</v>
      </c>
      <c r="E5521" s="8">
        <f>E5520+(0-26.88)</f>
        <v>8505051.0799995363</v>
      </c>
    </row>
    <row r="5522" spans="1:5" x14ac:dyDescent="0.25">
      <c r="A5522" s="2" t="s">
        <v>38</v>
      </c>
      <c r="B5522" s="6">
        <v>46071</v>
      </c>
      <c r="C5522" s="2" t="s">
        <v>53</v>
      </c>
      <c r="D5522" s="8">
        <v>-53.75</v>
      </c>
      <c r="E5522" s="8">
        <f>E5521+(0-53.75)</f>
        <v>8504997.3299995363</v>
      </c>
    </row>
    <row r="5523" spans="1:5" x14ac:dyDescent="0.25">
      <c r="A5523" s="2" t="s">
        <v>38</v>
      </c>
      <c r="B5523" s="6">
        <v>46071</v>
      </c>
      <c r="C5523" s="2" t="s">
        <v>16</v>
      </c>
      <c r="D5523" s="8">
        <v>-50</v>
      </c>
      <c r="E5523" s="8">
        <f>E5522+(0-50)</f>
        <v>8504947.3299995363</v>
      </c>
    </row>
    <row r="5524" spans="1:5" x14ac:dyDescent="0.25">
      <c r="A5524" s="2" t="s">
        <v>38</v>
      </c>
      <c r="B5524" s="6">
        <v>46073</v>
      </c>
      <c r="C5524" s="2" t="s">
        <v>53</v>
      </c>
      <c r="D5524" s="8">
        <v>-53.75</v>
      </c>
      <c r="E5524" s="8">
        <f>E5523+(0-53.75)</f>
        <v>8504893.5799995363</v>
      </c>
    </row>
    <row r="5525" spans="1:5" x14ac:dyDescent="0.25">
      <c r="A5525" s="2" t="s">
        <v>38</v>
      </c>
      <c r="B5525" s="6">
        <v>46073</v>
      </c>
      <c r="C5525" s="2" t="s">
        <v>53</v>
      </c>
      <c r="D5525" s="8">
        <v>-53.75</v>
      </c>
      <c r="E5525" s="8">
        <f>E5524+(0-53.75)</f>
        <v>8504839.8299995363</v>
      </c>
    </row>
    <row r="5526" spans="1:5" x14ac:dyDescent="0.25">
      <c r="A5526" s="2" t="s">
        <v>38</v>
      </c>
      <c r="B5526" s="6">
        <v>46073</v>
      </c>
      <c r="C5526" s="2" t="s">
        <v>16</v>
      </c>
      <c r="D5526" s="8">
        <v>-50</v>
      </c>
      <c r="E5526" s="8">
        <f>E5525+(0-50)</f>
        <v>8504789.8299995363</v>
      </c>
    </row>
    <row r="5527" spans="1:5" x14ac:dyDescent="0.25">
      <c r="A5527" s="2" t="s">
        <v>38</v>
      </c>
      <c r="B5527" s="6">
        <v>46073</v>
      </c>
      <c r="C5527" s="2" t="s">
        <v>16</v>
      </c>
      <c r="D5527" s="8">
        <v>-50</v>
      </c>
      <c r="E5527" s="8">
        <f>E5526+(0-50)</f>
        <v>8504739.8299995363</v>
      </c>
    </row>
    <row r="5528" spans="1:5" x14ac:dyDescent="0.25">
      <c r="A5528" s="2" t="s">
        <v>38</v>
      </c>
      <c r="B5528" s="6">
        <v>46076</v>
      </c>
      <c r="C5528" s="2" t="s">
        <v>19</v>
      </c>
      <c r="D5528" s="8">
        <v>-204</v>
      </c>
      <c r="E5528" s="8">
        <f>E5527+(0-204)</f>
        <v>8504535.8299995363</v>
      </c>
    </row>
    <row r="5529" spans="1:5" x14ac:dyDescent="0.25">
      <c r="A5529" s="2" t="s">
        <v>38</v>
      </c>
      <c r="B5529" s="6">
        <v>46076</v>
      </c>
      <c r="C5529" s="2" t="s">
        <v>19</v>
      </c>
      <c r="D5529" s="8">
        <v>-96</v>
      </c>
      <c r="E5529" s="8">
        <f>E5528+(0-96)</f>
        <v>8504439.8299995363</v>
      </c>
    </row>
    <row r="5530" spans="1:5" x14ac:dyDescent="0.25">
      <c r="A5530" s="2" t="s">
        <v>38</v>
      </c>
      <c r="B5530" s="6">
        <v>46076</v>
      </c>
      <c r="C5530" s="2" t="s">
        <v>19</v>
      </c>
      <c r="D5530" s="8">
        <v>-204</v>
      </c>
      <c r="E5530" s="8">
        <f>E5529+(0-204)</f>
        <v>8504235.8299995363</v>
      </c>
    </row>
    <row r="5531" spans="1:5" x14ac:dyDescent="0.25">
      <c r="A5531" s="2" t="s">
        <v>38</v>
      </c>
      <c r="B5531" s="6">
        <v>46076</v>
      </c>
      <c r="C5531" s="2" t="s">
        <v>19</v>
      </c>
      <c r="D5531" s="8">
        <v>-24</v>
      </c>
      <c r="E5531" s="8">
        <f>E5530+(0-24)</f>
        <v>8504211.8299995363</v>
      </c>
    </row>
    <row r="5532" spans="1:5" x14ac:dyDescent="0.25">
      <c r="A5532" s="2" t="s">
        <v>38</v>
      </c>
      <c r="B5532" s="6">
        <v>46076</v>
      </c>
      <c r="C5532" s="2" t="s">
        <v>19</v>
      </c>
      <c r="D5532" s="8">
        <v>-12</v>
      </c>
      <c r="E5532" s="8">
        <f>E5531+(0-12)</f>
        <v>8504199.8299995363</v>
      </c>
    </row>
    <row r="5533" spans="1:5" x14ac:dyDescent="0.25">
      <c r="A5533" s="2" t="s">
        <v>38</v>
      </c>
      <c r="B5533" s="6">
        <v>46076</v>
      </c>
      <c r="C5533" s="2" t="s">
        <v>53</v>
      </c>
      <c r="D5533" s="8">
        <v>-26.88</v>
      </c>
      <c r="E5533" s="8">
        <f>E5532+(0-26.88)</f>
        <v>8504172.9499995355</v>
      </c>
    </row>
    <row r="5534" spans="1:5" x14ac:dyDescent="0.25">
      <c r="A5534" s="2" t="s">
        <v>38</v>
      </c>
      <c r="B5534" s="6">
        <v>46076</v>
      </c>
      <c r="C5534" s="2" t="s">
        <v>16</v>
      </c>
      <c r="D5534" s="8">
        <v>-50</v>
      </c>
      <c r="E5534" s="8">
        <f>E5533+(0-50)</f>
        <v>8504122.9499995355</v>
      </c>
    </row>
    <row r="5535" spans="1:5" x14ac:dyDescent="0.25">
      <c r="A5535" s="2" t="s">
        <v>38</v>
      </c>
      <c r="B5535" s="6">
        <v>46077</v>
      </c>
      <c r="C5535" s="2" t="s">
        <v>19</v>
      </c>
      <c r="D5535" s="8">
        <v>-192</v>
      </c>
      <c r="E5535" s="8">
        <f>E5534+(0-192)</f>
        <v>8503930.9499995355</v>
      </c>
    </row>
    <row r="5536" spans="1:5" x14ac:dyDescent="0.25">
      <c r="A5536" s="2" t="s">
        <v>38</v>
      </c>
      <c r="B5536" s="6">
        <v>46078</v>
      </c>
      <c r="C5536" s="2" t="s">
        <v>19</v>
      </c>
      <c r="D5536" s="8">
        <v>-96</v>
      </c>
      <c r="E5536" s="8">
        <f>E5535+(0-96)</f>
        <v>8503834.9499995355</v>
      </c>
    </row>
    <row r="5537" spans="1:5" x14ac:dyDescent="0.25">
      <c r="A5537" s="2" t="s">
        <v>38</v>
      </c>
      <c r="B5537" s="6">
        <v>46078</v>
      </c>
      <c r="C5537" s="2" t="s">
        <v>53</v>
      </c>
      <c r="D5537" s="8">
        <v>-26.88</v>
      </c>
      <c r="E5537" s="8">
        <f>E5536+(0-26.88)</f>
        <v>8503808.0699995346</v>
      </c>
    </row>
    <row r="5538" spans="1:5" x14ac:dyDescent="0.25">
      <c r="A5538" s="2" t="s">
        <v>38</v>
      </c>
      <c r="B5538" s="6">
        <v>46078</v>
      </c>
      <c r="C5538" s="2" t="s">
        <v>53</v>
      </c>
      <c r="D5538" s="8">
        <v>-53.75</v>
      </c>
      <c r="E5538" s="8">
        <f>E5537+(0-53.75)</f>
        <v>8503754.3199995346</v>
      </c>
    </row>
    <row r="5539" spans="1:5" x14ac:dyDescent="0.25">
      <c r="A5539" s="2" t="s">
        <v>38</v>
      </c>
      <c r="B5539" s="6">
        <v>46078</v>
      </c>
      <c r="C5539" s="2" t="s">
        <v>16</v>
      </c>
      <c r="D5539" s="8">
        <v>-50</v>
      </c>
      <c r="E5539" s="8">
        <f>E5538+(0-50)</f>
        <v>8503704.3199995346</v>
      </c>
    </row>
    <row r="5540" spans="1:5" x14ac:dyDescent="0.25">
      <c r="A5540" s="2" t="s">
        <v>38</v>
      </c>
      <c r="B5540" s="6">
        <v>46078</v>
      </c>
      <c r="C5540" s="2" t="s">
        <v>16</v>
      </c>
      <c r="D5540" s="8">
        <v>-50</v>
      </c>
      <c r="E5540" s="8">
        <f>E5539+(0-50)</f>
        <v>8503654.3199995346</v>
      </c>
    </row>
    <row r="5541" spans="1:5" x14ac:dyDescent="0.25">
      <c r="A5541" s="2" t="s">
        <v>38</v>
      </c>
      <c r="B5541" s="6">
        <v>46083</v>
      </c>
      <c r="C5541" s="2" t="s">
        <v>19</v>
      </c>
      <c r="D5541" s="8">
        <v>-192</v>
      </c>
      <c r="E5541" s="8">
        <f>E5540+(0-192)</f>
        <v>8503462.3199995346</v>
      </c>
    </row>
    <row r="5542" spans="1:5" x14ac:dyDescent="0.25">
      <c r="A5542" s="2" t="s">
        <v>38</v>
      </c>
      <c r="B5542" s="6">
        <v>46083</v>
      </c>
      <c r="C5542" s="2" t="s">
        <v>19</v>
      </c>
      <c r="D5542" s="8">
        <v>-156</v>
      </c>
      <c r="E5542" s="8">
        <f>E5541+(0-156)</f>
        <v>8503306.3199995346</v>
      </c>
    </row>
    <row r="5543" spans="1:5" x14ac:dyDescent="0.25">
      <c r="A5543" s="2" t="s">
        <v>38</v>
      </c>
      <c r="B5543" s="6">
        <v>46083</v>
      </c>
      <c r="C5543" s="2" t="s">
        <v>19</v>
      </c>
      <c r="D5543" s="8">
        <v>-156</v>
      </c>
      <c r="E5543" s="8">
        <f>E5542+(0-156)</f>
        <v>8503150.3199995346</v>
      </c>
    </row>
    <row r="5544" spans="1:5" x14ac:dyDescent="0.25">
      <c r="A5544" s="2" t="s">
        <v>38</v>
      </c>
      <c r="B5544" s="6">
        <v>46083</v>
      </c>
      <c r="C5544" s="2" t="s">
        <v>19</v>
      </c>
      <c r="D5544" s="8">
        <v>-24</v>
      </c>
      <c r="E5544" s="8">
        <f>E5543+(0-24)</f>
        <v>8503126.3199995346</v>
      </c>
    </row>
    <row r="5545" spans="1:5" x14ac:dyDescent="0.25">
      <c r="A5545" s="2" t="s">
        <v>38</v>
      </c>
      <c r="B5545" s="6">
        <v>46083</v>
      </c>
      <c r="C5545" s="2" t="s">
        <v>19</v>
      </c>
      <c r="D5545" s="8">
        <v>-12</v>
      </c>
      <c r="E5545" s="8">
        <f>E5544+(0-12)</f>
        <v>8503114.3199995346</v>
      </c>
    </row>
    <row r="5546" spans="1:5" x14ac:dyDescent="0.25">
      <c r="A5546" s="2" t="s">
        <v>38</v>
      </c>
      <c r="B5546" s="6">
        <v>46083</v>
      </c>
      <c r="C5546" s="2" t="s">
        <v>53</v>
      </c>
      <c r="D5546" s="8">
        <v>-26.88</v>
      </c>
      <c r="E5546" s="8">
        <f>E5545+(0-26.88)</f>
        <v>8503087.4399995338</v>
      </c>
    </row>
    <row r="5547" spans="1:5" x14ac:dyDescent="0.25">
      <c r="A5547" s="2" t="s">
        <v>38</v>
      </c>
      <c r="B5547" s="6">
        <v>46083</v>
      </c>
      <c r="C5547" s="2" t="s">
        <v>53</v>
      </c>
      <c r="D5547" s="8">
        <v>-1391</v>
      </c>
      <c r="E5547" s="8">
        <f>E5546+(0-1391)</f>
        <v>8501696.4399995338</v>
      </c>
    </row>
    <row r="5548" spans="1:5" x14ac:dyDescent="0.25">
      <c r="A5548" s="2" t="s">
        <v>38</v>
      </c>
      <c r="B5548" s="6">
        <v>46083</v>
      </c>
      <c r="C5548" s="2" t="s">
        <v>53</v>
      </c>
      <c r="D5548" s="8">
        <v>-53.75</v>
      </c>
      <c r="E5548" s="8">
        <f>E5547+(0-53.75)</f>
        <v>8501642.6899995338</v>
      </c>
    </row>
    <row r="5549" spans="1:5" x14ac:dyDescent="0.25">
      <c r="A5549" s="2" t="s">
        <v>38</v>
      </c>
      <c r="B5549" s="6">
        <v>46083</v>
      </c>
      <c r="C5549" s="2" t="s">
        <v>16</v>
      </c>
      <c r="D5549" s="8">
        <v>-50</v>
      </c>
      <c r="E5549" s="8">
        <f>E5548+(0-50)</f>
        <v>8501592.6899995338</v>
      </c>
    </row>
    <row r="5550" spans="1:5" x14ac:dyDescent="0.25">
      <c r="A5550" s="2" t="s">
        <v>38</v>
      </c>
      <c r="B5550" s="6">
        <v>46083</v>
      </c>
      <c r="C5550" s="2" t="s">
        <v>53</v>
      </c>
      <c r="D5550" s="8">
        <v>-53.75</v>
      </c>
      <c r="E5550" s="8">
        <f>E5549+(0-53.75)</f>
        <v>8501538.9399995338</v>
      </c>
    </row>
    <row r="5551" spans="1:5" x14ac:dyDescent="0.25">
      <c r="A5551" s="2" t="s">
        <v>38</v>
      </c>
      <c r="B5551" s="6">
        <v>46083</v>
      </c>
      <c r="C5551" s="2" t="s">
        <v>53</v>
      </c>
      <c r="D5551" s="8">
        <v>-53.75</v>
      </c>
      <c r="E5551" s="8">
        <f>E5550+(0-53.75)</f>
        <v>8501485.1899995338</v>
      </c>
    </row>
    <row r="5552" spans="1:5" x14ac:dyDescent="0.25">
      <c r="A5552" s="2" t="s">
        <v>38</v>
      </c>
      <c r="B5552" s="6">
        <v>46083</v>
      </c>
      <c r="C5552" s="2" t="s">
        <v>53</v>
      </c>
      <c r="D5552" s="8">
        <v>-53.75</v>
      </c>
      <c r="E5552" s="8">
        <f>E5551+(0-53.75)</f>
        <v>8501431.4399995338</v>
      </c>
    </row>
    <row r="5553" spans="1:5" x14ac:dyDescent="0.25">
      <c r="A5553" s="2" t="s">
        <v>38</v>
      </c>
      <c r="B5553" s="6">
        <v>46083</v>
      </c>
      <c r="C5553" s="2" t="s">
        <v>53</v>
      </c>
      <c r="D5553" s="8">
        <v>-53.75</v>
      </c>
      <c r="E5553" s="8">
        <f>E5552+(0-53.75)</f>
        <v>8501377.6899995338</v>
      </c>
    </row>
    <row r="5554" spans="1:5" x14ac:dyDescent="0.25">
      <c r="A5554" s="2" t="s">
        <v>38</v>
      </c>
      <c r="B5554" s="6">
        <v>46083</v>
      </c>
      <c r="C5554" s="2" t="s">
        <v>53</v>
      </c>
      <c r="D5554" s="8">
        <v>-53.75</v>
      </c>
      <c r="E5554" s="8">
        <f>E5553+(0-53.75)</f>
        <v>8501323.9399995338</v>
      </c>
    </row>
    <row r="5555" spans="1:5" x14ac:dyDescent="0.25">
      <c r="A5555" s="2" t="s">
        <v>38</v>
      </c>
      <c r="B5555" s="6">
        <v>46083</v>
      </c>
      <c r="C5555" s="2" t="s">
        <v>16</v>
      </c>
      <c r="D5555" s="8">
        <v>-50</v>
      </c>
      <c r="E5555" s="8">
        <f>E5554+(0-50)</f>
        <v>8501273.9399995338</v>
      </c>
    </row>
    <row r="5556" spans="1:5" x14ac:dyDescent="0.25">
      <c r="A5556" s="2" t="s">
        <v>38</v>
      </c>
      <c r="B5556" s="6">
        <v>46083</v>
      </c>
      <c r="C5556" s="2" t="s">
        <v>16</v>
      </c>
      <c r="D5556" s="8">
        <v>-50</v>
      </c>
      <c r="E5556" s="8">
        <f>E5555+(0-50)</f>
        <v>8501223.9399995338</v>
      </c>
    </row>
    <row r="5557" spans="1:5" x14ac:dyDescent="0.25">
      <c r="A5557" s="2" t="s">
        <v>38</v>
      </c>
      <c r="B5557" s="6">
        <v>46083</v>
      </c>
      <c r="C5557" s="2" t="s">
        <v>16</v>
      </c>
      <c r="D5557" s="8">
        <v>-50</v>
      </c>
      <c r="E5557" s="8">
        <f>E5556+(0-50)</f>
        <v>8501173.9399995338</v>
      </c>
    </row>
    <row r="5558" spans="1:5" x14ac:dyDescent="0.25">
      <c r="A5558" s="2" t="s">
        <v>38</v>
      </c>
      <c r="B5558" s="6">
        <v>46083</v>
      </c>
      <c r="C5558" s="2" t="s">
        <v>16</v>
      </c>
      <c r="D5558" s="8">
        <v>-50</v>
      </c>
      <c r="E5558" s="8">
        <f>E5557+(0-50)</f>
        <v>8501123.9399995338</v>
      </c>
    </row>
    <row r="5559" spans="1:5" x14ac:dyDescent="0.25">
      <c r="A5559" s="2" t="s">
        <v>38</v>
      </c>
      <c r="B5559" s="6">
        <v>46083</v>
      </c>
      <c r="C5559" s="2" t="s">
        <v>16</v>
      </c>
      <c r="D5559" s="8">
        <v>-50</v>
      </c>
      <c r="E5559" s="8">
        <f>E5558+(0-50)</f>
        <v>8501073.9399995338</v>
      </c>
    </row>
    <row r="5560" spans="1:5" x14ac:dyDescent="0.25">
      <c r="A5560" s="2" t="s">
        <v>38</v>
      </c>
      <c r="B5560" s="6">
        <v>46083</v>
      </c>
      <c r="C5560" s="2" t="s">
        <v>16</v>
      </c>
      <c r="D5560" s="8">
        <v>-50</v>
      </c>
      <c r="E5560" s="8">
        <f>E5559+(0-50)</f>
        <v>8501023.9399995338</v>
      </c>
    </row>
    <row r="5561" spans="1:5" x14ac:dyDescent="0.25">
      <c r="A5561" s="2" t="s">
        <v>38</v>
      </c>
      <c r="B5561" s="6">
        <v>46085</v>
      </c>
      <c r="C5561" s="2" t="s">
        <v>16</v>
      </c>
      <c r="D5561" s="8">
        <v>-50</v>
      </c>
      <c r="E5561" s="8">
        <f>E5560+(0-50)</f>
        <v>8500973.9399995338</v>
      </c>
    </row>
    <row r="5562" spans="1:5" x14ac:dyDescent="0.25">
      <c r="A5562" s="2" t="s">
        <v>38</v>
      </c>
      <c r="B5562" s="6">
        <v>46086</v>
      </c>
      <c r="C5562" s="2" t="s">
        <v>53</v>
      </c>
      <c r="D5562" s="8">
        <v>-53.75</v>
      </c>
      <c r="E5562" s="8">
        <f>E5561+(0-53.75)</f>
        <v>8500920.1899995338</v>
      </c>
    </row>
    <row r="5563" spans="1:5" x14ac:dyDescent="0.25">
      <c r="A5563" s="2" t="s">
        <v>38</v>
      </c>
      <c r="B5563" s="6">
        <v>46086</v>
      </c>
      <c r="C5563" s="2" t="s">
        <v>53</v>
      </c>
      <c r="D5563" s="8">
        <v>-53.75</v>
      </c>
      <c r="E5563" s="8">
        <f>E5562+(0-53.75)</f>
        <v>8500866.4399995338</v>
      </c>
    </row>
    <row r="5564" spans="1:5" x14ac:dyDescent="0.25">
      <c r="A5564" s="2" t="s">
        <v>38</v>
      </c>
      <c r="B5564" s="6">
        <v>46086</v>
      </c>
      <c r="C5564" s="2" t="s">
        <v>16</v>
      </c>
      <c r="D5564" s="8">
        <v>-50</v>
      </c>
      <c r="E5564" s="8">
        <f>E5563+(0-50)</f>
        <v>8500816.4399995338</v>
      </c>
    </row>
    <row r="5565" spans="1:5" x14ac:dyDescent="0.25">
      <c r="A5565" s="2" t="s">
        <v>38</v>
      </c>
      <c r="B5565" s="6">
        <v>46086</v>
      </c>
      <c r="C5565" s="2" t="s">
        <v>16</v>
      </c>
      <c r="D5565" s="8">
        <v>-50</v>
      </c>
      <c r="E5565" s="8">
        <f>E5564+(0-50)</f>
        <v>8500766.4399995338</v>
      </c>
    </row>
    <row r="5566" spans="1:5" x14ac:dyDescent="0.25">
      <c r="A5566" s="2" t="s">
        <v>38</v>
      </c>
      <c r="B5566" s="6">
        <v>46087</v>
      </c>
      <c r="C5566" s="2" t="s">
        <v>53</v>
      </c>
      <c r="D5566" s="8">
        <v>-50</v>
      </c>
      <c r="E5566" s="8">
        <f>E5565+(0-50)</f>
        <v>8500716.4399995338</v>
      </c>
    </row>
    <row r="5567" spans="1:5" x14ac:dyDescent="0.25">
      <c r="A5567" s="2" t="s">
        <v>38</v>
      </c>
      <c r="B5567" s="6">
        <v>46090</v>
      </c>
      <c r="C5567" s="2" t="s">
        <v>53</v>
      </c>
      <c r="D5567" s="8">
        <v>-53.75</v>
      </c>
      <c r="E5567" s="8">
        <f>E5566+(0-53.75)</f>
        <v>8500662.6899995338</v>
      </c>
    </row>
    <row r="5568" spans="1:5" x14ac:dyDescent="0.25">
      <c r="A5568" s="2" t="s">
        <v>38</v>
      </c>
      <c r="B5568" s="6">
        <v>46090</v>
      </c>
      <c r="C5568" s="2" t="s">
        <v>53</v>
      </c>
      <c r="D5568" s="8">
        <v>-53.75</v>
      </c>
      <c r="E5568" s="8">
        <f>E5567+(0-53.75)</f>
        <v>8500608.9399995338</v>
      </c>
    </row>
    <row r="5569" spans="1:5" x14ac:dyDescent="0.25">
      <c r="A5569" s="2" t="s">
        <v>38</v>
      </c>
      <c r="B5569" s="6">
        <v>46090</v>
      </c>
      <c r="C5569" s="2" t="s">
        <v>53</v>
      </c>
      <c r="D5569" s="8">
        <v>-26.88</v>
      </c>
      <c r="E5569" s="8">
        <f>E5568+(0-26.88)</f>
        <v>8500582.059999533</v>
      </c>
    </row>
    <row r="5570" spans="1:5" x14ac:dyDescent="0.25">
      <c r="A5570" s="2" t="s">
        <v>38</v>
      </c>
      <c r="B5570" s="6">
        <v>46090</v>
      </c>
      <c r="C5570" s="2" t="s">
        <v>53</v>
      </c>
      <c r="D5570" s="8">
        <v>-10.75</v>
      </c>
      <c r="E5570" s="8">
        <f>E5569+(0-10.75)</f>
        <v>8500571.309999533</v>
      </c>
    </row>
    <row r="5571" spans="1:5" x14ac:dyDescent="0.25">
      <c r="A5571" s="2" t="s">
        <v>38</v>
      </c>
      <c r="B5571" s="6">
        <v>46090</v>
      </c>
      <c r="C5571" s="2" t="s">
        <v>53</v>
      </c>
      <c r="D5571" s="8">
        <v>-26.88</v>
      </c>
      <c r="E5571" s="8">
        <f>E5570+(0-26.88)</f>
        <v>8500544.4299995322</v>
      </c>
    </row>
    <row r="5572" spans="1:5" x14ac:dyDescent="0.25">
      <c r="A5572" s="2" t="s">
        <v>38</v>
      </c>
      <c r="B5572" s="6">
        <v>46090</v>
      </c>
      <c r="C5572" s="2" t="s">
        <v>16</v>
      </c>
      <c r="D5572" s="8">
        <v>-50</v>
      </c>
      <c r="E5572" s="8">
        <f>E5571+(0-50)</f>
        <v>8500494.4299995322</v>
      </c>
    </row>
    <row r="5573" spans="1:5" x14ac:dyDescent="0.25">
      <c r="A5573" s="2" t="s">
        <v>38</v>
      </c>
      <c r="B5573" s="6">
        <v>46090</v>
      </c>
      <c r="C5573" s="2" t="s">
        <v>16</v>
      </c>
      <c r="D5573" s="8">
        <v>-50</v>
      </c>
      <c r="E5573" s="8">
        <f>E5572+(0-50)</f>
        <v>8500444.4299995322</v>
      </c>
    </row>
    <row r="5574" spans="1:5" x14ac:dyDescent="0.25">
      <c r="A5574" s="2" t="s">
        <v>38</v>
      </c>
      <c r="B5574" s="6">
        <v>46090</v>
      </c>
      <c r="C5574" s="2" t="s">
        <v>16</v>
      </c>
      <c r="D5574" s="8">
        <v>-50</v>
      </c>
      <c r="E5574" s="8">
        <f>E5573+(0-50)</f>
        <v>8500394.4299995322</v>
      </c>
    </row>
    <row r="5575" spans="1:5" x14ac:dyDescent="0.25">
      <c r="A5575" s="2" t="s">
        <v>38</v>
      </c>
      <c r="B5575" s="6">
        <v>46090</v>
      </c>
      <c r="C5575" s="2" t="s">
        <v>16</v>
      </c>
      <c r="D5575" s="8">
        <v>-50</v>
      </c>
      <c r="E5575" s="8">
        <f>E5574+(0-50)</f>
        <v>8500344.4299995322</v>
      </c>
    </row>
    <row r="5576" spans="1:5" x14ac:dyDescent="0.25">
      <c r="A5576" s="2" t="s">
        <v>38</v>
      </c>
      <c r="B5576" s="6">
        <v>46091</v>
      </c>
      <c r="C5576" s="2" t="s">
        <v>200</v>
      </c>
      <c r="D5576" s="8">
        <v>-420</v>
      </c>
      <c r="E5576" s="8">
        <f>E5575+(0-420)</f>
        <v>8499924.4299995322</v>
      </c>
    </row>
    <row r="5577" spans="1:5" x14ac:dyDescent="0.25">
      <c r="A5577" s="2" t="s">
        <v>38</v>
      </c>
      <c r="B5577" s="6">
        <v>46091</v>
      </c>
      <c r="C5577" s="2" t="s">
        <v>53</v>
      </c>
      <c r="D5577" s="8">
        <v>-26.88</v>
      </c>
      <c r="E5577" s="8">
        <f>E5576+(0-26.88)</f>
        <v>8499897.5499995314</v>
      </c>
    </row>
    <row r="5578" spans="1:5" x14ac:dyDescent="0.25">
      <c r="A5578" s="2" t="s">
        <v>38</v>
      </c>
      <c r="B5578" s="6">
        <v>46091</v>
      </c>
      <c r="C5578" s="2" t="s">
        <v>19</v>
      </c>
      <c r="D5578" s="8">
        <v>-192</v>
      </c>
      <c r="E5578" s="8">
        <f>E5577+(0-192)</f>
        <v>8499705.5499995314</v>
      </c>
    </row>
    <row r="5579" spans="1:5" x14ac:dyDescent="0.25">
      <c r="A5579" s="2" t="s">
        <v>38</v>
      </c>
      <c r="B5579" s="6">
        <v>46091</v>
      </c>
      <c r="C5579" s="2" t="s">
        <v>16</v>
      </c>
      <c r="D5579" s="8">
        <v>-50</v>
      </c>
      <c r="E5579" s="8">
        <f>E5578+(0-50)</f>
        <v>8499655.5499995314</v>
      </c>
    </row>
    <row r="5580" spans="1:5" x14ac:dyDescent="0.25">
      <c r="A5580" s="2" t="s">
        <v>38</v>
      </c>
      <c r="B5580" s="6">
        <v>46091</v>
      </c>
      <c r="C5580" s="2" t="s">
        <v>19</v>
      </c>
      <c r="D5580" s="8">
        <v>-156</v>
      </c>
      <c r="E5580" s="8">
        <f>E5579+(0-156)</f>
        <v>8499499.5499995314</v>
      </c>
    </row>
    <row r="5581" spans="1:5" x14ac:dyDescent="0.25">
      <c r="A5581" s="2" t="s">
        <v>38</v>
      </c>
      <c r="B5581" s="6">
        <v>46092</v>
      </c>
      <c r="C5581" s="2" t="s">
        <v>53</v>
      </c>
      <c r="D5581" s="8">
        <v>-26.88</v>
      </c>
      <c r="E5581" s="8">
        <f>E5580+(0-26.88)</f>
        <v>8499472.6699995305</v>
      </c>
    </row>
    <row r="5582" spans="1:5" x14ac:dyDescent="0.25">
      <c r="A5582" s="2" t="s">
        <v>38</v>
      </c>
      <c r="B5582" s="6">
        <v>46092</v>
      </c>
      <c r="C5582" s="2" t="s">
        <v>19</v>
      </c>
      <c r="D5582" s="8">
        <v>-132</v>
      </c>
      <c r="E5582" s="8">
        <f>E5581+(0-132)</f>
        <v>8499340.6699995305</v>
      </c>
    </row>
    <row r="5583" spans="1:5" x14ac:dyDescent="0.25">
      <c r="A5583" s="2" t="s">
        <v>38</v>
      </c>
      <c r="B5583" s="6">
        <v>46092</v>
      </c>
      <c r="C5583" s="2" t="s">
        <v>19</v>
      </c>
      <c r="D5583" s="8">
        <v>-228</v>
      </c>
      <c r="E5583" s="8">
        <f>E5582+(0-228)</f>
        <v>8499112.6699995305</v>
      </c>
    </row>
    <row r="5584" spans="1:5" x14ac:dyDescent="0.25">
      <c r="A5584" s="2" t="s">
        <v>38</v>
      </c>
      <c r="B5584" s="6">
        <v>46092</v>
      </c>
      <c r="C5584" s="2" t="s">
        <v>19</v>
      </c>
      <c r="D5584" s="8">
        <v>-72</v>
      </c>
      <c r="E5584" s="8">
        <f>E5583+(0-72)</f>
        <v>8499040.6699995305</v>
      </c>
    </row>
    <row r="5585" spans="1:5" x14ac:dyDescent="0.25">
      <c r="A5585" s="2" t="s">
        <v>38</v>
      </c>
      <c r="B5585" s="6">
        <v>46092</v>
      </c>
      <c r="C5585" s="2" t="s">
        <v>19</v>
      </c>
      <c r="D5585" s="8">
        <v>-24</v>
      </c>
      <c r="E5585" s="8">
        <f>E5584+(0-24)</f>
        <v>8499016.6699995305</v>
      </c>
    </row>
    <row r="5586" spans="1:5" x14ac:dyDescent="0.25">
      <c r="A5586" s="2" t="s">
        <v>38</v>
      </c>
      <c r="B5586" s="6">
        <v>46092</v>
      </c>
      <c r="C5586" s="2" t="s">
        <v>19</v>
      </c>
      <c r="D5586" s="8">
        <v>-204</v>
      </c>
      <c r="E5586" s="8">
        <f>E5585+(0-204)</f>
        <v>8498812.6699995305</v>
      </c>
    </row>
    <row r="5587" spans="1:5" x14ac:dyDescent="0.25">
      <c r="A5587" s="2" t="s">
        <v>38</v>
      </c>
      <c r="B5587" s="6">
        <v>46092</v>
      </c>
      <c r="C5587" s="2" t="s">
        <v>19</v>
      </c>
      <c r="D5587" s="8">
        <v>-168</v>
      </c>
      <c r="E5587" s="8">
        <f>E5586+(0-168)</f>
        <v>8498644.6699995305</v>
      </c>
    </row>
    <row r="5588" spans="1:5" x14ac:dyDescent="0.25">
      <c r="A5588" s="2" t="s">
        <v>38</v>
      </c>
      <c r="B5588" s="6">
        <v>46092</v>
      </c>
      <c r="C5588" s="2" t="s">
        <v>16</v>
      </c>
      <c r="D5588" s="8">
        <v>-50</v>
      </c>
      <c r="E5588" s="8">
        <f>E5587+(0-50)</f>
        <v>8498594.6699995305</v>
      </c>
    </row>
    <row r="5589" spans="1:5" x14ac:dyDescent="0.25">
      <c r="A5589" s="2" t="s">
        <v>38</v>
      </c>
      <c r="B5589" s="6">
        <v>46093</v>
      </c>
      <c r="C5589" s="2" t="s">
        <v>19</v>
      </c>
      <c r="D5589" s="8">
        <v>-156</v>
      </c>
      <c r="E5589" s="8">
        <f>E5588+(0-156)</f>
        <v>8498438.6699995305</v>
      </c>
    </row>
    <row r="5590" spans="1:5" x14ac:dyDescent="0.25">
      <c r="A5590" s="2" t="s">
        <v>38</v>
      </c>
      <c r="B5590" s="6">
        <v>46093</v>
      </c>
      <c r="C5590" s="2" t="s">
        <v>53</v>
      </c>
      <c r="D5590" s="8">
        <v>-26.88</v>
      </c>
      <c r="E5590" s="8">
        <f>E5589+(0-26.88)</f>
        <v>8498411.7899995297</v>
      </c>
    </row>
    <row r="5591" spans="1:5" x14ac:dyDescent="0.25">
      <c r="A5591" s="2" t="s">
        <v>38</v>
      </c>
      <c r="B5591" s="6">
        <v>46093</v>
      </c>
      <c r="C5591" s="2" t="s">
        <v>53</v>
      </c>
      <c r="D5591" s="8">
        <v>-50</v>
      </c>
      <c r="E5591" s="8">
        <f>E5590+(0-50)</f>
        <v>8498361.7899995297</v>
      </c>
    </row>
    <row r="5592" spans="1:5" x14ac:dyDescent="0.25">
      <c r="A5592" s="2" t="s">
        <v>38</v>
      </c>
      <c r="B5592" s="6">
        <v>46094</v>
      </c>
      <c r="C5592" s="2" t="s">
        <v>19</v>
      </c>
      <c r="D5592" s="8">
        <v>-156</v>
      </c>
      <c r="E5592" s="8">
        <f>E5591+(0-156)</f>
        <v>8498205.7899995297</v>
      </c>
    </row>
    <row r="5593" spans="1:5" x14ac:dyDescent="0.25">
      <c r="A5593" s="2" t="s">
        <v>38</v>
      </c>
      <c r="B5593" s="6">
        <v>46094</v>
      </c>
      <c r="C5593" s="2" t="s">
        <v>16</v>
      </c>
      <c r="D5593" s="8">
        <v>-50</v>
      </c>
      <c r="E5593" s="8">
        <f>E5592+(0-50)</f>
        <v>8498155.7899995297</v>
      </c>
    </row>
    <row r="5594" spans="1:5" x14ac:dyDescent="0.25">
      <c r="A5594" s="2" t="s">
        <v>38</v>
      </c>
      <c r="B5594" s="6">
        <v>46094</v>
      </c>
      <c r="C5594" s="2" t="s">
        <v>16</v>
      </c>
      <c r="D5594" s="8">
        <v>-50</v>
      </c>
      <c r="E5594" s="8">
        <f>E5593+(0-50)</f>
        <v>8498105.7899995297</v>
      </c>
    </row>
    <row r="5595" spans="1:5" x14ac:dyDescent="0.25">
      <c r="A5595" s="2" t="s">
        <v>38</v>
      </c>
      <c r="B5595" s="6">
        <v>46097</v>
      </c>
      <c r="C5595" s="2" t="s">
        <v>19</v>
      </c>
      <c r="D5595" s="8">
        <v>-288</v>
      </c>
      <c r="E5595" s="8">
        <f>E5594+(0-288)</f>
        <v>8497817.7899995297</v>
      </c>
    </row>
    <row r="5596" spans="1:5" x14ac:dyDescent="0.25">
      <c r="A5596" s="2" t="s">
        <v>38</v>
      </c>
      <c r="B5596" s="6">
        <v>46097</v>
      </c>
      <c r="C5596" s="2" t="s">
        <v>16</v>
      </c>
      <c r="D5596" s="8">
        <v>-50</v>
      </c>
      <c r="E5596" s="8">
        <f>E5595+(0-50)</f>
        <v>8497767.7899995297</v>
      </c>
    </row>
    <row r="5597" spans="1:5" x14ac:dyDescent="0.25">
      <c r="A5597" s="2" t="s">
        <v>38</v>
      </c>
      <c r="B5597" s="6">
        <v>46097</v>
      </c>
      <c r="C5597" s="2" t="s">
        <v>16</v>
      </c>
      <c r="D5597" s="8">
        <v>-50</v>
      </c>
      <c r="E5597" s="8">
        <f>E5596+(0-50)</f>
        <v>8497717.7899995297</v>
      </c>
    </row>
    <row r="5598" spans="1:5" x14ac:dyDescent="0.25">
      <c r="A5598" s="2" t="s">
        <v>38</v>
      </c>
      <c r="B5598" s="6">
        <v>46099</v>
      </c>
      <c r="C5598" s="2" t="s">
        <v>19</v>
      </c>
      <c r="D5598" s="8">
        <v>-60</v>
      </c>
      <c r="E5598" s="8">
        <f>E5597+(0-60)</f>
        <v>8497657.7899995297</v>
      </c>
    </row>
    <row r="5599" spans="1:5" x14ac:dyDescent="0.25">
      <c r="A5599" s="2" t="s">
        <v>38</v>
      </c>
      <c r="B5599" s="6">
        <v>46099</v>
      </c>
      <c r="C5599" s="2" t="s">
        <v>19</v>
      </c>
      <c r="D5599" s="8">
        <v>-24</v>
      </c>
      <c r="E5599" s="8">
        <f>E5598+(0-24)</f>
        <v>8497633.7899995297</v>
      </c>
    </row>
    <row r="5600" spans="1:5" x14ac:dyDescent="0.25">
      <c r="A5600" s="2" t="s">
        <v>38</v>
      </c>
      <c r="B5600" s="6">
        <v>46099</v>
      </c>
      <c r="C5600" s="2" t="s">
        <v>53</v>
      </c>
      <c r="D5600" s="8">
        <v>-53.75</v>
      </c>
      <c r="E5600" s="8">
        <f>E5599+(0-53.75)</f>
        <v>8497580.0399995297</v>
      </c>
    </row>
    <row r="5601" spans="1:5" x14ac:dyDescent="0.25">
      <c r="A5601" s="2" t="s">
        <v>38</v>
      </c>
      <c r="B5601" s="6">
        <v>46099</v>
      </c>
      <c r="C5601" s="2" t="s">
        <v>238</v>
      </c>
      <c r="D5601" s="8">
        <v>-50</v>
      </c>
      <c r="E5601" s="8">
        <f>E5600+(0-50)</f>
        <v>8497530.0399995297</v>
      </c>
    </row>
    <row r="5602" spans="1:5" x14ac:dyDescent="0.25">
      <c r="A5602" s="2" t="s">
        <v>38</v>
      </c>
      <c r="B5602" s="6">
        <v>46099</v>
      </c>
      <c r="C5602" s="2" t="s">
        <v>19</v>
      </c>
      <c r="D5602" s="8">
        <v>-204</v>
      </c>
      <c r="E5602" s="8">
        <f>E5601+(0-204)</f>
        <v>8497326.0399995297</v>
      </c>
    </row>
    <row r="5603" spans="1:5" x14ac:dyDescent="0.25">
      <c r="A5603" s="2" t="s">
        <v>38</v>
      </c>
      <c r="B5603" s="6">
        <v>46099</v>
      </c>
      <c r="C5603" s="2" t="s">
        <v>19</v>
      </c>
      <c r="D5603" s="8">
        <v>-132</v>
      </c>
      <c r="E5603" s="8">
        <f>E5602+(0-132)</f>
        <v>8497194.0399995297</v>
      </c>
    </row>
    <row r="5604" spans="1:5" x14ac:dyDescent="0.25">
      <c r="A5604" s="2" t="s">
        <v>38</v>
      </c>
      <c r="B5604" s="6">
        <v>46099</v>
      </c>
      <c r="C5604" s="2" t="s">
        <v>53</v>
      </c>
      <c r="D5604" s="8">
        <v>-53.75</v>
      </c>
      <c r="E5604" s="8">
        <f>E5603+(0-53.75)</f>
        <v>8497140.2899995297</v>
      </c>
    </row>
    <row r="5605" spans="1:5" x14ac:dyDescent="0.25">
      <c r="A5605" s="2" t="s">
        <v>38</v>
      </c>
      <c r="B5605" s="6">
        <v>46099</v>
      </c>
      <c r="C5605" s="2" t="s">
        <v>16</v>
      </c>
      <c r="D5605" s="8">
        <v>-50</v>
      </c>
      <c r="E5605" s="8">
        <f>E5604+(0-50)</f>
        <v>8497090.2899995297</v>
      </c>
    </row>
    <row r="5606" spans="1:5" x14ac:dyDescent="0.25">
      <c r="A5606" s="2" t="s">
        <v>38</v>
      </c>
      <c r="B5606" s="6">
        <v>46099</v>
      </c>
      <c r="C5606" s="2" t="s">
        <v>16</v>
      </c>
      <c r="D5606" s="8">
        <v>-50</v>
      </c>
      <c r="E5606" s="8">
        <f>E5605+(0-50)</f>
        <v>8497040.2899995297</v>
      </c>
    </row>
    <row r="5607" spans="1:5" x14ac:dyDescent="0.25">
      <c r="A5607" s="2" t="s">
        <v>38</v>
      </c>
      <c r="B5607" s="6">
        <v>46104</v>
      </c>
      <c r="C5607" s="2" t="s">
        <v>19</v>
      </c>
      <c r="D5607" s="8">
        <v>-168</v>
      </c>
      <c r="E5607" s="8">
        <f>E5606+(0-168)</f>
        <v>8496872.2899995297</v>
      </c>
    </row>
    <row r="5608" spans="1:5" x14ac:dyDescent="0.25">
      <c r="A5608" s="2" t="s">
        <v>38</v>
      </c>
      <c r="B5608" s="6">
        <v>46104</v>
      </c>
      <c r="C5608" s="2" t="s">
        <v>53</v>
      </c>
      <c r="D5608" s="8">
        <v>-26.88</v>
      </c>
      <c r="E5608" s="8">
        <f>E5607+(0-26.88)</f>
        <v>8496845.4099995289</v>
      </c>
    </row>
    <row r="5609" spans="1:5" x14ac:dyDescent="0.25">
      <c r="A5609" s="2" t="s">
        <v>38</v>
      </c>
      <c r="B5609" s="6">
        <v>46104</v>
      </c>
      <c r="C5609" s="2" t="s">
        <v>19</v>
      </c>
      <c r="D5609" s="8">
        <v>-36</v>
      </c>
      <c r="E5609" s="8">
        <f>E5608+(0-36)</f>
        <v>8496809.4099995289</v>
      </c>
    </row>
    <row r="5610" spans="1:5" x14ac:dyDescent="0.25">
      <c r="A5610" s="2" t="s">
        <v>38</v>
      </c>
      <c r="B5610" s="6">
        <v>46104</v>
      </c>
      <c r="C5610" s="2" t="s">
        <v>19</v>
      </c>
      <c r="D5610" s="8">
        <v>-36</v>
      </c>
      <c r="E5610" s="8">
        <f>E5609+(0-36)</f>
        <v>8496773.4099995289</v>
      </c>
    </row>
    <row r="5611" spans="1:5" x14ac:dyDescent="0.25">
      <c r="A5611" s="2" t="s">
        <v>38</v>
      </c>
      <c r="B5611" s="6">
        <v>46104</v>
      </c>
      <c r="C5611" s="2" t="s">
        <v>53</v>
      </c>
      <c r="D5611" s="8">
        <v>-53.75</v>
      </c>
      <c r="E5611" s="8">
        <f>E5610+(0-53.75)</f>
        <v>8496719.6599995289</v>
      </c>
    </row>
    <row r="5612" spans="1:5" x14ac:dyDescent="0.25">
      <c r="A5612" s="2" t="s">
        <v>38</v>
      </c>
      <c r="B5612" s="6">
        <v>46104</v>
      </c>
      <c r="C5612" s="2" t="s">
        <v>16</v>
      </c>
      <c r="D5612" s="8">
        <v>-50</v>
      </c>
      <c r="E5612" s="8">
        <f>E5611+(0-50)</f>
        <v>8496669.6599995289</v>
      </c>
    </row>
    <row r="5613" spans="1:5" x14ac:dyDescent="0.25">
      <c r="A5613" s="2" t="s">
        <v>38</v>
      </c>
      <c r="B5613" s="6">
        <v>46104</v>
      </c>
      <c r="C5613" s="2" t="s">
        <v>16</v>
      </c>
      <c r="D5613" s="8">
        <v>-50</v>
      </c>
      <c r="E5613" s="8">
        <f>E5612+(0-50)</f>
        <v>8496619.6599995289</v>
      </c>
    </row>
    <row r="5614" spans="1:5" x14ac:dyDescent="0.25">
      <c r="A5614" s="2" t="s">
        <v>38</v>
      </c>
      <c r="B5614" s="6">
        <v>46104</v>
      </c>
      <c r="C5614" s="2" t="s">
        <v>16</v>
      </c>
      <c r="D5614" s="8">
        <v>-50</v>
      </c>
      <c r="E5614" s="8">
        <f>E5613+(0-50)</f>
        <v>8496569.6599995289</v>
      </c>
    </row>
    <row r="5615" spans="1:5" x14ac:dyDescent="0.25">
      <c r="A5615" s="2" t="s">
        <v>38</v>
      </c>
      <c r="B5615" s="6">
        <v>46104</v>
      </c>
      <c r="C5615" s="2" t="s">
        <v>16</v>
      </c>
      <c r="D5615" s="8">
        <v>-50</v>
      </c>
      <c r="E5615" s="8">
        <f>E5614+(0-50)</f>
        <v>8496519.6599995289</v>
      </c>
    </row>
    <row r="5616" spans="1:5" x14ac:dyDescent="0.25">
      <c r="A5616" s="2" t="s">
        <v>38</v>
      </c>
      <c r="B5616" s="6">
        <v>46105</v>
      </c>
      <c r="C5616" s="2" t="s">
        <v>19</v>
      </c>
      <c r="D5616" s="8">
        <v>-240</v>
      </c>
      <c r="E5616" s="8">
        <f>E5615+(0-240)</f>
        <v>8496279.6599995289</v>
      </c>
    </row>
    <row r="5617" spans="1:5" x14ac:dyDescent="0.25">
      <c r="A5617" s="2" t="s">
        <v>38</v>
      </c>
      <c r="B5617" s="6">
        <v>46106</v>
      </c>
      <c r="C5617" s="2" t="s">
        <v>53</v>
      </c>
      <c r="D5617" s="8">
        <v>-108</v>
      </c>
      <c r="E5617" s="8">
        <f>E5616+(0-108)</f>
        <v>8496171.6599995289</v>
      </c>
    </row>
    <row r="5618" spans="1:5" x14ac:dyDescent="0.25">
      <c r="A5618" s="2" t="s">
        <v>38</v>
      </c>
      <c r="B5618" s="6">
        <v>46106</v>
      </c>
      <c r="C5618" s="2" t="s">
        <v>53</v>
      </c>
      <c r="D5618" s="8">
        <v>-53.75</v>
      </c>
      <c r="E5618" s="8">
        <f>E5617+(0-53.75)</f>
        <v>8496117.9099995289</v>
      </c>
    </row>
    <row r="5619" spans="1:5" x14ac:dyDescent="0.25">
      <c r="A5619" s="2" t="s">
        <v>38</v>
      </c>
      <c r="B5619" s="6">
        <v>46106</v>
      </c>
      <c r="C5619" s="2" t="s">
        <v>53</v>
      </c>
      <c r="D5619" s="8">
        <v>-26.88</v>
      </c>
      <c r="E5619" s="8">
        <f>E5618+(0-26.88)</f>
        <v>8496091.0299995281</v>
      </c>
    </row>
    <row r="5620" spans="1:5" x14ac:dyDescent="0.25">
      <c r="A5620" s="2" t="s">
        <v>38</v>
      </c>
      <c r="B5620" s="6">
        <v>46106</v>
      </c>
      <c r="C5620" s="2" t="s">
        <v>16</v>
      </c>
      <c r="D5620" s="8">
        <v>-50</v>
      </c>
      <c r="E5620" s="8">
        <f>E5619+(0-50)</f>
        <v>8496041.0299995281</v>
      </c>
    </row>
    <row r="5621" spans="1:5" x14ac:dyDescent="0.25">
      <c r="A5621" s="2" t="s">
        <v>38</v>
      </c>
      <c r="B5621" s="6">
        <v>46106</v>
      </c>
      <c r="C5621" s="2" t="s">
        <v>16</v>
      </c>
      <c r="D5621" s="8">
        <v>-50</v>
      </c>
      <c r="E5621" s="8">
        <f>E5620+(0-50)</f>
        <v>8495991.0299995281</v>
      </c>
    </row>
    <row r="5622" spans="1:5" x14ac:dyDescent="0.25">
      <c r="A5622" s="2" t="s">
        <v>38</v>
      </c>
      <c r="B5622" s="6">
        <v>46107</v>
      </c>
      <c r="C5622" s="2" t="s">
        <v>53</v>
      </c>
      <c r="D5622" s="8">
        <v>-53.75</v>
      </c>
      <c r="E5622" s="8">
        <f>E5621+(0-53.75)</f>
        <v>8495937.2799995281</v>
      </c>
    </row>
    <row r="5623" spans="1:5" x14ac:dyDescent="0.25">
      <c r="A5623" s="2" t="s">
        <v>38</v>
      </c>
      <c r="B5623" s="6">
        <v>46107</v>
      </c>
      <c r="C5623" s="2" t="s">
        <v>16</v>
      </c>
      <c r="D5623" s="8">
        <v>-50</v>
      </c>
      <c r="E5623" s="8">
        <f>E5622+(0-50)</f>
        <v>8495887.2799995281</v>
      </c>
    </row>
    <row r="5624" spans="1:5" x14ac:dyDescent="0.25">
      <c r="A5624" s="2" t="s">
        <v>38</v>
      </c>
      <c r="B5624" s="6">
        <v>46107</v>
      </c>
      <c r="C5624" s="2" t="s">
        <v>16</v>
      </c>
      <c r="D5624" s="8">
        <v>-50</v>
      </c>
      <c r="E5624" s="8">
        <f>E5623+(0-50)</f>
        <v>8495837.2799995281</v>
      </c>
    </row>
    <row r="5625" spans="1:5" x14ac:dyDescent="0.25">
      <c r="A5625" s="2" t="s">
        <v>38</v>
      </c>
      <c r="B5625" s="6">
        <v>46107</v>
      </c>
      <c r="C5625" s="2" t="s">
        <v>53</v>
      </c>
      <c r="D5625" s="8">
        <v>-26.88</v>
      </c>
      <c r="E5625" s="8">
        <f>E5624+(0-26.88)</f>
        <v>8495810.3999995273</v>
      </c>
    </row>
    <row r="5626" spans="1:5" x14ac:dyDescent="0.25">
      <c r="A5626" s="2" t="s">
        <v>38</v>
      </c>
      <c r="B5626" s="6">
        <v>46107</v>
      </c>
      <c r="C5626" s="2" t="s">
        <v>53</v>
      </c>
      <c r="D5626" s="8">
        <v>-53.75</v>
      </c>
      <c r="E5626" s="8">
        <f>E5625+(0-53.75)</f>
        <v>8495756.6499995273</v>
      </c>
    </row>
    <row r="5627" spans="1:5" x14ac:dyDescent="0.25">
      <c r="A5627" s="2" t="s">
        <v>38</v>
      </c>
      <c r="B5627" s="6">
        <v>46107</v>
      </c>
      <c r="C5627" s="2" t="s">
        <v>53</v>
      </c>
      <c r="D5627" s="8">
        <v>-53.75</v>
      </c>
      <c r="E5627" s="8">
        <f>E5626+(0-53.75)</f>
        <v>8495702.8999995273</v>
      </c>
    </row>
    <row r="5628" spans="1:5" x14ac:dyDescent="0.25">
      <c r="A5628" s="2" t="s">
        <v>38</v>
      </c>
      <c r="B5628" s="6">
        <v>46107</v>
      </c>
      <c r="C5628" s="2" t="s">
        <v>16</v>
      </c>
      <c r="D5628" s="8">
        <v>-50</v>
      </c>
      <c r="E5628" s="8">
        <f>E5627+(0-50)</f>
        <v>8495652.8999995273</v>
      </c>
    </row>
    <row r="5629" spans="1:5" x14ac:dyDescent="0.25">
      <c r="A5629" s="2" t="s">
        <v>38</v>
      </c>
      <c r="B5629" s="6">
        <v>46107</v>
      </c>
      <c r="C5629" s="2" t="s">
        <v>16</v>
      </c>
      <c r="D5629" s="8">
        <v>-50</v>
      </c>
      <c r="E5629" s="8">
        <f>E5628+(0-50)</f>
        <v>8495602.8999995273</v>
      </c>
    </row>
    <row r="5630" spans="1:5" x14ac:dyDescent="0.25">
      <c r="A5630" s="2" t="s">
        <v>38</v>
      </c>
      <c r="B5630" s="6">
        <v>46107</v>
      </c>
      <c r="C5630" s="2" t="s">
        <v>16</v>
      </c>
      <c r="D5630" s="8">
        <v>-50</v>
      </c>
      <c r="E5630" s="8">
        <f>E5629+(0-50)</f>
        <v>8495552.8999995273</v>
      </c>
    </row>
    <row r="5631" spans="1:5" x14ac:dyDescent="0.25">
      <c r="A5631" s="2" t="s">
        <v>38</v>
      </c>
      <c r="B5631" s="6">
        <v>46107</v>
      </c>
      <c r="C5631" s="2" t="s">
        <v>53</v>
      </c>
      <c r="D5631" s="8">
        <v>-53.75</v>
      </c>
      <c r="E5631" s="8">
        <f>E5630+(0-53.75)</f>
        <v>8495499.1499995273</v>
      </c>
    </row>
    <row r="5632" spans="1:5" x14ac:dyDescent="0.25">
      <c r="A5632" s="2" t="s">
        <v>38</v>
      </c>
      <c r="B5632" s="6">
        <v>46107</v>
      </c>
      <c r="C5632" s="2" t="s">
        <v>53</v>
      </c>
      <c r="D5632" s="8">
        <v>-53.75</v>
      </c>
      <c r="E5632" s="8">
        <f>E5631+(0-53.75)</f>
        <v>8495445.3999995273</v>
      </c>
    </row>
    <row r="5633" spans="1:5" x14ac:dyDescent="0.25">
      <c r="A5633" s="2" t="s">
        <v>38</v>
      </c>
      <c r="B5633" s="6">
        <v>46107</v>
      </c>
      <c r="C5633" s="2" t="s">
        <v>233</v>
      </c>
      <c r="D5633" s="8">
        <v>-1284</v>
      </c>
      <c r="E5633" s="8">
        <f>E5632+(0-1284)</f>
        <v>8494161.3999995273</v>
      </c>
    </row>
    <row r="5634" spans="1:5" x14ac:dyDescent="0.25">
      <c r="A5634" s="2" t="s">
        <v>38</v>
      </c>
      <c r="B5634" s="6">
        <v>46107</v>
      </c>
      <c r="C5634" s="2" t="s">
        <v>16</v>
      </c>
      <c r="D5634" s="8">
        <v>-50</v>
      </c>
      <c r="E5634" s="8">
        <f>E5633+(0-50)</f>
        <v>8494111.3999995273</v>
      </c>
    </row>
    <row r="5635" spans="1:5" x14ac:dyDescent="0.25">
      <c r="A5635" s="2" t="s">
        <v>38</v>
      </c>
      <c r="B5635" s="6">
        <v>46107</v>
      </c>
      <c r="C5635" s="2" t="s">
        <v>16</v>
      </c>
      <c r="D5635" s="8">
        <v>-50</v>
      </c>
      <c r="E5635" s="8">
        <f>E5634+(0-50)</f>
        <v>8494061.3999995273</v>
      </c>
    </row>
    <row r="5636" spans="1:5" x14ac:dyDescent="0.25">
      <c r="A5636" s="2" t="s">
        <v>38</v>
      </c>
      <c r="B5636" s="6">
        <v>46107</v>
      </c>
      <c r="C5636" s="2" t="s">
        <v>16</v>
      </c>
      <c r="D5636" s="8">
        <v>-50</v>
      </c>
      <c r="E5636" s="8">
        <f>E5635+(0-50)</f>
        <v>8494011.3999995273</v>
      </c>
    </row>
    <row r="5637" spans="1:5" x14ac:dyDescent="0.25">
      <c r="A5637" s="2" t="s">
        <v>38</v>
      </c>
      <c r="B5637" s="6">
        <v>46107</v>
      </c>
      <c r="C5637" s="2" t="s">
        <v>16</v>
      </c>
      <c r="D5637" s="8">
        <v>-50</v>
      </c>
      <c r="E5637" s="8">
        <f>E5636+(0-50)</f>
        <v>8493961.3999995273</v>
      </c>
    </row>
    <row r="5638" spans="1:5" x14ac:dyDescent="0.25">
      <c r="A5638" s="2" t="s">
        <v>38</v>
      </c>
      <c r="B5638" s="6">
        <v>46107</v>
      </c>
      <c r="C5638" s="2" t="s">
        <v>16</v>
      </c>
      <c r="D5638" s="8">
        <v>-50</v>
      </c>
      <c r="E5638" s="8">
        <f>E5637+(0-50)</f>
        <v>8493911.3999995273</v>
      </c>
    </row>
    <row r="5639" spans="1:5" x14ac:dyDescent="0.25">
      <c r="A5639" s="2" t="s">
        <v>38</v>
      </c>
      <c r="B5639" s="6">
        <v>46107</v>
      </c>
      <c r="C5639" s="2" t="s">
        <v>16</v>
      </c>
      <c r="D5639" s="8">
        <v>-50</v>
      </c>
      <c r="E5639" s="8">
        <f>E5638+(0-50)</f>
        <v>8493861.3999995273</v>
      </c>
    </row>
    <row r="5640" spans="1:5" x14ac:dyDescent="0.25">
      <c r="A5640" s="2" t="s">
        <v>38</v>
      </c>
      <c r="B5640" s="6">
        <v>46107</v>
      </c>
      <c r="C5640" s="2" t="s">
        <v>16</v>
      </c>
      <c r="D5640" s="8">
        <v>-50</v>
      </c>
      <c r="E5640" s="8">
        <f>E5639+(0-50)</f>
        <v>8493811.3999995273</v>
      </c>
    </row>
    <row r="5641" spans="1:5" x14ac:dyDescent="0.25">
      <c r="A5641" s="2" t="s">
        <v>38</v>
      </c>
      <c r="B5641" s="6">
        <v>46108</v>
      </c>
      <c r="C5641" s="2" t="s">
        <v>53</v>
      </c>
      <c r="D5641" s="8">
        <v>-26.88</v>
      </c>
      <c r="E5641" s="8">
        <f>E5640+(0-26.88)</f>
        <v>8493784.5199995264</v>
      </c>
    </row>
    <row r="5642" spans="1:5" x14ac:dyDescent="0.25">
      <c r="A5642" s="2" t="s">
        <v>38</v>
      </c>
      <c r="B5642" s="6">
        <v>46108</v>
      </c>
      <c r="C5642" s="2" t="s">
        <v>16</v>
      </c>
      <c r="D5642" s="8">
        <v>-50</v>
      </c>
      <c r="E5642" s="8">
        <f>E5641+(0-50)</f>
        <v>8493734.5199995264</v>
      </c>
    </row>
    <row r="5643" spans="1:5" x14ac:dyDescent="0.25">
      <c r="A5643" s="2" t="s">
        <v>38</v>
      </c>
      <c r="B5643" s="6">
        <v>46111</v>
      </c>
      <c r="C5643" s="2" t="s">
        <v>53</v>
      </c>
      <c r="D5643" s="8">
        <v>-53.75</v>
      </c>
      <c r="E5643" s="8">
        <f>E5642+(0-53.75)</f>
        <v>8493680.7699995264</v>
      </c>
    </row>
    <row r="5644" spans="1:5" x14ac:dyDescent="0.25">
      <c r="A5644" s="2" t="s">
        <v>38</v>
      </c>
      <c r="B5644" s="6">
        <v>46111</v>
      </c>
      <c r="C5644" s="2" t="s">
        <v>53</v>
      </c>
      <c r="D5644" s="8">
        <v>-53.75</v>
      </c>
      <c r="E5644" s="8">
        <f>E5643+(0-53.75)</f>
        <v>8493627.0199995264</v>
      </c>
    </row>
    <row r="5645" spans="1:5" x14ac:dyDescent="0.25">
      <c r="A5645" s="2" t="s">
        <v>38</v>
      </c>
      <c r="B5645" s="6">
        <v>46111</v>
      </c>
      <c r="C5645" s="2" t="s">
        <v>19</v>
      </c>
      <c r="D5645" s="8">
        <v>-156</v>
      </c>
      <c r="E5645" s="8">
        <f>E5644+(0-156)</f>
        <v>8493471.0199995264</v>
      </c>
    </row>
    <row r="5646" spans="1:5" x14ac:dyDescent="0.25">
      <c r="A5646" s="2" t="s">
        <v>38</v>
      </c>
      <c r="B5646" s="6">
        <v>46111</v>
      </c>
      <c r="C5646" s="2" t="s">
        <v>19</v>
      </c>
      <c r="D5646" s="8">
        <v>-336</v>
      </c>
      <c r="E5646" s="8">
        <f>E5645+(0-336)</f>
        <v>8493135.0199995264</v>
      </c>
    </row>
    <row r="5647" spans="1:5" x14ac:dyDescent="0.25">
      <c r="A5647" s="2" t="s">
        <v>38</v>
      </c>
      <c r="B5647" s="6">
        <v>46111</v>
      </c>
      <c r="C5647" s="2" t="s">
        <v>19</v>
      </c>
      <c r="D5647" s="8">
        <v>-300</v>
      </c>
      <c r="E5647" s="8">
        <f>E5646+(0-300)</f>
        <v>8492835.0199995264</v>
      </c>
    </row>
    <row r="5648" spans="1:5" x14ac:dyDescent="0.25">
      <c r="A5648" s="2" t="s">
        <v>38</v>
      </c>
      <c r="B5648" s="6">
        <v>46111</v>
      </c>
      <c r="C5648" s="2" t="s">
        <v>19</v>
      </c>
      <c r="D5648" s="8">
        <v>-60</v>
      </c>
      <c r="E5648" s="8">
        <f>E5647+(0-60)</f>
        <v>8492775.0199995264</v>
      </c>
    </row>
    <row r="5649" spans="1:5" x14ac:dyDescent="0.25">
      <c r="A5649" s="2" t="s">
        <v>38</v>
      </c>
      <c r="B5649" s="6">
        <v>46111</v>
      </c>
      <c r="C5649" s="2" t="s">
        <v>19</v>
      </c>
      <c r="D5649" s="8">
        <v>-12</v>
      </c>
      <c r="E5649" s="8">
        <f>E5648+(0-12)</f>
        <v>8492763.0199995264</v>
      </c>
    </row>
    <row r="5650" spans="1:5" x14ac:dyDescent="0.25">
      <c r="A5650" s="2" t="s">
        <v>38</v>
      </c>
      <c r="B5650" s="6">
        <v>46111</v>
      </c>
      <c r="C5650" s="2" t="s">
        <v>182</v>
      </c>
      <c r="D5650" s="8">
        <v>-500</v>
      </c>
      <c r="E5650" s="8">
        <f>E5649+(0-500)</f>
        <v>8492263.0199995264</v>
      </c>
    </row>
    <row r="5651" spans="1:5" x14ac:dyDescent="0.25">
      <c r="A5651" s="2" t="s">
        <v>38</v>
      </c>
      <c r="B5651" s="6">
        <v>46111</v>
      </c>
      <c r="C5651" s="2" t="s">
        <v>239</v>
      </c>
      <c r="D5651" s="8">
        <v>-37.5</v>
      </c>
      <c r="E5651" s="8">
        <f>E5650+(0-37.5)</f>
        <v>8492225.5199995264</v>
      </c>
    </row>
    <row r="5652" spans="1:5" x14ac:dyDescent="0.25">
      <c r="A5652" s="2" t="s">
        <v>38</v>
      </c>
      <c r="B5652" s="6">
        <v>46111</v>
      </c>
      <c r="C5652" s="2" t="s">
        <v>53</v>
      </c>
      <c r="D5652" s="8">
        <v>-53.75</v>
      </c>
      <c r="E5652" s="8">
        <f>E5651+(0-53.75)</f>
        <v>8492171.7699995264</v>
      </c>
    </row>
    <row r="5653" spans="1:5" x14ac:dyDescent="0.25">
      <c r="A5653" s="2" t="s">
        <v>38</v>
      </c>
      <c r="B5653" s="6">
        <v>46111</v>
      </c>
      <c r="C5653" s="2" t="s">
        <v>16</v>
      </c>
      <c r="D5653" s="8">
        <v>-50</v>
      </c>
      <c r="E5653" s="8">
        <f>E5652+(0-50)</f>
        <v>8492121.7699995264</v>
      </c>
    </row>
    <row r="5654" spans="1:5" x14ac:dyDescent="0.25">
      <c r="A5654" s="2" t="s">
        <v>38</v>
      </c>
      <c r="B5654" s="6">
        <v>46111</v>
      </c>
      <c r="C5654" s="2" t="s">
        <v>16</v>
      </c>
      <c r="D5654" s="8">
        <v>-50</v>
      </c>
      <c r="E5654" s="8">
        <f>E5653+(0-50)</f>
        <v>8492071.7699995264</v>
      </c>
    </row>
    <row r="5655" spans="1:5" x14ac:dyDescent="0.25">
      <c r="A5655" s="2" t="s">
        <v>38</v>
      </c>
      <c r="B5655" s="6">
        <v>46111</v>
      </c>
      <c r="C5655" s="2" t="s">
        <v>16</v>
      </c>
      <c r="D5655" s="8">
        <v>-50</v>
      </c>
      <c r="E5655" s="8">
        <f>E5654+(0-50)</f>
        <v>8492021.7699995264</v>
      </c>
    </row>
    <row r="5656" spans="1:5" x14ac:dyDescent="0.25">
      <c r="A5656" s="2" t="s">
        <v>38</v>
      </c>
      <c r="B5656" s="6">
        <v>46112</v>
      </c>
      <c r="C5656" s="2" t="s">
        <v>19</v>
      </c>
      <c r="D5656" s="8">
        <v>-192</v>
      </c>
      <c r="E5656" s="8">
        <f>E5655+(0-192)</f>
        <v>8491829.7699995264</v>
      </c>
    </row>
    <row r="5657" spans="1:5" x14ac:dyDescent="0.25">
      <c r="A5657" s="2" t="s">
        <v>38</v>
      </c>
      <c r="B5657" s="6">
        <v>46113</v>
      </c>
      <c r="C5657" s="2" t="s">
        <v>19</v>
      </c>
      <c r="D5657" s="8">
        <v>-168</v>
      </c>
      <c r="E5657" s="8">
        <f>E5656+(0-168)</f>
        <v>8491661.7699995264</v>
      </c>
    </row>
    <row r="5658" spans="1:5" x14ac:dyDescent="0.25">
      <c r="A5658" s="2" t="s">
        <v>240</v>
      </c>
      <c r="B5658" s="6">
        <v>43830</v>
      </c>
      <c r="C5658" s="2" t="s">
        <v>241</v>
      </c>
      <c r="D5658" s="8">
        <v>-52.5</v>
      </c>
      <c r="E5658" s="8">
        <f>E5657+(0-52.5)</f>
        <v>8491609.2699995264</v>
      </c>
    </row>
    <row r="5659" spans="1:5" x14ac:dyDescent="0.25">
      <c r="A5659" s="2" t="s">
        <v>240</v>
      </c>
      <c r="B5659" s="6">
        <v>44154</v>
      </c>
      <c r="C5659" s="2" t="s">
        <v>17</v>
      </c>
      <c r="D5659" s="8">
        <v>-52</v>
      </c>
      <c r="E5659" s="8">
        <f>E5658+(0-52)</f>
        <v>8491557.2699995264</v>
      </c>
    </row>
    <row r="5660" spans="1:5" x14ac:dyDescent="0.25">
      <c r="A5660" s="2" t="s">
        <v>242</v>
      </c>
      <c r="B5660" s="6">
        <v>43467</v>
      </c>
      <c r="C5660" s="2" t="s">
        <v>17</v>
      </c>
      <c r="D5660" s="8">
        <v>-8</v>
      </c>
      <c r="E5660" s="8">
        <f>E5659+(0-8)</f>
        <v>8491549.2699995264</v>
      </c>
    </row>
    <row r="5661" spans="1:5" x14ac:dyDescent="0.25">
      <c r="A5661" s="2" t="s">
        <v>242</v>
      </c>
      <c r="B5661" s="6">
        <v>43467</v>
      </c>
      <c r="C5661" s="2" t="s">
        <v>43</v>
      </c>
      <c r="D5661" s="8">
        <v>-50</v>
      </c>
      <c r="E5661" s="8">
        <f>E5660+(0-50)</f>
        <v>8491499.2699995264</v>
      </c>
    </row>
    <row r="5662" spans="1:5" x14ac:dyDescent="0.25">
      <c r="A5662" s="2" t="s">
        <v>242</v>
      </c>
      <c r="B5662" s="6">
        <v>43468</v>
      </c>
      <c r="C5662" s="2" t="s">
        <v>43</v>
      </c>
      <c r="D5662" s="8">
        <v>-50</v>
      </c>
      <c r="E5662" s="8">
        <f>E5661+(0-50)</f>
        <v>8491449.2699995264</v>
      </c>
    </row>
    <row r="5663" spans="1:5" x14ac:dyDescent="0.25">
      <c r="A5663" s="2" t="s">
        <v>242</v>
      </c>
      <c r="B5663" s="6">
        <v>43469</v>
      </c>
      <c r="C5663" s="2" t="s">
        <v>43</v>
      </c>
      <c r="D5663" s="8">
        <v>-50</v>
      </c>
      <c r="E5663" s="8">
        <f>E5662+(0-50)</f>
        <v>8491399.2699995264</v>
      </c>
    </row>
    <row r="5664" spans="1:5" x14ac:dyDescent="0.25">
      <c r="A5664" s="2" t="s">
        <v>242</v>
      </c>
      <c r="B5664" s="6">
        <v>43472</v>
      </c>
      <c r="C5664" s="2" t="s">
        <v>43</v>
      </c>
      <c r="D5664" s="8">
        <v>-50</v>
      </c>
      <c r="E5664" s="8">
        <f>E5663+(0-50)</f>
        <v>8491349.2699995264</v>
      </c>
    </row>
    <row r="5665" spans="1:5" x14ac:dyDescent="0.25">
      <c r="A5665" s="2" t="s">
        <v>242</v>
      </c>
      <c r="B5665" s="6">
        <v>43473</v>
      </c>
      <c r="C5665" s="2" t="s">
        <v>43</v>
      </c>
      <c r="D5665" s="8">
        <v>-100</v>
      </c>
      <c r="E5665" s="8">
        <f>E5664+(0-100)</f>
        <v>8491249.2699995264</v>
      </c>
    </row>
    <row r="5666" spans="1:5" x14ac:dyDescent="0.25">
      <c r="A5666" s="2" t="s">
        <v>242</v>
      </c>
      <c r="B5666" s="6">
        <v>43474</v>
      </c>
      <c r="C5666" s="2" t="s">
        <v>17</v>
      </c>
      <c r="D5666" s="8">
        <v>-132</v>
      </c>
      <c r="E5666" s="8">
        <f>E5665+(0-132)</f>
        <v>8491117.2699995264</v>
      </c>
    </row>
    <row r="5667" spans="1:5" x14ac:dyDescent="0.25">
      <c r="A5667" s="2" t="s">
        <v>242</v>
      </c>
      <c r="B5667" s="6">
        <v>43474</v>
      </c>
      <c r="C5667" s="2" t="s">
        <v>43</v>
      </c>
      <c r="D5667" s="8">
        <v>-50</v>
      </c>
      <c r="E5667" s="8">
        <f>E5666+(0-50)</f>
        <v>8491067.2699995264</v>
      </c>
    </row>
    <row r="5668" spans="1:5" x14ac:dyDescent="0.25">
      <c r="A5668" s="2" t="s">
        <v>242</v>
      </c>
      <c r="B5668" s="6">
        <v>43474</v>
      </c>
      <c r="C5668" s="2" t="s">
        <v>43</v>
      </c>
      <c r="D5668" s="8">
        <v>-150</v>
      </c>
      <c r="E5668" s="8">
        <f>E5667+(0-150)</f>
        <v>8490917.2699995264</v>
      </c>
    </row>
    <row r="5669" spans="1:5" x14ac:dyDescent="0.25">
      <c r="A5669" s="2" t="s">
        <v>242</v>
      </c>
      <c r="B5669" s="6">
        <v>43475</v>
      </c>
      <c r="C5669" s="2" t="s">
        <v>43</v>
      </c>
      <c r="D5669" s="8">
        <v>-50</v>
      </c>
      <c r="E5669" s="8">
        <f>E5668+(0-50)</f>
        <v>8490867.2699995264</v>
      </c>
    </row>
    <row r="5670" spans="1:5" x14ac:dyDescent="0.25">
      <c r="A5670" s="2" t="s">
        <v>242</v>
      </c>
      <c r="B5670" s="6">
        <v>43475</v>
      </c>
      <c r="C5670" s="2" t="s">
        <v>43</v>
      </c>
      <c r="D5670" s="8">
        <v>-50</v>
      </c>
      <c r="E5670" s="8">
        <f>E5669+(0-50)</f>
        <v>8490817.2699995264</v>
      </c>
    </row>
    <row r="5671" spans="1:5" x14ac:dyDescent="0.25">
      <c r="A5671" s="2" t="s">
        <v>242</v>
      </c>
      <c r="B5671" s="6">
        <v>43475</v>
      </c>
      <c r="C5671" s="2" t="s">
        <v>43</v>
      </c>
      <c r="D5671" s="8">
        <v>-150</v>
      </c>
      <c r="E5671" s="8">
        <f>E5670+(0-150)</f>
        <v>8490667.2699995264</v>
      </c>
    </row>
    <row r="5672" spans="1:5" x14ac:dyDescent="0.25">
      <c r="A5672" s="2" t="s">
        <v>242</v>
      </c>
      <c r="B5672" s="6">
        <v>43476</v>
      </c>
      <c r="C5672" s="2" t="s">
        <v>43</v>
      </c>
      <c r="D5672" s="8">
        <v>-50</v>
      </c>
      <c r="E5672" s="8">
        <f>E5671+(0-50)</f>
        <v>8490617.2699995264</v>
      </c>
    </row>
    <row r="5673" spans="1:5" x14ac:dyDescent="0.25">
      <c r="A5673" s="2" t="s">
        <v>242</v>
      </c>
      <c r="B5673" s="6">
        <v>43477</v>
      </c>
      <c r="C5673" s="2" t="s">
        <v>43</v>
      </c>
      <c r="D5673" s="8">
        <v>-150</v>
      </c>
      <c r="E5673" s="8">
        <f>E5672+(0-150)</f>
        <v>8490467.2699995264</v>
      </c>
    </row>
    <row r="5674" spans="1:5" x14ac:dyDescent="0.25">
      <c r="A5674" s="2" t="s">
        <v>242</v>
      </c>
      <c r="B5674" s="6">
        <v>43479</v>
      </c>
      <c r="C5674" s="2" t="s">
        <v>43</v>
      </c>
      <c r="D5674" s="8">
        <v>-150</v>
      </c>
      <c r="E5674" s="8">
        <f>E5673+(0-150)</f>
        <v>8490317.2699995264</v>
      </c>
    </row>
    <row r="5675" spans="1:5" x14ac:dyDescent="0.25">
      <c r="A5675" s="2" t="s">
        <v>242</v>
      </c>
      <c r="B5675" s="6">
        <v>43480</v>
      </c>
      <c r="C5675" s="2" t="s">
        <v>43</v>
      </c>
      <c r="D5675" s="8">
        <v>-50</v>
      </c>
      <c r="E5675" s="8">
        <f>E5674+(0-50)</f>
        <v>8490267.2699995264</v>
      </c>
    </row>
    <row r="5676" spans="1:5" x14ac:dyDescent="0.25">
      <c r="A5676" s="2" t="s">
        <v>242</v>
      </c>
      <c r="B5676" s="6">
        <v>43480</v>
      </c>
      <c r="C5676" s="2" t="s">
        <v>17</v>
      </c>
      <c r="D5676" s="8">
        <v>-324</v>
      </c>
      <c r="E5676" s="8">
        <f>E5675+(0-324)</f>
        <v>8489943.2699995264</v>
      </c>
    </row>
    <row r="5677" spans="1:5" x14ac:dyDescent="0.25">
      <c r="A5677" s="2" t="s">
        <v>242</v>
      </c>
      <c r="B5677" s="6">
        <v>43480</v>
      </c>
      <c r="C5677" s="2" t="s">
        <v>43</v>
      </c>
      <c r="D5677" s="8">
        <v>-50</v>
      </c>
      <c r="E5677" s="8">
        <f>E5676+(0-50)</f>
        <v>8489893.2699995264</v>
      </c>
    </row>
    <row r="5678" spans="1:5" x14ac:dyDescent="0.25">
      <c r="A5678" s="2" t="s">
        <v>242</v>
      </c>
      <c r="B5678" s="6">
        <v>43481</v>
      </c>
      <c r="C5678" s="2" t="s">
        <v>43</v>
      </c>
      <c r="D5678" s="8">
        <v>-50</v>
      </c>
      <c r="E5678" s="8">
        <f>E5677+(0-50)</f>
        <v>8489843.2699995264</v>
      </c>
    </row>
    <row r="5679" spans="1:5" x14ac:dyDescent="0.25">
      <c r="A5679" s="2" t="s">
        <v>242</v>
      </c>
      <c r="B5679" s="6">
        <v>43481</v>
      </c>
      <c r="C5679" s="2" t="s">
        <v>43</v>
      </c>
      <c r="D5679" s="8">
        <v>-150</v>
      </c>
      <c r="E5679" s="8">
        <f>E5678+(0-150)</f>
        <v>8489693.2699995264</v>
      </c>
    </row>
    <row r="5680" spans="1:5" x14ac:dyDescent="0.25">
      <c r="A5680" s="2" t="s">
        <v>242</v>
      </c>
      <c r="B5680" s="6">
        <v>43482</v>
      </c>
      <c r="C5680" s="2" t="s">
        <v>43</v>
      </c>
      <c r="D5680" s="8">
        <v>-50</v>
      </c>
      <c r="E5680" s="8">
        <f>E5679+(0-50)</f>
        <v>8489643.2699995264</v>
      </c>
    </row>
    <row r="5681" spans="1:5" x14ac:dyDescent="0.25">
      <c r="A5681" s="2" t="s">
        <v>242</v>
      </c>
      <c r="B5681" s="6">
        <v>43482</v>
      </c>
      <c r="C5681" s="2" t="s">
        <v>43</v>
      </c>
      <c r="D5681" s="8">
        <v>-100</v>
      </c>
      <c r="E5681" s="8">
        <f>E5680+(0-100)</f>
        <v>8489543.2699995264</v>
      </c>
    </row>
    <row r="5682" spans="1:5" x14ac:dyDescent="0.25">
      <c r="A5682" s="2" t="s">
        <v>242</v>
      </c>
      <c r="B5682" s="6">
        <v>43483</v>
      </c>
      <c r="C5682" s="2" t="s">
        <v>43</v>
      </c>
      <c r="D5682" s="8">
        <v>-100</v>
      </c>
      <c r="E5682" s="8">
        <f>E5681+(0-100)</f>
        <v>8489443.2699995264</v>
      </c>
    </row>
    <row r="5683" spans="1:5" x14ac:dyDescent="0.25">
      <c r="A5683" s="2" t="s">
        <v>242</v>
      </c>
      <c r="B5683" s="6">
        <v>43486</v>
      </c>
      <c r="C5683" s="2" t="s">
        <v>43</v>
      </c>
      <c r="D5683" s="8">
        <v>-50</v>
      </c>
      <c r="E5683" s="8">
        <f>E5682+(0-50)</f>
        <v>8489393.2699995264</v>
      </c>
    </row>
    <row r="5684" spans="1:5" x14ac:dyDescent="0.25">
      <c r="A5684" s="2" t="s">
        <v>242</v>
      </c>
      <c r="B5684" s="6">
        <v>43500</v>
      </c>
      <c r="C5684" s="2" t="s">
        <v>43</v>
      </c>
      <c r="D5684" s="8">
        <v>-200</v>
      </c>
      <c r="E5684" s="8">
        <f>E5683+(0-200)</f>
        <v>8489193.2699995264</v>
      </c>
    </row>
    <row r="5685" spans="1:5" x14ac:dyDescent="0.25">
      <c r="A5685" s="2" t="s">
        <v>242</v>
      </c>
      <c r="B5685" s="6">
        <v>43500</v>
      </c>
      <c r="C5685" s="2" t="s">
        <v>17</v>
      </c>
      <c r="D5685" s="8">
        <v>-248</v>
      </c>
      <c r="E5685" s="8">
        <f>E5684+(0-248)</f>
        <v>8488945.2699995264</v>
      </c>
    </row>
    <row r="5686" spans="1:5" x14ac:dyDescent="0.25">
      <c r="A5686" s="2" t="s">
        <v>242</v>
      </c>
      <c r="B5686" s="6">
        <v>43501</v>
      </c>
      <c r="C5686" s="2" t="s">
        <v>43</v>
      </c>
      <c r="D5686" s="8">
        <v>-50</v>
      </c>
      <c r="E5686" s="8">
        <f>E5685+(0-50)</f>
        <v>8488895.2699995264</v>
      </c>
    </row>
    <row r="5687" spans="1:5" x14ac:dyDescent="0.25">
      <c r="A5687" s="2" t="s">
        <v>242</v>
      </c>
      <c r="B5687" s="6">
        <v>43503</v>
      </c>
      <c r="C5687" s="2" t="s">
        <v>43</v>
      </c>
      <c r="D5687" s="8">
        <v>-50</v>
      </c>
      <c r="E5687" s="8">
        <f>E5686+(0-50)</f>
        <v>8488845.2699995264</v>
      </c>
    </row>
    <row r="5688" spans="1:5" x14ac:dyDescent="0.25">
      <c r="A5688" s="2" t="s">
        <v>242</v>
      </c>
      <c r="B5688" s="6">
        <v>43503</v>
      </c>
      <c r="C5688" s="2" t="s">
        <v>43</v>
      </c>
      <c r="D5688" s="8">
        <v>-50</v>
      </c>
      <c r="E5688" s="8">
        <f>E5687+(0-50)</f>
        <v>8488795.2699995264</v>
      </c>
    </row>
    <row r="5689" spans="1:5" x14ac:dyDescent="0.25">
      <c r="A5689" s="2" t="s">
        <v>242</v>
      </c>
      <c r="B5689" s="6">
        <v>43504</v>
      </c>
      <c r="C5689" s="2" t="s">
        <v>43</v>
      </c>
      <c r="D5689" s="8">
        <v>-50</v>
      </c>
      <c r="E5689" s="8">
        <f>E5688+(0-50)</f>
        <v>8488745.2699995264</v>
      </c>
    </row>
    <row r="5690" spans="1:5" x14ac:dyDescent="0.25">
      <c r="A5690" s="2" t="s">
        <v>242</v>
      </c>
      <c r="B5690" s="6">
        <v>43504</v>
      </c>
      <c r="C5690" s="2" t="s">
        <v>43</v>
      </c>
      <c r="D5690" s="8">
        <v>-250</v>
      </c>
      <c r="E5690" s="8">
        <f>E5689+(0-250)</f>
        <v>8488495.2699995264</v>
      </c>
    </row>
    <row r="5691" spans="1:5" x14ac:dyDescent="0.25">
      <c r="A5691" s="2" t="s">
        <v>242</v>
      </c>
      <c r="B5691" s="6">
        <v>43506</v>
      </c>
      <c r="C5691" s="2" t="s">
        <v>17</v>
      </c>
      <c r="D5691" s="8">
        <v>-112</v>
      </c>
      <c r="E5691" s="8">
        <f>E5690+(0-112)</f>
        <v>8488383.2699995264</v>
      </c>
    </row>
    <row r="5692" spans="1:5" x14ac:dyDescent="0.25">
      <c r="A5692" s="2" t="s">
        <v>242</v>
      </c>
      <c r="B5692" s="6">
        <v>43507</v>
      </c>
      <c r="C5692" s="2" t="s">
        <v>43</v>
      </c>
      <c r="D5692" s="8">
        <v>-50</v>
      </c>
      <c r="E5692" s="8">
        <f>E5691+(0-50)</f>
        <v>8488333.2699995264</v>
      </c>
    </row>
    <row r="5693" spans="1:5" x14ac:dyDescent="0.25">
      <c r="A5693" s="2" t="s">
        <v>242</v>
      </c>
      <c r="B5693" s="6">
        <v>43508</v>
      </c>
      <c r="C5693" s="2" t="s">
        <v>43</v>
      </c>
      <c r="D5693" s="8">
        <v>-50</v>
      </c>
      <c r="E5693" s="8">
        <f>E5692+(0-50)</f>
        <v>8488283.2699995264</v>
      </c>
    </row>
    <row r="5694" spans="1:5" x14ac:dyDescent="0.25">
      <c r="A5694" s="2" t="s">
        <v>242</v>
      </c>
      <c r="B5694" s="6">
        <v>43508</v>
      </c>
      <c r="C5694" s="2" t="s">
        <v>43</v>
      </c>
      <c r="D5694" s="8">
        <v>-50</v>
      </c>
      <c r="E5694" s="8">
        <f>E5693+(0-50)</f>
        <v>8488233.2699995264</v>
      </c>
    </row>
    <row r="5695" spans="1:5" x14ac:dyDescent="0.25">
      <c r="A5695" s="2" t="s">
        <v>242</v>
      </c>
      <c r="B5695" s="6">
        <v>43508</v>
      </c>
      <c r="C5695" s="2" t="s">
        <v>243</v>
      </c>
      <c r="D5695" s="8">
        <v>-52.5</v>
      </c>
      <c r="E5695" s="8">
        <f>E5694+(0-52.5)</f>
        <v>8488180.7699995264</v>
      </c>
    </row>
    <row r="5696" spans="1:5" x14ac:dyDescent="0.25">
      <c r="A5696" s="2" t="s">
        <v>242</v>
      </c>
      <c r="B5696" s="6">
        <v>43511</v>
      </c>
      <c r="C5696" s="2" t="s">
        <v>43</v>
      </c>
      <c r="D5696" s="8">
        <v>-50</v>
      </c>
      <c r="E5696" s="8">
        <f>E5695+(0-50)</f>
        <v>8488130.7699995264</v>
      </c>
    </row>
    <row r="5697" spans="1:5" x14ac:dyDescent="0.25">
      <c r="A5697" s="2" t="s">
        <v>242</v>
      </c>
      <c r="B5697" s="6">
        <v>43511</v>
      </c>
      <c r="C5697" s="2" t="s">
        <v>17</v>
      </c>
      <c r="D5697" s="8">
        <v>-232</v>
      </c>
      <c r="E5697" s="8">
        <f>E5696+(0-232)</f>
        <v>8487898.7699995264</v>
      </c>
    </row>
    <row r="5698" spans="1:5" x14ac:dyDescent="0.25">
      <c r="A5698" s="2" t="s">
        <v>242</v>
      </c>
      <c r="B5698" s="6">
        <v>43525</v>
      </c>
      <c r="C5698" s="2" t="s">
        <v>43</v>
      </c>
      <c r="D5698" s="8">
        <v>-50</v>
      </c>
      <c r="E5698" s="8">
        <f>E5697+(0-50)</f>
        <v>8487848.7699995264</v>
      </c>
    </row>
    <row r="5699" spans="1:5" x14ac:dyDescent="0.25">
      <c r="A5699" s="2" t="s">
        <v>242</v>
      </c>
      <c r="B5699" s="6">
        <v>43528</v>
      </c>
      <c r="C5699" s="2" t="s">
        <v>244</v>
      </c>
      <c r="D5699" s="8">
        <v>-52.5</v>
      </c>
      <c r="E5699" s="8">
        <f>E5698+(0-52.5)</f>
        <v>8487796.2699995264</v>
      </c>
    </row>
    <row r="5700" spans="1:5" x14ac:dyDescent="0.25">
      <c r="A5700" s="2" t="s">
        <v>242</v>
      </c>
      <c r="B5700" s="6">
        <v>43528</v>
      </c>
      <c r="C5700" s="2" t="s">
        <v>43</v>
      </c>
      <c r="D5700" s="8">
        <v>-50</v>
      </c>
      <c r="E5700" s="8">
        <f>E5699+(0-50)</f>
        <v>8487746.2699995264</v>
      </c>
    </row>
    <row r="5701" spans="1:5" x14ac:dyDescent="0.25">
      <c r="A5701" s="2" t="s">
        <v>242</v>
      </c>
      <c r="B5701" s="6">
        <v>43528</v>
      </c>
      <c r="C5701" s="2" t="s">
        <v>245</v>
      </c>
      <c r="D5701" s="8">
        <v>-52.5</v>
      </c>
      <c r="E5701" s="8">
        <f>E5700+(0-52.5)</f>
        <v>8487693.7699995264</v>
      </c>
    </row>
    <row r="5702" spans="1:5" x14ac:dyDescent="0.25">
      <c r="A5702" s="2" t="s">
        <v>242</v>
      </c>
      <c r="B5702" s="6">
        <v>43528</v>
      </c>
      <c r="C5702" s="2" t="s">
        <v>43</v>
      </c>
      <c r="D5702" s="8">
        <v>-100</v>
      </c>
      <c r="E5702" s="8">
        <f>E5701+(0-100)</f>
        <v>8487593.7699995264</v>
      </c>
    </row>
    <row r="5703" spans="1:5" x14ac:dyDescent="0.25">
      <c r="A5703" s="2" t="s">
        <v>242</v>
      </c>
      <c r="B5703" s="6">
        <v>43529</v>
      </c>
      <c r="C5703" s="2" t="s">
        <v>43</v>
      </c>
      <c r="D5703" s="8">
        <v>-50</v>
      </c>
      <c r="E5703" s="8">
        <f>E5702+(0-50)</f>
        <v>8487543.7699995264</v>
      </c>
    </row>
    <row r="5704" spans="1:5" x14ac:dyDescent="0.25">
      <c r="A5704" s="2" t="s">
        <v>242</v>
      </c>
      <c r="B5704" s="6">
        <v>43529</v>
      </c>
      <c r="C5704" s="2" t="s">
        <v>19</v>
      </c>
      <c r="D5704" s="8">
        <v>-284</v>
      </c>
      <c r="E5704" s="8">
        <f>E5703+(0-284)</f>
        <v>8487259.7699995264</v>
      </c>
    </row>
    <row r="5705" spans="1:5" x14ac:dyDescent="0.25">
      <c r="A5705" s="2" t="s">
        <v>242</v>
      </c>
      <c r="B5705" s="6">
        <v>43529</v>
      </c>
      <c r="C5705" s="2" t="s">
        <v>43</v>
      </c>
      <c r="D5705" s="8">
        <v>-100</v>
      </c>
      <c r="E5705" s="8">
        <f>E5704+(0-100)</f>
        <v>8487159.7699995264</v>
      </c>
    </row>
    <row r="5706" spans="1:5" x14ac:dyDescent="0.25">
      <c r="A5706" s="2" t="s">
        <v>242</v>
      </c>
      <c r="B5706" s="6">
        <v>43530</v>
      </c>
      <c r="C5706" s="2" t="s">
        <v>43</v>
      </c>
      <c r="D5706" s="8">
        <v>-50</v>
      </c>
      <c r="E5706" s="8">
        <f>E5705+(0-50)</f>
        <v>8487109.7699995264</v>
      </c>
    </row>
    <row r="5707" spans="1:5" x14ac:dyDescent="0.25">
      <c r="A5707" s="2" t="s">
        <v>242</v>
      </c>
      <c r="B5707" s="6">
        <v>43530</v>
      </c>
      <c r="C5707" s="2" t="s">
        <v>43</v>
      </c>
      <c r="D5707" s="8">
        <v>-100</v>
      </c>
      <c r="E5707" s="8">
        <f>E5706+(0-100)</f>
        <v>8487009.7699995264</v>
      </c>
    </row>
    <row r="5708" spans="1:5" x14ac:dyDescent="0.25">
      <c r="A5708" s="2" t="s">
        <v>242</v>
      </c>
      <c r="B5708" s="6">
        <v>43532</v>
      </c>
      <c r="C5708" s="2" t="s">
        <v>43</v>
      </c>
      <c r="D5708" s="8">
        <v>-50</v>
      </c>
      <c r="E5708" s="8">
        <f>E5707+(0-50)</f>
        <v>8486959.7699995264</v>
      </c>
    </row>
    <row r="5709" spans="1:5" x14ac:dyDescent="0.25">
      <c r="A5709" s="2" t="s">
        <v>242</v>
      </c>
      <c r="B5709" s="6">
        <v>43535</v>
      </c>
      <c r="C5709" s="2" t="s">
        <v>43</v>
      </c>
      <c r="D5709" s="8">
        <v>-50</v>
      </c>
      <c r="E5709" s="8">
        <f>E5708+(0-50)</f>
        <v>8486909.7699995264</v>
      </c>
    </row>
    <row r="5710" spans="1:5" x14ac:dyDescent="0.25">
      <c r="A5710" s="2" t="s">
        <v>242</v>
      </c>
      <c r="B5710" s="6">
        <v>43535</v>
      </c>
      <c r="C5710" s="2" t="s">
        <v>17</v>
      </c>
      <c r="D5710" s="8">
        <v>-208</v>
      </c>
      <c r="E5710" s="8">
        <f>E5709+(0-208)</f>
        <v>8486701.7699995264</v>
      </c>
    </row>
    <row r="5711" spans="1:5" x14ac:dyDescent="0.25">
      <c r="A5711" s="2" t="s">
        <v>242</v>
      </c>
      <c r="B5711" s="6">
        <v>43535</v>
      </c>
      <c r="C5711" s="2" t="s">
        <v>43</v>
      </c>
      <c r="D5711" s="8">
        <v>-200</v>
      </c>
      <c r="E5711" s="8">
        <f>E5710+(0-200)</f>
        <v>8486501.7699995264</v>
      </c>
    </row>
    <row r="5712" spans="1:5" x14ac:dyDescent="0.25">
      <c r="A5712" s="2" t="s">
        <v>242</v>
      </c>
      <c r="B5712" s="6">
        <v>43536</v>
      </c>
      <c r="C5712" s="2" t="s">
        <v>43</v>
      </c>
      <c r="D5712" s="8">
        <v>-100</v>
      </c>
      <c r="E5712" s="8">
        <f>E5711+(0-100)</f>
        <v>8486401.7699995264</v>
      </c>
    </row>
    <row r="5713" spans="1:5" x14ac:dyDescent="0.25">
      <c r="A5713" s="2" t="s">
        <v>242</v>
      </c>
      <c r="B5713" s="6">
        <v>43537</v>
      </c>
      <c r="C5713" s="2" t="s">
        <v>246</v>
      </c>
      <c r="D5713" s="8">
        <v>-50</v>
      </c>
      <c r="E5713" s="8">
        <f>E5712+(0-50)</f>
        <v>8486351.7699995264</v>
      </c>
    </row>
    <row r="5714" spans="1:5" x14ac:dyDescent="0.25">
      <c r="A5714" s="2" t="s">
        <v>242</v>
      </c>
      <c r="B5714" s="6">
        <v>43538</v>
      </c>
      <c r="C5714" s="2" t="s">
        <v>43</v>
      </c>
      <c r="D5714" s="8">
        <v>-250</v>
      </c>
      <c r="E5714" s="8">
        <f>E5713+(0-250)</f>
        <v>8486101.7699995264</v>
      </c>
    </row>
    <row r="5715" spans="1:5" x14ac:dyDescent="0.25">
      <c r="A5715" s="2" t="s">
        <v>242</v>
      </c>
      <c r="B5715" s="6">
        <v>43539</v>
      </c>
      <c r="C5715" s="2" t="s">
        <v>43</v>
      </c>
      <c r="D5715" s="8">
        <v>-100</v>
      </c>
      <c r="E5715" s="8">
        <f>E5714+(0-100)</f>
        <v>8486001.7699995264</v>
      </c>
    </row>
    <row r="5716" spans="1:5" x14ac:dyDescent="0.25">
      <c r="A5716" s="2" t="s">
        <v>242</v>
      </c>
      <c r="B5716" s="6">
        <v>43542</v>
      </c>
      <c r="C5716" s="2" t="s">
        <v>49</v>
      </c>
      <c r="D5716" s="8">
        <v>-52.5</v>
      </c>
      <c r="E5716" s="8">
        <f>E5715+(0-52.5)</f>
        <v>8485949.2699995264</v>
      </c>
    </row>
    <row r="5717" spans="1:5" x14ac:dyDescent="0.25">
      <c r="A5717" s="2" t="s">
        <v>242</v>
      </c>
      <c r="B5717" s="6">
        <v>43542</v>
      </c>
      <c r="C5717" s="2" t="s">
        <v>17</v>
      </c>
      <c r="D5717" s="8">
        <v>-256</v>
      </c>
      <c r="E5717" s="8">
        <f>E5716+(0-256)</f>
        <v>8485693.2699995264</v>
      </c>
    </row>
    <row r="5718" spans="1:5" x14ac:dyDescent="0.25">
      <c r="A5718" s="2" t="s">
        <v>242</v>
      </c>
      <c r="B5718" s="6">
        <v>43542</v>
      </c>
      <c r="C5718" s="2" t="s">
        <v>43</v>
      </c>
      <c r="D5718" s="8">
        <v>-100</v>
      </c>
      <c r="E5718" s="8">
        <f>E5717+(0-100)</f>
        <v>8485593.2699995264</v>
      </c>
    </row>
    <row r="5719" spans="1:5" x14ac:dyDescent="0.25">
      <c r="A5719" s="2" t="s">
        <v>242</v>
      </c>
      <c r="B5719" s="6">
        <v>43543</v>
      </c>
      <c r="C5719" s="2" t="s">
        <v>16</v>
      </c>
      <c r="D5719" s="8">
        <v>-100</v>
      </c>
      <c r="E5719" s="8">
        <f>E5718+(0-100)</f>
        <v>8485493.2699995264</v>
      </c>
    </row>
    <row r="5720" spans="1:5" x14ac:dyDescent="0.25">
      <c r="A5720" s="2" t="s">
        <v>242</v>
      </c>
      <c r="B5720" s="6">
        <v>43543</v>
      </c>
      <c r="C5720" s="2" t="s">
        <v>16</v>
      </c>
      <c r="D5720" s="8">
        <v>-150</v>
      </c>
      <c r="E5720" s="8">
        <f>E5719+(0-150)</f>
        <v>8485343.2699995264</v>
      </c>
    </row>
    <row r="5721" spans="1:5" x14ac:dyDescent="0.25">
      <c r="A5721" s="2" t="s">
        <v>242</v>
      </c>
      <c r="B5721" s="6">
        <v>43545</v>
      </c>
      <c r="C5721" s="2" t="s">
        <v>16</v>
      </c>
      <c r="D5721" s="8">
        <v>-50</v>
      </c>
      <c r="E5721" s="8">
        <f>E5720+(0-50)</f>
        <v>8485293.2699995264</v>
      </c>
    </row>
    <row r="5722" spans="1:5" x14ac:dyDescent="0.25">
      <c r="A5722" s="2" t="s">
        <v>242</v>
      </c>
      <c r="B5722" s="6">
        <v>43546</v>
      </c>
      <c r="C5722" s="2" t="s">
        <v>16</v>
      </c>
      <c r="D5722" s="8">
        <v>-100</v>
      </c>
      <c r="E5722" s="8">
        <f>E5721+(0-100)</f>
        <v>8485193.2699995264</v>
      </c>
    </row>
    <row r="5723" spans="1:5" x14ac:dyDescent="0.25">
      <c r="A5723" s="2" t="s">
        <v>242</v>
      </c>
      <c r="B5723" s="6">
        <v>43549</v>
      </c>
      <c r="C5723" s="2" t="s">
        <v>43</v>
      </c>
      <c r="D5723" s="8">
        <v>-50</v>
      </c>
      <c r="E5723" s="8">
        <f>E5722+(0-50)</f>
        <v>8485143.2699995264</v>
      </c>
    </row>
    <row r="5724" spans="1:5" x14ac:dyDescent="0.25">
      <c r="A5724" s="2" t="s">
        <v>242</v>
      </c>
      <c r="B5724" s="6">
        <v>43549</v>
      </c>
      <c r="C5724" s="2" t="s">
        <v>16</v>
      </c>
      <c r="D5724" s="8">
        <v>-50</v>
      </c>
      <c r="E5724" s="8">
        <f>E5723+(0-50)</f>
        <v>8485093.2699995264</v>
      </c>
    </row>
    <row r="5725" spans="1:5" x14ac:dyDescent="0.25">
      <c r="A5725" s="2" t="s">
        <v>242</v>
      </c>
      <c r="B5725" s="6">
        <v>43550</v>
      </c>
      <c r="C5725" s="2" t="s">
        <v>16</v>
      </c>
      <c r="D5725" s="8">
        <v>-240</v>
      </c>
      <c r="E5725" s="8">
        <f>E5724+(0-240)</f>
        <v>8484853.2699995264</v>
      </c>
    </row>
    <row r="5726" spans="1:5" x14ac:dyDescent="0.25">
      <c r="A5726" s="2" t="s">
        <v>242</v>
      </c>
      <c r="B5726" s="6">
        <v>43550</v>
      </c>
      <c r="C5726" s="2" t="s">
        <v>16</v>
      </c>
      <c r="D5726" s="8">
        <v>-50</v>
      </c>
      <c r="E5726" s="8">
        <f>E5725+(0-50)</f>
        <v>8484803.2699995264</v>
      </c>
    </row>
    <row r="5727" spans="1:5" x14ac:dyDescent="0.25">
      <c r="A5727" s="2" t="s">
        <v>242</v>
      </c>
      <c r="B5727" s="6">
        <v>43550</v>
      </c>
      <c r="C5727" s="2" t="s">
        <v>16</v>
      </c>
      <c r="D5727" s="8">
        <v>-200</v>
      </c>
      <c r="E5727" s="8">
        <f>E5726+(0-200)</f>
        <v>8484603.2699995264</v>
      </c>
    </row>
    <row r="5728" spans="1:5" x14ac:dyDescent="0.25">
      <c r="A5728" s="2" t="s">
        <v>242</v>
      </c>
      <c r="B5728" s="6">
        <v>43551</v>
      </c>
      <c r="C5728" s="2" t="s">
        <v>247</v>
      </c>
      <c r="D5728" s="8">
        <v>-52.5</v>
      </c>
      <c r="E5728" s="8">
        <f>E5727+(0-52.5)</f>
        <v>8484550.7699995264</v>
      </c>
    </row>
    <row r="5729" spans="1:5" x14ac:dyDescent="0.25">
      <c r="A5729" s="2" t="s">
        <v>242</v>
      </c>
      <c r="B5729" s="6">
        <v>43551</v>
      </c>
      <c r="C5729" s="2" t="s">
        <v>16</v>
      </c>
      <c r="D5729" s="8">
        <v>-50</v>
      </c>
      <c r="E5729" s="8">
        <f>E5728+(0-50)</f>
        <v>8484500.7699995264</v>
      </c>
    </row>
    <row r="5730" spans="1:5" x14ac:dyDescent="0.25">
      <c r="A5730" s="2" t="s">
        <v>242</v>
      </c>
      <c r="B5730" s="6">
        <v>43551</v>
      </c>
      <c r="C5730" s="2" t="s">
        <v>16</v>
      </c>
      <c r="D5730" s="8">
        <v>-100</v>
      </c>
      <c r="E5730" s="8">
        <f>E5729+(0-100)</f>
        <v>8484400.7699995264</v>
      </c>
    </row>
    <row r="5731" spans="1:5" x14ac:dyDescent="0.25">
      <c r="A5731" s="2" t="s">
        <v>242</v>
      </c>
      <c r="B5731" s="6">
        <v>43552</v>
      </c>
      <c r="C5731" s="2" t="s">
        <v>16</v>
      </c>
      <c r="D5731" s="8">
        <v>-50</v>
      </c>
      <c r="E5731" s="8">
        <f>E5730+(0-50)</f>
        <v>8484350.7699995264</v>
      </c>
    </row>
    <row r="5732" spans="1:5" x14ac:dyDescent="0.25">
      <c r="A5732" s="2" t="s">
        <v>242</v>
      </c>
      <c r="B5732" s="6">
        <v>43552</v>
      </c>
      <c r="C5732" s="2" t="s">
        <v>16</v>
      </c>
      <c r="D5732" s="8">
        <v>-50</v>
      </c>
      <c r="E5732" s="8">
        <f>E5731+(0-50)</f>
        <v>8484300.7699995264</v>
      </c>
    </row>
    <row r="5733" spans="1:5" x14ac:dyDescent="0.25">
      <c r="A5733" s="2" t="s">
        <v>242</v>
      </c>
      <c r="B5733" s="6">
        <v>43552</v>
      </c>
      <c r="C5733" s="2" t="s">
        <v>16</v>
      </c>
      <c r="D5733" s="8">
        <v>-100</v>
      </c>
      <c r="E5733" s="8">
        <f>E5732+(0-100)</f>
        <v>8484200.7699995264</v>
      </c>
    </row>
    <row r="5734" spans="1:5" x14ac:dyDescent="0.25">
      <c r="A5734" s="2" t="s">
        <v>242</v>
      </c>
      <c r="B5734" s="6">
        <v>43552</v>
      </c>
      <c r="C5734" s="2" t="s">
        <v>16</v>
      </c>
      <c r="D5734" s="8">
        <v>-50</v>
      </c>
      <c r="E5734" s="8">
        <f>E5733+(0-50)</f>
        <v>8484150.7699995264</v>
      </c>
    </row>
    <row r="5735" spans="1:5" x14ac:dyDescent="0.25">
      <c r="A5735" s="2" t="s">
        <v>242</v>
      </c>
      <c r="B5735" s="6">
        <v>43553</v>
      </c>
      <c r="C5735" s="2" t="s">
        <v>32</v>
      </c>
      <c r="D5735" s="8">
        <v>-210</v>
      </c>
      <c r="E5735" s="8">
        <f>E5734+(0-210)</f>
        <v>8483940.7699995264</v>
      </c>
    </row>
    <row r="5736" spans="1:5" x14ac:dyDescent="0.25">
      <c r="A5736" s="2" t="s">
        <v>242</v>
      </c>
      <c r="B5736" s="6">
        <v>43553</v>
      </c>
      <c r="C5736" s="2" t="s">
        <v>16</v>
      </c>
      <c r="D5736" s="8">
        <v>-150</v>
      </c>
      <c r="E5736" s="8">
        <f>E5735+(0-150)</f>
        <v>8483790.7699995264</v>
      </c>
    </row>
    <row r="5737" spans="1:5" x14ac:dyDescent="0.25">
      <c r="A5737" s="2" t="s">
        <v>242</v>
      </c>
      <c r="B5737" s="6">
        <v>43557</v>
      </c>
      <c r="C5737" s="2" t="s">
        <v>17</v>
      </c>
      <c r="D5737" s="8">
        <v>-380</v>
      </c>
      <c r="E5737" s="8">
        <f>E5736+(0-380)</f>
        <v>8483410.7699995264</v>
      </c>
    </row>
    <row r="5738" spans="1:5" x14ac:dyDescent="0.25">
      <c r="A5738" s="2" t="s">
        <v>242</v>
      </c>
      <c r="B5738" s="6">
        <v>43557</v>
      </c>
      <c r="C5738" s="2" t="s">
        <v>16</v>
      </c>
      <c r="D5738" s="8">
        <v>-50</v>
      </c>
      <c r="E5738" s="8">
        <f>E5737+(0-50)</f>
        <v>8483360.7699995264</v>
      </c>
    </row>
    <row r="5739" spans="1:5" x14ac:dyDescent="0.25">
      <c r="A5739" s="2" t="s">
        <v>242</v>
      </c>
      <c r="B5739" s="6">
        <v>43557</v>
      </c>
      <c r="C5739" s="2" t="s">
        <v>16</v>
      </c>
      <c r="D5739" s="8">
        <v>-100</v>
      </c>
      <c r="E5739" s="8">
        <f>E5738+(0-100)</f>
        <v>8483260.7699995264</v>
      </c>
    </row>
    <row r="5740" spans="1:5" x14ac:dyDescent="0.25">
      <c r="A5740" s="2" t="s">
        <v>242</v>
      </c>
      <c r="B5740" s="6">
        <v>43558</v>
      </c>
      <c r="C5740" s="2" t="s">
        <v>16</v>
      </c>
      <c r="D5740" s="8">
        <v>-150</v>
      </c>
      <c r="E5740" s="8">
        <f>E5739+(0-150)</f>
        <v>8483110.7699995264</v>
      </c>
    </row>
    <row r="5741" spans="1:5" x14ac:dyDescent="0.25">
      <c r="A5741" s="2" t="s">
        <v>242</v>
      </c>
      <c r="B5741" s="6">
        <v>43559</v>
      </c>
      <c r="C5741" s="2" t="s">
        <v>248</v>
      </c>
      <c r="D5741" s="8">
        <v>-52.5</v>
      </c>
      <c r="E5741" s="8">
        <f>E5740+(0-52.5)</f>
        <v>8483058.2699995264</v>
      </c>
    </row>
    <row r="5742" spans="1:5" x14ac:dyDescent="0.25">
      <c r="A5742" s="2" t="s">
        <v>242</v>
      </c>
      <c r="B5742" s="6">
        <v>43559</v>
      </c>
      <c r="C5742" s="2" t="s">
        <v>16</v>
      </c>
      <c r="D5742" s="8">
        <v>-150</v>
      </c>
      <c r="E5742" s="8">
        <f>E5741+(0-150)</f>
        <v>8482908.2699995264</v>
      </c>
    </row>
    <row r="5743" spans="1:5" x14ac:dyDescent="0.25">
      <c r="A5743" s="2" t="s">
        <v>242</v>
      </c>
      <c r="B5743" s="6">
        <v>43560</v>
      </c>
      <c r="C5743" s="2" t="s">
        <v>154</v>
      </c>
      <c r="D5743" s="8">
        <v>-500</v>
      </c>
      <c r="E5743" s="8">
        <f>E5742+(0-500)</f>
        <v>8482408.2699995264</v>
      </c>
    </row>
    <row r="5744" spans="1:5" x14ac:dyDescent="0.25">
      <c r="A5744" s="2" t="s">
        <v>242</v>
      </c>
      <c r="B5744" s="6">
        <v>43560</v>
      </c>
      <c r="C5744" s="2" t="s">
        <v>155</v>
      </c>
      <c r="D5744" s="8">
        <v>-25</v>
      </c>
      <c r="E5744" s="8">
        <f>E5743+(0-25)</f>
        <v>8482383.2699995264</v>
      </c>
    </row>
    <row r="5745" spans="1:5" x14ac:dyDescent="0.25">
      <c r="A5745" s="2" t="s">
        <v>242</v>
      </c>
      <c r="B5745" s="6">
        <v>43560</v>
      </c>
      <c r="C5745" s="2" t="s">
        <v>16</v>
      </c>
      <c r="D5745" s="8">
        <v>-150</v>
      </c>
      <c r="E5745" s="8">
        <f>E5744+(0-150)</f>
        <v>8482233.2699995264</v>
      </c>
    </row>
    <row r="5746" spans="1:5" x14ac:dyDescent="0.25">
      <c r="A5746" s="2" t="s">
        <v>242</v>
      </c>
      <c r="B5746" s="6">
        <v>43560</v>
      </c>
      <c r="C5746" s="2" t="s">
        <v>249</v>
      </c>
      <c r="D5746" s="8">
        <v>-693</v>
      </c>
      <c r="E5746" s="8">
        <f>E5745+(0-693)</f>
        <v>8481540.2699995264</v>
      </c>
    </row>
    <row r="5747" spans="1:5" x14ac:dyDescent="0.25">
      <c r="A5747" s="2" t="s">
        <v>242</v>
      </c>
      <c r="B5747" s="6">
        <v>43563</v>
      </c>
      <c r="C5747" s="2" t="s">
        <v>250</v>
      </c>
      <c r="D5747" s="8">
        <v>-52.5</v>
      </c>
      <c r="E5747" s="8">
        <f>E5746+(0-52.5)</f>
        <v>8481487.7699995264</v>
      </c>
    </row>
    <row r="5748" spans="1:5" x14ac:dyDescent="0.25">
      <c r="A5748" s="2" t="s">
        <v>242</v>
      </c>
      <c r="B5748" s="6">
        <v>43563</v>
      </c>
      <c r="C5748" s="2" t="s">
        <v>16</v>
      </c>
      <c r="D5748" s="8">
        <v>-50</v>
      </c>
      <c r="E5748" s="8">
        <f>E5747+(0-50)</f>
        <v>8481437.7699995264</v>
      </c>
    </row>
    <row r="5749" spans="1:5" x14ac:dyDescent="0.25">
      <c r="A5749" s="2" t="s">
        <v>242</v>
      </c>
      <c r="B5749" s="6">
        <v>43563</v>
      </c>
      <c r="C5749" s="2" t="s">
        <v>16</v>
      </c>
      <c r="D5749" s="8">
        <v>-150</v>
      </c>
      <c r="E5749" s="8">
        <f>E5748+(0-150)</f>
        <v>8481287.7699995264</v>
      </c>
    </row>
    <row r="5750" spans="1:5" x14ac:dyDescent="0.25">
      <c r="A5750" s="2" t="s">
        <v>242</v>
      </c>
      <c r="B5750" s="6">
        <v>43564</v>
      </c>
      <c r="C5750" s="2" t="s">
        <v>250</v>
      </c>
      <c r="D5750" s="8">
        <v>-52.5</v>
      </c>
      <c r="E5750" s="8">
        <f>E5749+(0-52.5)</f>
        <v>8481235.2699995264</v>
      </c>
    </row>
    <row r="5751" spans="1:5" x14ac:dyDescent="0.25">
      <c r="A5751" s="2" t="s">
        <v>242</v>
      </c>
      <c r="B5751" s="6">
        <v>43564</v>
      </c>
      <c r="C5751" s="2" t="s">
        <v>16</v>
      </c>
      <c r="D5751" s="8">
        <v>-50</v>
      </c>
      <c r="E5751" s="8">
        <f>E5750+(0-50)</f>
        <v>8481185.2699995264</v>
      </c>
    </row>
    <row r="5752" spans="1:5" x14ac:dyDescent="0.25">
      <c r="A5752" s="2" t="s">
        <v>242</v>
      </c>
      <c r="B5752" s="6">
        <v>43564</v>
      </c>
      <c r="C5752" s="2" t="s">
        <v>251</v>
      </c>
      <c r="D5752" s="8">
        <v>-28</v>
      </c>
      <c r="E5752" s="8">
        <f>E5751+(0-28)</f>
        <v>8481157.2699995264</v>
      </c>
    </row>
    <row r="5753" spans="1:5" x14ac:dyDescent="0.25">
      <c r="A5753" s="2" t="s">
        <v>242</v>
      </c>
      <c r="B5753" s="6">
        <v>43564</v>
      </c>
      <c r="C5753" s="2" t="s">
        <v>17</v>
      </c>
      <c r="D5753" s="8">
        <v>-50</v>
      </c>
      <c r="E5753" s="8">
        <f>E5752+(0-50)</f>
        <v>8481107.2699995264</v>
      </c>
    </row>
    <row r="5754" spans="1:5" x14ac:dyDescent="0.25">
      <c r="A5754" s="2" t="s">
        <v>242</v>
      </c>
      <c r="B5754" s="6">
        <v>43565</v>
      </c>
      <c r="C5754" s="2" t="s">
        <v>16</v>
      </c>
      <c r="D5754" s="8">
        <v>-50</v>
      </c>
      <c r="E5754" s="8">
        <f>E5753+(0-50)</f>
        <v>8481057.2699995264</v>
      </c>
    </row>
    <row r="5755" spans="1:5" x14ac:dyDescent="0.25">
      <c r="A5755" s="2" t="s">
        <v>242</v>
      </c>
      <c r="B5755" s="6">
        <v>43565</v>
      </c>
      <c r="C5755" s="2" t="s">
        <v>16</v>
      </c>
      <c r="D5755" s="8">
        <v>-50</v>
      </c>
      <c r="E5755" s="8">
        <f>E5754+(0-50)</f>
        <v>8481007.2699995264</v>
      </c>
    </row>
    <row r="5756" spans="1:5" x14ac:dyDescent="0.25">
      <c r="A5756" s="2" t="s">
        <v>242</v>
      </c>
      <c r="B5756" s="6">
        <v>43565</v>
      </c>
      <c r="C5756" s="2" t="s">
        <v>16</v>
      </c>
      <c r="D5756" s="8">
        <v>-150</v>
      </c>
      <c r="E5756" s="8">
        <f>E5755+(0-150)</f>
        <v>8480857.2699995264</v>
      </c>
    </row>
    <row r="5757" spans="1:5" x14ac:dyDescent="0.25">
      <c r="A5757" s="2" t="s">
        <v>242</v>
      </c>
      <c r="B5757" s="6">
        <v>43566</v>
      </c>
      <c r="C5757" s="2" t="s">
        <v>16</v>
      </c>
      <c r="D5757" s="8">
        <v>-50</v>
      </c>
      <c r="E5757" s="8">
        <f>E5756+(0-50)</f>
        <v>8480807.2699995264</v>
      </c>
    </row>
    <row r="5758" spans="1:5" x14ac:dyDescent="0.25">
      <c r="A5758" s="2" t="s">
        <v>242</v>
      </c>
      <c r="B5758" s="6">
        <v>43566</v>
      </c>
      <c r="C5758" s="2" t="s">
        <v>17</v>
      </c>
      <c r="D5758" s="8">
        <v>-252</v>
      </c>
      <c r="E5758" s="8">
        <f>E5757+(0-252)</f>
        <v>8480555.2699995264</v>
      </c>
    </row>
    <row r="5759" spans="1:5" x14ac:dyDescent="0.25">
      <c r="A5759" s="2" t="s">
        <v>242</v>
      </c>
      <c r="B5759" s="6">
        <v>43566</v>
      </c>
      <c r="C5759" s="2" t="s">
        <v>16</v>
      </c>
      <c r="D5759" s="8">
        <v>-150</v>
      </c>
      <c r="E5759" s="8">
        <f>E5758+(0-150)</f>
        <v>8480405.2699995264</v>
      </c>
    </row>
    <row r="5760" spans="1:5" x14ac:dyDescent="0.25">
      <c r="A5760" s="2" t="s">
        <v>242</v>
      </c>
      <c r="B5760" s="6">
        <v>43567</v>
      </c>
      <c r="C5760" s="2" t="s">
        <v>71</v>
      </c>
      <c r="D5760" s="8">
        <v>-52.5</v>
      </c>
      <c r="E5760" s="8">
        <f>E5759+(0-52.5)</f>
        <v>8480352.7699995264</v>
      </c>
    </row>
    <row r="5761" spans="1:5" x14ac:dyDescent="0.25">
      <c r="A5761" s="2" t="s">
        <v>242</v>
      </c>
      <c r="B5761" s="6">
        <v>43567</v>
      </c>
      <c r="C5761" s="2" t="s">
        <v>16</v>
      </c>
      <c r="D5761" s="8">
        <v>-150</v>
      </c>
      <c r="E5761" s="8">
        <f>E5760+(0-150)</f>
        <v>8480202.7699995264</v>
      </c>
    </row>
    <row r="5762" spans="1:5" x14ac:dyDescent="0.25">
      <c r="A5762" s="2" t="s">
        <v>242</v>
      </c>
      <c r="B5762" s="6">
        <v>43570</v>
      </c>
      <c r="C5762" s="2" t="s">
        <v>16</v>
      </c>
      <c r="D5762" s="8">
        <v>-250</v>
      </c>
      <c r="E5762" s="8">
        <f>E5761+(0-250)</f>
        <v>8479952.7699995264</v>
      </c>
    </row>
    <row r="5763" spans="1:5" x14ac:dyDescent="0.25">
      <c r="A5763" s="2" t="s">
        <v>242</v>
      </c>
      <c r="B5763" s="6">
        <v>43571</v>
      </c>
      <c r="C5763" s="2" t="s">
        <v>17</v>
      </c>
      <c r="D5763" s="8">
        <v>-308</v>
      </c>
      <c r="E5763" s="8">
        <f>E5762+(0-308)</f>
        <v>8479644.7699995264</v>
      </c>
    </row>
    <row r="5764" spans="1:5" x14ac:dyDescent="0.25">
      <c r="A5764" s="2" t="s">
        <v>242</v>
      </c>
      <c r="B5764" s="6">
        <v>43571</v>
      </c>
      <c r="C5764" s="2" t="s">
        <v>16</v>
      </c>
      <c r="D5764" s="8">
        <v>-150</v>
      </c>
      <c r="E5764" s="8">
        <f>E5763+(0-150)</f>
        <v>8479494.7699995264</v>
      </c>
    </row>
    <row r="5765" spans="1:5" x14ac:dyDescent="0.25">
      <c r="A5765" s="2" t="s">
        <v>242</v>
      </c>
      <c r="B5765" s="6">
        <v>43572</v>
      </c>
      <c r="C5765" s="2" t="s">
        <v>16</v>
      </c>
      <c r="D5765" s="8">
        <v>-50</v>
      </c>
      <c r="E5765" s="8">
        <f>E5764+(0-50)</f>
        <v>8479444.7699995264</v>
      </c>
    </row>
    <row r="5766" spans="1:5" x14ac:dyDescent="0.25">
      <c r="A5766" s="2" t="s">
        <v>242</v>
      </c>
      <c r="B5766" s="6">
        <v>43572</v>
      </c>
      <c r="C5766" s="2" t="s">
        <v>16</v>
      </c>
      <c r="D5766" s="8">
        <v>-50</v>
      </c>
      <c r="E5766" s="8">
        <f>E5765+(0-50)</f>
        <v>8479394.7699995264</v>
      </c>
    </row>
    <row r="5767" spans="1:5" x14ac:dyDescent="0.25">
      <c r="A5767" s="2" t="s">
        <v>242</v>
      </c>
      <c r="B5767" s="6">
        <v>43572</v>
      </c>
      <c r="C5767" s="2" t="s">
        <v>16</v>
      </c>
      <c r="D5767" s="8">
        <v>-50</v>
      </c>
      <c r="E5767" s="8">
        <f>E5766+(0-50)</f>
        <v>8479344.7699995264</v>
      </c>
    </row>
    <row r="5768" spans="1:5" x14ac:dyDescent="0.25">
      <c r="A5768" s="2" t="s">
        <v>242</v>
      </c>
      <c r="B5768" s="6">
        <v>43572</v>
      </c>
      <c r="C5768" s="2" t="s">
        <v>16</v>
      </c>
      <c r="D5768" s="8">
        <v>-50</v>
      </c>
      <c r="E5768" s="8">
        <f>E5767+(0-50)</f>
        <v>8479294.7699995264</v>
      </c>
    </row>
    <row r="5769" spans="1:5" x14ac:dyDescent="0.25">
      <c r="A5769" s="2" t="s">
        <v>242</v>
      </c>
      <c r="B5769" s="6">
        <v>43572</v>
      </c>
      <c r="C5769" s="2" t="s">
        <v>16</v>
      </c>
      <c r="D5769" s="8">
        <v>-200</v>
      </c>
      <c r="E5769" s="8">
        <f>E5768+(0-200)</f>
        <v>8479094.7699995264</v>
      </c>
    </row>
    <row r="5770" spans="1:5" x14ac:dyDescent="0.25">
      <c r="A5770" s="2" t="s">
        <v>242</v>
      </c>
      <c r="B5770" s="6">
        <v>43574</v>
      </c>
      <c r="C5770" s="2" t="s">
        <v>16</v>
      </c>
      <c r="D5770" s="8">
        <v>-50</v>
      </c>
      <c r="E5770" s="8">
        <f>E5769+(0-50)</f>
        <v>8479044.7699995264</v>
      </c>
    </row>
    <row r="5771" spans="1:5" x14ac:dyDescent="0.25">
      <c r="A5771" s="2" t="s">
        <v>242</v>
      </c>
      <c r="B5771" s="6">
        <v>43577</v>
      </c>
      <c r="C5771" s="2" t="s">
        <v>252</v>
      </c>
      <c r="D5771" s="8">
        <v>-52.5</v>
      </c>
      <c r="E5771" s="8">
        <f>E5770+(0-52.5)</f>
        <v>8478992.2699995264</v>
      </c>
    </row>
    <row r="5772" spans="1:5" x14ac:dyDescent="0.25">
      <c r="A5772" s="2" t="s">
        <v>242</v>
      </c>
      <c r="B5772" s="6">
        <v>43578</v>
      </c>
      <c r="C5772" s="2" t="s">
        <v>16</v>
      </c>
      <c r="D5772" s="8">
        <v>-250</v>
      </c>
      <c r="E5772" s="8">
        <f>E5771+(0-250)</f>
        <v>8478742.2699995264</v>
      </c>
    </row>
    <row r="5773" spans="1:5" x14ac:dyDescent="0.25">
      <c r="A5773" s="2" t="s">
        <v>242</v>
      </c>
      <c r="B5773" s="6">
        <v>43578</v>
      </c>
      <c r="C5773" s="2" t="s">
        <v>253</v>
      </c>
      <c r="D5773" s="8">
        <v>-52.5</v>
      </c>
      <c r="E5773" s="8">
        <f>E5772+(0-52.5)</f>
        <v>8478689.7699995264</v>
      </c>
    </row>
    <row r="5774" spans="1:5" x14ac:dyDescent="0.25">
      <c r="A5774" s="2" t="s">
        <v>242</v>
      </c>
      <c r="B5774" s="6">
        <v>43579</v>
      </c>
      <c r="C5774" s="2" t="s">
        <v>16</v>
      </c>
      <c r="D5774" s="8">
        <v>-250</v>
      </c>
      <c r="E5774" s="8">
        <f>E5773+(0-250)</f>
        <v>8478439.7699995264</v>
      </c>
    </row>
    <row r="5775" spans="1:5" x14ac:dyDescent="0.25">
      <c r="A5775" s="2" t="s">
        <v>242</v>
      </c>
      <c r="B5775" s="6">
        <v>43580</v>
      </c>
      <c r="C5775" s="2" t="s">
        <v>16</v>
      </c>
      <c r="D5775" s="8">
        <v>-50</v>
      </c>
      <c r="E5775" s="8">
        <f>E5774+(0-50)</f>
        <v>8478389.7699995264</v>
      </c>
    </row>
    <row r="5776" spans="1:5" x14ac:dyDescent="0.25">
      <c r="A5776" s="2" t="s">
        <v>242</v>
      </c>
      <c r="B5776" s="6">
        <v>43580</v>
      </c>
      <c r="C5776" s="2" t="s">
        <v>17</v>
      </c>
      <c r="D5776" s="8">
        <v>-296</v>
      </c>
      <c r="E5776" s="8">
        <f>E5775+(0-296)</f>
        <v>8478093.7699995264</v>
      </c>
    </row>
    <row r="5777" spans="1:5" x14ac:dyDescent="0.25">
      <c r="A5777" s="2" t="s">
        <v>242</v>
      </c>
      <c r="B5777" s="6">
        <v>43580</v>
      </c>
      <c r="C5777" s="2" t="s">
        <v>16</v>
      </c>
      <c r="D5777" s="8">
        <v>-100</v>
      </c>
      <c r="E5777" s="8">
        <f>E5776+(0-100)</f>
        <v>8477993.7699995264</v>
      </c>
    </row>
    <row r="5778" spans="1:5" x14ac:dyDescent="0.25">
      <c r="A5778" s="2" t="s">
        <v>242</v>
      </c>
      <c r="B5778" s="6">
        <v>43580</v>
      </c>
      <c r="C5778" s="2" t="s">
        <v>254</v>
      </c>
      <c r="D5778" s="8">
        <v>-52.5</v>
      </c>
      <c r="E5778" s="8">
        <f>E5777+(0-52.5)</f>
        <v>8477941.2699995264</v>
      </c>
    </row>
    <row r="5779" spans="1:5" x14ac:dyDescent="0.25">
      <c r="A5779" s="2" t="s">
        <v>242</v>
      </c>
      <c r="B5779" s="6">
        <v>43581</v>
      </c>
      <c r="C5779" s="2" t="s">
        <v>255</v>
      </c>
      <c r="D5779" s="8">
        <v>-52.5</v>
      </c>
      <c r="E5779" s="8">
        <f>E5778+(0-52.5)</f>
        <v>8477888.7699995264</v>
      </c>
    </row>
    <row r="5780" spans="1:5" x14ac:dyDescent="0.25">
      <c r="A5780" s="2" t="s">
        <v>242</v>
      </c>
      <c r="B5780" s="6">
        <v>43581</v>
      </c>
      <c r="C5780" s="2" t="s">
        <v>16</v>
      </c>
      <c r="D5780" s="8">
        <v>-100</v>
      </c>
      <c r="E5780" s="8">
        <f>E5779+(0-100)</f>
        <v>8477788.7699995264</v>
      </c>
    </row>
    <row r="5781" spans="1:5" x14ac:dyDescent="0.25">
      <c r="A5781" s="2" t="s">
        <v>242</v>
      </c>
      <c r="B5781" s="6">
        <v>43584</v>
      </c>
      <c r="C5781" s="2" t="s">
        <v>256</v>
      </c>
      <c r="D5781" s="8">
        <v>-52.5</v>
      </c>
      <c r="E5781" s="8">
        <f>E5780+(0-52.5)</f>
        <v>8477736.2699995264</v>
      </c>
    </row>
    <row r="5782" spans="1:5" x14ac:dyDescent="0.25">
      <c r="A5782" s="2" t="s">
        <v>242</v>
      </c>
      <c r="B5782" s="6">
        <v>43584</v>
      </c>
      <c r="C5782" s="2" t="s">
        <v>16</v>
      </c>
      <c r="D5782" s="8">
        <v>-100</v>
      </c>
      <c r="E5782" s="8">
        <f>E5781+(0-100)</f>
        <v>8477636.2699995264</v>
      </c>
    </row>
    <row r="5783" spans="1:5" x14ac:dyDescent="0.25">
      <c r="A5783" s="2" t="s">
        <v>242</v>
      </c>
      <c r="B5783" s="6">
        <v>43585</v>
      </c>
      <c r="C5783" s="2" t="s">
        <v>16</v>
      </c>
      <c r="D5783" s="8">
        <v>-50</v>
      </c>
      <c r="E5783" s="8">
        <f>E5782+(0-50)</f>
        <v>8477586.2699995264</v>
      </c>
    </row>
    <row r="5784" spans="1:5" x14ac:dyDescent="0.25">
      <c r="A5784" s="2" t="s">
        <v>242</v>
      </c>
      <c r="B5784" s="6">
        <v>43585</v>
      </c>
      <c r="C5784" s="2" t="s">
        <v>16</v>
      </c>
      <c r="D5784" s="8">
        <v>-300</v>
      </c>
      <c r="E5784" s="8">
        <f>E5783+(0-300)</f>
        <v>8477286.2699995264</v>
      </c>
    </row>
    <row r="5785" spans="1:5" x14ac:dyDescent="0.25">
      <c r="A5785" s="2" t="s">
        <v>242</v>
      </c>
      <c r="B5785" s="6">
        <v>43586</v>
      </c>
      <c r="C5785" s="2" t="s">
        <v>17</v>
      </c>
      <c r="D5785" s="8">
        <v>-248</v>
      </c>
      <c r="E5785" s="8">
        <f>E5784+(0-248)</f>
        <v>8477038.2699995264</v>
      </c>
    </row>
    <row r="5786" spans="1:5" x14ac:dyDescent="0.25">
      <c r="A5786" s="2" t="s">
        <v>242</v>
      </c>
      <c r="B5786" s="6">
        <v>43587</v>
      </c>
      <c r="C5786" s="2" t="s">
        <v>24</v>
      </c>
      <c r="D5786" s="8">
        <v>-50</v>
      </c>
      <c r="E5786" s="8">
        <f>E5785+(0-50)</f>
        <v>8476988.2699995264</v>
      </c>
    </row>
    <row r="5787" spans="1:5" x14ac:dyDescent="0.25">
      <c r="A5787" s="2" t="s">
        <v>242</v>
      </c>
      <c r="B5787" s="6">
        <v>43587</v>
      </c>
      <c r="C5787" s="2" t="s">
        <v>257</v>
      </c>
      <c r="D5787" s="8">
        <v>-12996.8</v>
      </c>
      <c r="E5787" s="8">
        <f>E5786+(0-12996.8)</f>
        <v>8463991.4699995257</v>
      </c>
    </row>
    <row r="5788" spans="1:5" x14ac:dyDescent="0.25">
      <c r="A5788" s="2" t="s">
        <v>242</v>
      </c>
      <c r="B5788" s="6">
        <v>43588</v>
      </c>
      <c r="C5788" s="2" t="s">
        <v>24</v>
      </c>
      <c r="D5788" s="8">
        <v>-50</v>
      </c>
      <c r="E5788" s="8">
        <f>E5787+(0-50)</f>
        <v>8463941.4699995257</v>
      </c>
    </row>
    <row r="5789" spans="1:5" x14ac:dyDescent="0.25">
      <c r="A5789" s="2" t="s">
        <v>242</v>
      </c>
      <c r="B5789" s="6">
        <v>43588</v>
      </c>
      <c r="C5789" s="2" t="s">
        <v>24</v>
      </c>
      <c r="D5789" s="8">
        <v>-100</v>
      </c>
      <c r="E5789" s="8">
        <f>E5788+(0-100)</f>
        <v>8463841.4699995257</v>
      </c>
    </row>
    <row r="5790" spans="1:5" x14ac:dyDescent="0.25">
      <c r="A5790" s="2" t="s">
        <v>242</v>
      </c>
      <c r="B5790" s="6">
        <v>43588</v>
      </c>
      <c r="C5790" s="2" t="s">
        <v>258</v>
      </c>
      <c r="D5790" s="8">
        <v>-52.5</v>
      </c>
      <c r="E5790" s="8">
        <f>E5789+(0-52.5)</f>
        <v>8463788.9699995257</v>
      </c>
    </row>
    <row r="5791" spans="1:5" x14ac:dyDescent="0.25">
      <c r="A5791" s="2" t="s">
        <v>242</v>
      </c>
      <c r="B5791" s="6">
        <v>43591</v>
      </c>
      <c r="C5791" s="2" t="s">
        <v>24</v>
      </c>
      <c r="D5791" s="8">
        <v>-50</v>
      </c>
      <c r="E5791" s="8">
        <f>E5790+(0-50)</f>
        <v>8463738.9699995257</v>
      </c>
    </row>
    <row r="5792" spans="1:5" x14ac:dyDescent="0.25">
      <c r="A5792" s="2" t="s">
        <v>242</v>
      </c>
      <c r="B5792" s="6">
        <v>43591</v>
      </c>
      <c r="C5792" s="2" t="s">
        <v>24</v>
      </c>
      <c r="D5792" s="8">
        <v>-50</v>
      </c>
      <c r="E5792" s="8">
        <f>E5791+(0-50)</f>
        <v>8463688.9699995257</v>
      </c>
    </row>
    <row r="5793" spans="1:5" x14ac:dyDescent="0.25">
      <c r="A5793" s="2" t="s">
        <v>242</v>
      </c>
      <c r="B5793" s="6">
        <v>43591</v>
      </c>
      <c r="C5793" s="2" t="s">
        <v>24</v>
      </c>
      <c r="D5793" s="8">
        <v>-50</v>
      </c>
      <c r="E5793" s="8">
        <f>E5792+(0-50)</f>
        <v>8463638.9699995257</v>
      </c>
    </row>
    <row r="5794" spans="1:5" x14ac:dyDescent="0.25">
      <c r="A5794" s="2" t="s">
        <v>242</v>
      </c>
      <c r="B5794" s="6">
        <v>43591</v>
      </c>
      <c r="C5794" s="2" t="s">
        <v>24</v>
      </c>
      <c r="D5794" s="8">
        <v>-100</v>
      </c>
      <c r="E5794" s="8">
        <f>E5793+(0-100)</f>
        <v>8463538.9699995257</v>
      </c>
    </row>
    <row r="5795" spans="1:5" x14ac:dyDescent="0.25">
      <c r="A5795" s="2" t="s">
        <v>242</v>
      </c>
      <c r="B5795" s="6">
        <v>43592</v>
      </c>
      <c r="C5795" s="2" t="s">
        <v>24</v>
      </c>
      <c r="D5795" s="8">
        <v>-150</v>
      </c>
      <c r="E5795" s="8">
        <f>E5794+(0-150)</f>
        <v>8463388.9699995257</v>
      </c>
    </row>
    <row r="5796" spans="1:5" x14ac:dyDescent="0.25">
      <c r="A5796" s="2" t="s">
        <v>242</v>
      </c>
      <c r="B5796" s="6">
        <v>43592</v>
      </c>
      <c r="C5796" s="2" t="s">
        <v>24</v>
      </c>
      <c r="D5796" s="8">
        <v>-150</v>
      </c>
      <c r="E5796" s="8">
        <f>E5795+(0-150)</f>
        <v>8463238.9699995257</v>
      </c>
    </row>
    <row r="5797" spans="1:5" x14ac:dyDescent="0.25">
      <c r="A5797" s="2" t="s">
        <v>242</v>
      </c>
      <c r="B5797" s="6">
        <v>43593</v>
      </c>
      <c r="C5797" s="2" t="s">
        <v>24</v>
      </c>
      <c r="D5797" s="8">
        <v>-50</v>
      </c>
      <c r="E5797" s="8">
        <f>E5796+(0-50)</f>
        <v>8463188.9699995257</v>
      </c>
    </row>
    <row r="5798" spans="1:5" x14ac:dyDescent="0.25">
      <c r="A5798" s="2" t="s">
        <v>242</v>
      </c>
      <c r="B5798" s="6">
        <v>43593</v>
      </c>
      <c r="C5798" s="2" t="s">
        <v>24</v>
      </c>
      <c r="D5798" s="8">
        <v>-200</v>
      </c>
      <c r="E5798" s="8">
        <f>E5797+(0-200)</f>
        <v>8462988.9699995257</v>
      </c>
    </row>
    <row r="5799" spans="1:5" x14ac:dyDescent="0.25">
      <c r="A5799" s="2" t="s">
        <v>242</v>
      </c>
      <c r="B5799" s="6">
        <v>43594</v>
      </c>
      <c r="C5799" s="2" t="s">
        <v>24</v>
      </c>
      <c r="D5799" s="8">
        <v>-50</v>
      </c>
      <c r="E5799" s="8">
        <f>E5798+(0-50)</f>
        <v>8462938.9699995257</v>
      </c>
    </row>
    <row r="5800" spans="1:5" x14ac:dyDescent="0.25">
      <c r="A5800" s="2" t="s">
        <v>242</v>
      </c>
      <c r="B5800" s="6">
        <v>43595</v>
      </c>
      <c r="C5800" s="2" t="s">
        <v>24</v>
      </c>
      <c r="D5800" s="8">
        <v>-50</v>
      </c>
      <c r="E5800" s="8">
        <f>E5799+(0-50)</f>
        <v>8462888.9699995257</v>
      </c>
    </row>
    <row r="5801" spans="1:5" x14ac:dyDescent="0.25">
      <c r="A5801" s="2" t="s">
        <v>242</v>
      </c>
      <c r="B5801" s="6">
        <v>43595</v>
      </c>
      <c r="C5801" s="2" t="s">
        <v>24</v>
      </c>
      <c r="D5801" s="8">
        <v>-120</v>
      </c>
      <c r="E5801" s="8">
        <f>E5800+(0-120)</f>
        <v>8462768.9699995257</v>
      </c>
    </row>
    <row r="5802" spans="1:5" x14ac:dyDescent="0.25">
      <c r="A5802" s="2" t="s">
        <v>242</v>
      </c>
      <c r="B5802" s="6">
        <v>43595</v>
      </c>
      <c r="C5802" s="2" t="s">
        <v>17</v>
      </c>
      <c r="D5802" s="8">
        <v>-224</v>
      </c>
      <c r="E5802" s="8">
        <f>E5801+(0-224)</f>
        <v>8462544.9699995257</v>
      </c>
    </row>
    <row r="5803" spans="1:5" x14ac:dyDescent="0.25">
      <c r="A5803" s="2" t="s">
        <v>242</v>
      </c>
      <c r="B5803" s="6">
        <v>43595</v>
      </c>
      <c r="C5803" s="2" t="s">
        <v>24</v>
      </c>
      <c r="D5803" s="8">
        <v>-50</v>
      </c>
      <c r="E5803" s="8">
        <f>E5802+(0-50)</f>
        <v>8462494.9699995257</v>
      </c>
    </row>
    <row r="5804" spans="1:5" x14ac:dyDescent="0.25">
      <c r="A5804" s="2" t="s">
        <v>242</v>
      </c>
      <c r="B5804" s="6">
        <v>43595</v>
      </c>
      <c r="C5804" s="2" t="s">
        <v>24</v>
      </c>
      <c r="D5804" s="8">
        <v>-250</v>
      </c>
      <c r="E5804" s="8">
        <f>E5803+(0-250)</f>
        <v>8462244.9699995257</v>
      </c>
    </row>
    <row r="5805" spans="1:5" x14ac:dyDescent="0.25">
      <c r="A5805" s="2" t="s">
        <v>242</v>
      </c>
      <c r="B5805" s="6">
        <v>43598</v>
      </c>
      <c r="C5805" s="2" t="s">
        <v>24</v>
      </c>
      <c r="D5805" s="8">
        <v>-200</v>
      </c>
      <c r="E5805" s="8">
        <f>E5804+(0-200)</f>
        <v>8462044.9699995257</v>
      </c>
    </row>
    <row r="5806" spans="1:5" x14ac:dyDescent="0.25">
      <c r="A5806" s="2" t="s">
        <v>242</v>
      </c>
      <c r="B5806" s="6">
        <v>43599</v>
      </c>
      <c r="C5806" s="2" t="s">
        <v>24</v>
      </c>
      <c r="D5806" s="8">
        <v>-100</v>
      </c>
      <c r="E5806" s="8">
        <f>E5805+(0-100)</f>
        <v>8461944.9699995257</v>
      </c>
    </row>
    <row r="5807" spans="1:5" x14ac:dyDescent="0.25">
      <c r="A5807" s="2" t="s">
        <v>242</v>
      </c>
      <c r="B5807" s="6">
        <v>43599</v>
      </c>
      <c r="C5807" s="2" t="s">
        <v>24</v>
      </c>
      <c r="D5807" s="8">
        <v>-50</v>
      </c>
      <c r="E5807" s="8">
        <f>E5806+(0-50)</f>
        <v>8461894.9699995257</v>
      </c>
    </row>
    <row r="5808" spans="1:5" x14ac:dyDescent="0.25">
      <c r="A5808" s="2" t="s">
        <v>242</v>
      </c>
      <c r="B5808" s="6">
        <v>43600</v>
      </c>
      <c r="C5808" s="2" t="s">
        <v>24</v>
      </c>
      <c r="D5808" s="8">
        <v>-50</v>
      </c>
      <c r="E5808" s="8">
        <f>E5807+(0-50)</f>
        <v>8461844.9699995257</v>
      </c>
    </row>
    <row r="5809" spans="1:5" x14ac:dyDescent="0.25">
      <c r="A5809" s="2" t="s">
        <v>242</v>
      </c>
      <c r="B5809" s="6">
        <v>43600</v>
      </c>
      <c r="C5809" s="2" t="s">
        <v>24</v>
      </c>
      <c r="D5809" s="8">
        <v>-50</v>
      </c>
      <c r="E5809" s="8">
        <f>E5808+(0-50)</f>
        <v>8461794.9699995257</v>
      </c>
    </row>
    <row r="5810" spans="1:5" x14ac:dyDescent="0.25">
      <c r="A5810" s="2" t="s">
        <v>242</v>
      </c>
      <c r="B5810" s="6">
        <v>43601</v>
      </c>
      <c r="C5810" s="2" t="s">
        <v>24</v>
      </c>
      <c r="D5810" s="8">
        <v>-100</v>
      </c>
      <c r="E5810" s="8">
        <f>E5809+(0-100)</f>
        <v>8461694.9699995257</v>
      </c>
    </row>
    <row r="5811" spans="1:5" x14ac:dyDescent="0.25">
      <c r="A5811" s="2" t="s">
        <v>242</v>
      </c>
      <c r="B5811" s="6">
        <v>43602</v>
      </c>
      <c r="C5811" s="2" t="s">
        <v>19</v>
      </c>
      <c r="D5811" s="8">
        <v>-368</v>
      </c>
      <c r="E5811" s="8">
        <f>E5810+(0-368)</f>
        <v>8461326.9699995257</v>
      </c>
    </row>
    <row r="5812" spans="1:5" x14ac:dyDescent="0.25">
      <c r="A5812" s="2" t="s">
        <v>242</v>
      </c>
      <c r="B5812" s="6">
        <v>43602</v>
      </c>
      <c r="C5812" s="2" t="s">
        <v>24</v>
      </c>
      <c r="D5812" s="8">
        <v>-50</v>
      </c>
      <c r="E5812" s="8">
        <f>E5811+(0-50)</f>
        <v>8461276.9699995257</v>
      </c>
    </row>
    <row r="5813" spans="1:5" x14ac:dyDescent="0.25">
      <c r="A5813" s="2" t="s">
        <v>242</v>
      </c>
      <c r="B5813" s="6">
        <v>43605</v>
      </c>
      <c r="C5813" s="2" t="s">
        <v>24</v>
      </c>
      <c r="D5813" s="8">
        <v>-50</v>
      </c>
      <c r="E5813" s="8">
        <f>E5812+(0-50)</f>
        <v>8461226.9699995257</v>
      </c>
    </row>
    <row r="5814" spans="1:5" x14ac:dyDescent="0.25">
      <c r="A5814" s="2" t="s">
        <v>242</v>
      </c>
      <c r="B5814" s="6">
        <v>43605</v>
      </c>
      <c r="C5814" s="2" t="s">
        <v>24</v>
      </c>
      <c r="D5814" s="8">
        <v>-50</v>
      </c>
      <c r="E5814" s="8">
        <f>E5813+(0-50)</f>
        <v>8461176.9699995257</v>
      </c>
    </row>
    <row r="5815" spans="1:5" x14ac:dyDescent="0.25">
      <c r="A5815" s="2" t="s">
        <v>242</v>
      </c>
      <c r="B5815" s="6">
        <v>43605</v>
      </c>
      <c r="C5815" s="2" t="s">
        <v>24</v>
      </c>
      <c r="D5815" s="8">
        <v>-150</v>
      </c>
      <c r="E5815" s="8">
        <f>E5814+(0-150)</f>
        <v>8461026.9699995257</v>
      </c>
    </row>
    <row r="5816" spans="1:5" x14ac:dyDescent="0.25">
      <c r="A5816" s="2" t="s">
        <v>242</v>
      </c>
      <c r="B5816" s="6">
        <v>43605</v>
      </c>
      <c r="C5816" s="2" t="s">
        <v>24</v>
      </c>
      <c r="D5816" s="8">
        <v>-50</v>
      </c>
      <c r="E5816" s="8">
        <f>E5815+(0-50)</f>
        <v>8460976.9699995257</v>
      </c>
    </row>
    <row r="5817" spans="1:5" x14ac:dyDescent="0.25">
      <c r="A5817" s="2" t="s">
        <v>242</v>
      </c>
      <c r="B5817" s="6">
        <v>43605</v>
      </c>
      <c r="C5817" s="2" t="s">
        <v>259</v>
      </c>
      <c r="D5817" s="8">
        <v>-52.5</v>
      </c>
      <c r="E5817" s="8">
        <f>E5816+(0-52.5)</f>
        <v>8460924.4699995257</v>
      </c>
    </row>
    <row r="5818" spans="1:5" x14ac:dyDescent="0.25">
      <c r="A5818" s="2" t="s">
        <v>242</v>
      </c>
      <c r="B5818" s="6">
        <v>43606</v>
      </c>
      <c r="C5818" s="2" t="s">
        <v>24</v>
      </c>
      <c r="D5818" s="8">
        <v>-50</v>
      </c>
      <c r="E5818" s="8">
        <f>E5817+(0-50)</f>
        <v>8460874.4699995257</v>
      </c>
    </row>
    <row r="5819" spans="1:5" x14ac:dyDescent="0.25">
      <c r="A5819" s="2" t="s">
        <v>242</v>
      </c>
      <c r="B5819" s="6">
        <v>43606</v>
      </c>
      <c r="C5819" s="2" t="s">
        <v>19</v>
      </c>
      <c r="D5819" s="8">
        <v>-232</v>
      </c>
      <c r="E5819" s="8">
        <f>E5818+(0-232)</f>
        <v>8460642.4699995257</v>
      </c>
    </row>
    <row r="5820" spans="1:5" x14ac:dyDescent="0.25">
      <c r="A5820" s="2" t="s">
        <v>242</v>
      </c>
      <c r="B5820" s="6">
        <v>43606</v>
      </c>
      <c r="C5820" s="2" t="s">
        <v>24</v>
      </c>
      <c r="D5820" s="8">
        <v>-100</v>
      </c>
      <c r="E5820" s="8">
        <f>E5819+(0-100)</f>
        <v>8460542.4699995257</v>
      </c>
    </row>
    <row r="5821" spans="1:5" x14ac:dyDescent="0.25">
      <c r="A5821" s="2" t="s">
        <v>242</v>
      </c>
      <c r="B5821" s="6">
        <v>43607</v>
      </c>
      <c r="C5821" s="2" t="s">
        <v>24</v>
      </c>
      <c r="D5821" s="8">
        <v>-50</v>
      </c>
      <c r="E5821" s="8">
        <f>E5820+(0-50)</f>
        <v>8460492.4699995257</v>
      </c>
    </row>
    <row r="5822" spans="1:5" x14ac:dyDescent="0.25">
      <c r="A5822" s="2" t="s">
        <v>242</v>
      </c>
      <c r="B5822" s="6">
        <v>43608</v>
      </c>
      <c r="C5822" s="2" t="s">
        <v>24</v>
      </c>
      <c r="D5822" s="8">
        <v>-100</v>
      </c>
      <c r="E5822" s="8">
        <f>E5821+(0-100)</f>
        <v>8460392.4699995257</v>
      </c>
    </row>
    <row r="5823" spans="1:5" x14ac:dyDescent="0.25">
      <c r="A5823" s="2" t="s">
        <v>242</v>
      </c>
      <c r="B5823" s="6">
        <v>43609</v>
      </c>
      <c r="C5823" s="2" t="s">
        <v>24</v>
      </c>
      <c r="D5823" s="8">
        <v>-50</v>
      </c>
      <c r="E5823" s="8">
        <f>E5822+(0-50)</f>
        <v>8460342.4699995257</v>
      </c>
    </row>
    <row r="5824" spans="1:5" x14ac:dyDescent="0.25">
      <c r="A5824" s="2" t="s">
        <v>242</v>
      </c>
      <c r="B5824" s="6">
        <v>43615</v>
      </c>
      <c r="C5824" s="2" t="s">
        <v>32</v>
      </c>
      <c r="D5824" s="8">
        <v>-210</v>
      </c>
      <c r="E5824" s="8">
        <f>E5823+(0-210)</f>
        <v>8460132.4699995257</v>
      </c>
    </row>
    <row r="5825" spans="1:5" x14ac:dyDescent="0.25">
      <c r="A5825" s="2" t="s">
        <v>242</v>
      </c>
      <c r="B5825" s="6">
        <v>43619</v>
      </c>
      <c r="C5825" s="2" t="s">
        <v>16</v>
      </c>
      <c r="D5825" s="8">
        <v>-50</v>
      </c>
      <c r="E5825" s="8">
        <f>E5824+(0-50)</f>
        <v>8460082.4699995257</v>
      </c>
    </row>
    <row r="5826" spans="1:5" x14ac:dyDescent="0.25">
      <c r="A5826" s="2" t="s">
        <v>242</v>
      </c>
      <c r="B5826" s="6">
        <v>43622</v>
      </c>
      <c r="C5826" s="2" t="s">
        <v>30</v>
      </c>
      <c r="D5826" s="8">
        <v>-50</v>
      </c>
      <c r="E5826" s="8">
        <f>E5825+(0-50)</f>
        <v>8460032.4699995257</v>
      </c>
    </row>
    <row r="5827" spans="1:5" x14ac:dyDescent="0.25">
      <c r="A5827" s="2" t="s">
        <v>242</v>
      </c>
      <c r="B5827" s="6">
        <v>43627</v>
      </c>
      <c r="C5827" s="2" t="s">
        <v>16</v>
      </c>
      <c r="D5827" s="8">
        <v>-50</v>
      </c>
      <c r="E5827" s="8">
        <f>E5826+(0-50)</f>
        <v>8459982.4699995257</v>
      </c>
    </row>
    <row r="5828" spans="1:5" x14ac:dyDescent="0.25">
      <c r="A5828" s="2" t="s">
        <v>242</v>
      </c>
      <c r="B5828" s="6">
        <v>43627</v>
      </c>
      <c r="C5828" s="2" t="s">
        <v>16</v>
      </c>
      <c r="D5828" s="8">
        <v>-250</v>
      </c>
      <c r="E5828" s="8">
        <f>E5827+(0-250)</f>
        <v>8459732.4699995257</v>
      </c>
    </row>
    <row r="5829" spans="1:5" x14ac:dyDescent="0.25">
      <c r="A5829" s="2" t="s">
        <v>242</v>
      </c>
      <c r="B5829" s="6">
        <v>43627</v>
      </c>
      <c r="C5829" s="2" t="s">
        <v>17</v>
      </c>
      <c r="D5829" s="8">
        <v>-32</v>
      </c>
      <c r="E5829" s="8">
        <f>E5828+(0-32)</f>
        <v>8459700.4699995257</v>
      </c>
    </row>
    <row r="5830" spans="1:5" x14ac:dyDescent="0.25">
      <c r="A5830" s="2" t="s">
        <v>242</v>
      </c>
      <c r="B5830" s="6">
        <v>43629</v>
      </c>
      <c r="C5830" s="2" t="s">
        <v>17</v>
      </c>
      <c r="D5830" s="8">
        <v>-56</v>
      </c>
      <c r="E5830" s="8">
        <f>E5829+(0-56)</f>
        <v>8459644.4699995257</v>
      </c>
    </row>
    <row r="5831" spans="1:5" x14ac:dyDescent="0.25">
      <c r="A5831" s="2" t="s">
        <v>242</v>
      </c>
      <c r="B5831" s="6">
        <v>43629</v>
      </c>
      <c r="C5831" s="2" t="s">
        <v>16</v>
      </c>
      <c r="D5831" s="8">
        <v>-50</v>
      </c>
      <c r="E5831" s="8">
        <f>E5830+(0-50)</f>
        <v>8459594.4699995257</v>
      </c>
    </row>
    <row r="5832" spans="1:5" x14ac:dyDescent="0.25">
      <c r="A5832" s="2" t="s">
        <v>242</v>
      </c>
      <c r="B5832" s="6">
        <v>43629</v>
      </c>
      <c r="C5832" s="2" t="s">
        <v>16</v>
      </c>
      <c r="D5832" s="8">
        <v>-50</v>
      </c>
      <c r="E5832" s="8">
        <f>E5831+(0-50)</f>
        <v>8459544.4699995257</v>
      </c>
    </row>
    <row r="5833" spans="1:5" x14ac:dyDescent="0.25">
      <c r="A5833" s="2" t="s">
        <v>242</v>
      </c>
      <c r="B5833" s="6">
        <v>43629</v>
      </c>
      <c r="C5833" s="2" t="s">
        <v>16</v>
      </c>
      <c r="D5833" s="8">
        <v>-50</v>
      </c>
      <c r="E5833" s="8">
        <f>E5832+(0-50)</f>
        <v>8459494.4699995257</v>
      </c>
    </row>
    <row r="5834" spans="1:5" x14ac:dyDescent="0.25">
      <c r="A5834" s="2" t="s">
        <v>242</v>
      </c>
      <c r="B5834" s="6">
        <v>43629</v>
      </c>
      <c r="C5834" s="2" t="s">
        <v>16</v>
      </c>
      <c r="D5834" s="8">
        <v>-250</v>
      </c>
      <c r="E5834" s="8">
        <f>E5833+(0-250)</f>
        <v>8459244.4699995257</v>
      </c>
    </row>
    <row r="5835" spans="1:5" x14ac:dyDescent="0.25">
      <c r="A5835" s="2" t="s">
        <v>242</v>
      </c>
      <c r="B5835" s="6">
        <v>43629</v>
      </c>
      <c r="C5835" s="2" t="s">
        <v>16</v>
      </c>
      <c r="D5835" s="8">
        <v>-50</v>
      </c>
      <c r="E5835" s="8">
        <f>E5834+(0-50)</f>
        <v>8459194.4699995257</v>
      </c>
    </row>
    <row r="5836" spans="1:5" x14ac:dyDescent="0.25">
      <c r="A5836" s="2" t="s">
        <v>242</v>
      </c>
      <c r="B5836" s="6">
        <v>43630</v>
      </c>
      <c r="C5836" s="2" t="s">
        <v>16</v>
      </c>
      <c r="D5836" s="8">
        <v>-8</v>
      </c>
      <c r="E5836" s="8">
        <f>E5835+(0-8)</f>
        <v>8459186.4699995257</v>
      </c>
    </row>
    <row r="5837" spans="1:5" x14ac:dyDescent="0.25">
      <c r="A5837" s="2" t="s">
        <v>242</v>
      </c>
      <c r="B5837" s="6">
        <v>43630</v>
      </c>
      <c r="C5837" s="2" t="s">
        <v>17</v>
      </c>
      <c r="D5837" s="8">
        <v>-60</v>
      </c>
      <c r="E5837" s="8">
        <f>E5836+(0-60)</f>
        <v>8459126.4699995257</v>
      </c>
    </row>
    <row r="5838" spans="1:5" x14ac:dyDescent="0.25">
      <c r="A5838" s="2" t="s">
        <v>242</v>
      </c>
      <c r="B5838" s="6">
        <v>43630</v>
      </c>
      <c r="C5838" s="2" t="s">
        <v>16</v>
      </c>
      <c r="D5838" s="8">
        <v>-50</v>
      </c>
      <c r="E5838" s="8">
        <f>E5837+(0-50)</f>
        <v>8459076.4699995257</v>
      </c>
    </row>
    <row r="5839" spans="1:5" x14ac:dyDescent="0.25">
      <c r="A5839" s="2" t="s">
        <v>242</v>
      </c>
      <c r="B5839" s="6">
        <v>43630</v>
      </c>
      <c r="C5839" s="2" t="s">
        <v>16</v>
      </c>
      <c r="D5839" s="8">
        <v>-50</v>
      </c>
      <c r="E5839" s="8">
        <f>E5838+(0-50)</f>
        <v>8459026.4699995257</v>
      </c>
    </row>
    <row r="5840" spans="1:5" x14ac:dyDescent="0.25">
      <c r="A5840" s="2" t="s">
        <v>242</v>
      </c>
      <c r="B5840" s="6">
        <v>43630</v>
      </c>
      <c r="C5840" s="2" t="s">
        <v>16</v>
      </c>
      <c r="D5840" s="8">
        <v>-100</v>
      </c>
      <c r="E5840" s="8">
        <f>E5839+(0-100)</f>
        <v>8458926.4699995257</v>
      </c>
    </row>
    <row r="5841" spans="1:5" x14ac:dyDescent="0.25">
      <c r="A5841" s="2" t="s">
        <v>242</v>
      </c>
      <c r="B5841" s="6">
        <v>43631</v>
      </c>
      <c r="C5841" s="2" t="s">
        <v>17</v>
      </c>
      <c r="D5841" s="8">
        <v>-32</v>
      </c>
      <c r="E5841" s="8">
        <f>E5840+(0-32)</f>
        <v>8458894.4699995257</v>
      </c>
    </row>
    <row r="5842" spans="1:5" x14ac:dyDescent="0.25">
      <c r="A5842" s="2" t="s">
        <v>242</v>
      </c>
      <c r="B5842" s="6">
        <v>43632</v>
      </c>
      <c r="C5842" s="2" t="s">
        <v>17</v>
      </c>
      <c r="D5842" s="8">
        <v>-8</v>
      </c>
      <c r="E5842" s="8">
        <f>E5841+(0-8)</f>
        <v>8458886.4699995257</v>
      </c>
    </row>
    <row r="5843" spans="1:5" x14ac:dyDescent="0.25">
      <c r="A5843" s="2" t="s">
        <v>242</v>
      </c>
      <c r="B5843" s="6">
        <v>43633</v>
      </c>
      <c r="C5843" s="2" t="s">
        <v>260</v>
      </c>
      <c r="D5843" s="8">
        <v>-52.5</v>
      </c>
      <c r="E5843" s="8">
        <f>E5842+(0-52.5)</f>
        <v>8458833.9699995257</v>
      </c>
    </row>
    <row r="5844" spans="1:5" x14ac:dyDescent="0.25">
      <c r="A5844" s="2" t="s">
        <v>242</v>
      </c>
      <c r="B5844" s="6">
        <v>43633</v>
      </c>
      <c r="C5844" s="2" t="s">
        <v>16</v>
      </c>
      <c r="D5844" s="8">
        <v>-50</v>
      </c>
      <c r="E5844" s="8">
        <f>E5843+(0-50)</f>
        <v>8458783.9699995257</v>
      </c>
    </row>
    <row r="5845" spans="1:5" x14ac:dyDescent="0.25">
      <c r="A5845" s="2" t="s">
        <v>242</v>
      </c>
      <c r="B5845" s="6">
        <v>43633</v>
      </c>
      <c r="C5845" s="2" t="s">
        <v>16</v>
      </c>
      <c r="D5845" s="8">
        <v>-550</v>
      </c>
      <c r="E5845" s="8">
        <f>E5844+(0-550)</f>
        <v>8458233.9699995257</v>
      </c>
    </row>
    <row r="5846" spans="1:5" x14ac:dyDescent="0.25">
      <c r="A5846" s="2" t="s">
        <v>242</v>
      </c>
      <c r="B5846" s="6">
        <v>43633</v>
      </c>
      <c r="C5846" s="2" t="s">
        <v>261</v>
      </c>
      <c r="D5846" s="8">
        <v>-52.5</v>
      </c>
      <c r="E5846" s="8">
        <f>E5845+(0-52.5)</f>
        <v>8458181.4699995257</v>
      </c>
    </row>
    <row r="5847" spans="1:5" x14ac:dyDescent="0.25">
      <c r="A5847" s="2" t="s">
        <v>242</v>
      </c>
      <c r="B5847" s="6">
        <v>43633</v>
      </c>
      <c r="C5847" s="2" t="s">
        <v>262</v>
      </c>
      <c r="D5847" s="8">
        <v>-52.5</v>
      </c>
      <c r="E5847" s="8">
        <f>E5846+(0-52.5)</f>
        <v>8458128.9699995257</v>
      </c>
    </row>
    <row r="5848" spans="1:5" x14ac:dyDescent="0.25">
      <c r="A5848" s="2" t="s">
        <v>242</v>
      </c>
      <c r="B5848" s="6">
        <v>43634</v>
      </c>
      <c r="C5848" s="2" t="s">
        <v>17</v>
      </c>
      <c r="D5848" s="8">
        <v>-4</v>
      </c>
      <c r="E5848" s="8">
        <f>E5847+(0-4)</f>
        <v>8458124.9699995257</v>
      </c>
    </row>
    <row r="5849" spans="1:5" x14ac:dyDescent="0.25">
      <c r="A5849" s="2" t="s">
        <v>242</v>
      </c>
      <c r="B5849" s="6">
        <v>43634</v>
      </c>
      <c r="C5849" s="2" t="s">
        <v>17</v>
      </c>
      <c r="D5849" s="8">
        <v>-96</v>
      </c>
      <c r="E5849" s="8">
        <f>E5848+(0-96)</f>
        <v>8458028.9699995257</v>
      </c>
    </row>
    <row r="5850" spans="1:5" x14ac:dyDescent="0.25">
      <c r="A5850" s="2" t="s">
        <v>242</v>
      </c>
      <c r="B5850" s="6">
        <v>43634</v>
      </c>
      <c r="C5850" s="2" t="s">
        <v>16</v>
      </c>
      <c r="D5850" s="8">
        <v>-50</v>
      </c>
      <c r="E5850" s="8">
        <f>E5849+(0-50)</f>
        <v>8457978.9699995257</v>
      </c>
    </row>
    <row r="5851" spans="1:5" x14ac:dyDescent="0.25">
      <c r="A5851" s="2" t="s">
        <v>242</v>
      </c>
      <c r="B5851" s="6">
        <v>43634</v>
      </c>
      <c r="C5851" s="2" t="s">
        <v>16</v>
      </c>
      <c r="D5851" s="8">
        <v>-50</v>
      </c>
      <c r="E5851" s="8">
        <f>E5850+(0-50)</f>
        <v>8457928.9699995257</v>
      </c>
    </row>
    <row r="5852" spans="1:5" x14ac:dyDescent="0.25">
      <c r="A5852" s="2" t="s">
        <v>242</v>
      </c>
      <c r="B5852" s="6">
        <v>43634</v>
      </c>
      <c r="C5852" s="2" t="s">
        <v>16</v>
      </c>
      <c r="D5852" s="8">
        <v>-100</v>
      </c>
      <c r="E5852" s="8">
        <f>E5851+(0-100)</f>
        <v>8457828.9699995257</v>
      </c>
    </row>
    <row r="5853" spans="1:5" x14ac:dyDescent="0.25">
      <c r="A5853" s="2" t="s">
        <v>242</v>
      </c>
      <c r="B5853" s="6">
        <v>43635</v>
      </c>
      <c r="C5853" s="2" t="s">
        <v>16</v>
      </c>
      <c r="D5853" s="8">
        <v>-50</v>
      </c>
      <c r="E5853" s="8">
        <f>E5852+(0-50)</f>
        <v>8457778.9699995257</v>
      </c>
    </row>
    <row r="5854" spans="1:5" x14ac:dyDescent="0.25">
      <c r="A5854" s="2" t="s">
        <v>242</v>
      </c>
      <c r="B5854" s="6">
        <v>43635</v>
      </c>
      <c r="C5854" s="2" t="s">
        <v>16</v>
      </c>
      <c r="D5854" s="8">
        <v>-50</v>
      </c>
      <c r="E5854" s="8">
        <f>E5853+(0-50)</f>
        <v>8457728.9699995257</v>
      </c>
    </row>
    <row r="5855" spans="1:5" x14ac:dyDescent="0.25">
      <c r="A5855" s="2" t="s">
        <v>242</v>
      </c>
      <c r="B5855" s="6">
        <v>43635</v>
      </c>
      <c r="C5855" s="2" t="s">
        <v>16</v>
      </c>
      <c r="D5855" s="8">
        <v>-50</v>
      </c>
      <c r="E5855" s="8">
        <f>E5854+(0-50)</f>
        <v>8457678.9699995257</v>
      </c>
    </row>
    <row r="5856" spans="1:5" x14ac:dyDescent="0.25">
      <c r="A5856" s="2" t="s">
        <v>242</v>
      </c>
      <c r="B5856" s="6">
        <v>43636</v>
      </c>
      <c r="C5856" s="2" t="s">
        <v>16</v>
      </c>
      <c r="D5856" s="8">
        <v>-50</v>
      </c>
      <c r="E5856" s="8">
        <f>E5855+(0-50)</f>
        <v>8457628.9699995257</v>
      </c>
    </row>
    <row r="5857" spans="1:5" x14ac:dyDescent="0.25">
      <c r="A5857" s="2" t="s">
        <v>242</v>
      </c>
      <c r="B5857" s="6">
        <v>43636</v>
      </c>
      <c r="C5857" s="2" t="s">
        <v>16</v>
      </c>
      <c r="D5857" s="8">
        <v>-250</v>
      </c>
      <c r="E5857" s="8">
        <f>E5856+(0-250)</f>
        <v>8457378.9699995257</v>
      </c>
    </row>
    <row r="5858" spans="1:5" x14ac:dyDescent="0.25">
      <c r="A5858" s="2" t="s">
        <v>242</v>
      </c>
      <c r="B5858" s="6">
        <v>43636</v>
      </c>
      <c r="C5858" s="2" t="s">
        <v>19</v>
      </c>
      <c r="D5858" s="8">
        <v>-24</v>
      </c>
      <c r="E5858" s="8">
        <f>E5857+(0-24)</f>
        <v>8457354.9699995257</v>
      </c>
    </row>
    <row r="5859" spans="1:5" x14ac:dyDescent="0.25">
      <c r="A5859" s="2" t="s">
        <v>242</v>
      </c>
      <c r="B5859" s="6">
        <v>43637</v>
      </c>
      <c r="C5859" s="2" t="s">
        <v>16</v>
      </c>
      <c r="D5859" s="8">
        <v>-150</v>
      </c>
      <c r="E5859" s="8">
        <f>E5858+(0-150)</f>
        <v>8457204.9699995257</v>
      </c>
    </row>
    <row r="5860" spans="1:5" x14ac:dyDescent="0.25">
      <c r="A5860" s="2" t="s">
        <v>242</v>
      </c>
      <c r="B5860" s="6">
        <v>43637</v>
      </c>
      <c r="C5860" s="2" t="s">
        <v>16</v>
      </c>
      <c r="D5860" s="8">
        <v>-50</v>
      </c>
      <c r="E5860" s="8">
        <f>E5859+(0-50)</f>
        <v>8457154.9699995257</v>
      </c>
    </row>
    <row r="5861" spans="1:5" x14ac:dyDescent="0.25">
      <c r="A5861" s="2" t="s">
        <v>242</v>
      </c>
      <c r="B5861" s="6">
        <v>43638</v>
      </c>
      <c r="C5861" s="2" t="s">
        <v>17</v>
      </c>
      <c r="D5861" s="8">
        <v>-40</v>
      </c>
      <c r="E5861" s="8">
        <f>E5860+(0-40)</f>
        <v>8457114.9699995257</v>
      </c>
    </row>
    <row r="5862" spans="1:5" x14ac:dyDescent="0.25">
      <c r="A5862" s="2" t="s">
        <v>242</v>
      </c>
      <c r="B5862" s="6">
        <v>43639</v>
      </c>
      <c r="C5862" s="2" t="s">
        <v>17</v>
      </c>
      <c r="D5862" s="8">
        <v>-40</v>
      </c>
      <c r="E5862" s="8">
        <f>E5861+(0-40)</f>
        <v>8457074.9699995257</v>
      </c>
    </row>
    <row r="5863" spans="1:5" x14ac:dyDescent="0.25">
      <c r="A5863" s="2" t="s">
        <v>242</v>
      </c>
      <c r="B5863" s="6">
        <v>43640</v>
      </c>
      <c r="C5863" s="2" t="s">
        <v>17</v>
      </c>
      <c r="D5863" s="8">
        <v>-4</v>
      </c>
      <c r="E5863" s="8">
        <f>E5862+(0-4)</f>
        <v>8457070.9699995257</v>
      </c>
    </row>
    <row r="5864" spans="1:5" x14ac:dyDescent="0.25">
      <c r="A5864" s="2" t="s">
        <v>242</v>
      </c>
      <c r="B5864" s="6">
        <v>43640</v>
      </c>
      <c r="C5864" s="2" t="s">
        <v>16</v>
      </c>
      <c r="D5864" s="8">
        <v>-50</v>
      </c>
      <c r="E5864" s="8">
        <f>E5863+(0-50)</f>
        <v>8457020.9699995257</v>
      </c>
    </row>
    <row r="5865" spans="1:5" x14ac:dyDescent="0.25">
      <c r="A5865" s="2" t="s">
        <v>242</v>
      </c>
      <c r="B5865" s="6">
        <v>43640</v>
      </c>
      <c r="C5865" s="2" t="s">
        <v>263</v>
      </c>
      <c r="D5865" s="8">
        <v>-52.5</v>
      </c>
      <c r="E5865" s="8">
        <f>E5864+(0-52.5)</f>
        <v>8456968.4699995257</v>
      </c>
    </row>
    <row r="5866" spans="1:5" x14ac:dyDescent="0.25">
      <c r="A5866" s="2" t="s">
        <v>242</v>
      </c>
      <c r="B5866" s="6">
        <v>43640</v>
      </c>
      <c r="C5866" s="2" t="s">
        <v>16</v>
      </c>
      <c r="D5866" s="8">
        <v>-300</v>
      </c>
      <c r="E5866" s="8">
        <f>E5865+(0-300)</f>
        <v>8456668.4699995257</v>
      </c>
    </row>
    <row r="5867" spans="1:5" x14ac:dyDescent="0.25">
      <c r="A5867" s="2" t="s">
        <v>242</v>
      </c>
      <c r="B5867" s="6">
        <v>43641</v>
      </c>
      <c r="C5867" s="2" t="s">
        <v>186</v>
      </c>
      <c r="D5867" s="8">
        <v>-300</v>
      </c>
      <c r="E5867" s="8">
        <f>E5866+(0-300)</f>
        <v>8456368.4699995257</v>
      </c>
    </row>
    <row r="5868" spans="1:5" x14ac:dyDescent="0.25">
      <c r="A5868" s="2" t="s">
        <v>242</v>
      </c>
      <c r="B5868" s="6">
        <v>43641</v>
      </c>
      <c r="C5868" s="2" t="s">
        <v>155</v>
      </c>
      <c r="D5868" s="8">
        <v>-15</v>
      </c>
      <c r="E5868" s="8">
        <f>E5867+(0-15)</f>
        <v>8456353.4699995257</v>
      </c>
    </row>
    <row r="5869" spans="1:5" x14ac:dyDescent="0.25">
      <c r="A5869" s="2" t="s">
        <v>242</v>
      </c>
      <c r="B5869" s="6">
        <v>43641</v>
      </c>
      <c r="C5869" s="2" t="s">
        <v>155</v>
      </c>
      <c r="D5869" s="8">
        <v>-15</v>
      </c>
      <c r="E5869" s="8">
        <f>E5868+(0-15)</f>
        <v>8456338.4699995257</v>
      </c>
    </row>
    <row r="5870" spans="1:5" x14ac:dyDescent="0.25">
      <c r="A5870" s="2" t="s">
        <v>242</v>
      </c>
      <c r="B5870" s="6">
        <v>43641</v>
      </c>
      <c r="C5870" s="2" t="s">
        <v>186</v>
      </c>
      <c r="D5870" s="8">
        <v>-300</v>
      </c>
      <c r="E5870" s="8">
        <f>E5869+(0-300)</f>
        <v>8456038.4699995257</v>
      </c>
    </row>
    <row r="5871" spans="1:5" x14ac:dyDescent="0.25">
      <c r="A5871" s="2" t="s">
        <v>242</v>
      </c>
      <c r="B5871" s="6">
        <v>43641</v>
      </c>
      <c r="C5871" s="2" t="s">
        <v>16</v>
      </c>
      <c r="D5871" s="8">
        <v>-100</v>
      </c>
      <c r="E5871" s="8">
        <f>E5870+(0-100)</f>
        <v>8455938.4699995257</v>
      </c>
    </row>
    <row r="5872" spans="1:5" x14ac:dyDescent="0.25">
      <c r="A5872" s="2" t="s">
        <v>242</v>
      </c>
      <c r="B5872" s="6">
        <v>43641</v>
      </c>
      <c r="C5872" s="2" t="s">
        <v>16</v>
      </c>
      <c r="D5872" s="8">
        <v>-150</v>
      </c>
      <c r="E5872" s="8">
        <f>E5871+(0-150)</f>
        <v>8455788.4699995257</v>
      </c>
    </row>
    <row r="5873" spans="1:5" x14ac:dyDescent="0.25">
      <c r="A5873" s="2" t="s">
        <v>242</v>
      </c>
      <c r="B5873" s="6">
        <v>43642</v>
      </c>
      <c r="C5873" s="2" t="s">
        <v>17</v>
      </c>
      <c r="D5873" s="8">
        <v>-48</v>
      </c>
      <c r="E5873" s="8">
        <f>E5872+(0-48)</f>
        <v>8455740.4699995257</v>
      </c>
    </row>
    <row r="5874" spans="1:5" x14ac:dyDescent="0.25">
      <c r="A5874" s="2" t="s">
        <v>242</v>
      </c>
      <c r="B5874" s="6">
        <v>43642</v>
      </c>
      <c r="C5874" s="2" t="s">
        <v>17</v>
      </c>
      <c r="D5874" s="8">
        <v>-68</v>
      </c>
      <c r="E5874" s="8">
        <f>E5873+(0-68)</f>
        <v>8455672.4699995257</v>
      </c>
    </row>
    <row r="5875" spans="1:5" x14ac:dyDescent="0.25">
      <c r="A5875" s="2" t="s">
        <v>242</v>
      </c>
      <c r="B5875" s="6">
        <v>43642</v>
      </c>
      <c r="C5875" s="2" t="s">
        <v>16</v>
      </c>
      <c r="D5875" s="8">
        <v>-50</v>
      </c>
      <c r="E5875" s="8">
        <f>E5874+(0-50)</f>
        <v>8455622.4699995257</v>
      </c>
    </row>
    <row r="5876" spans="1:5" x14ac:dyDescent="0.25">
      <c r="A5876" s="2" t="s">
        <v>242</v>
      </c>
      <c r="B5876" s="6">
        <v>43643</v>
      </c>
      <c r="C5876" s="2" t="s">
        <v>16</v>
      </c>
      <c r="D5876" s="8">
        <v>-150</v>
      </c>
      <c r="E5876" s="8">
        <f>E5875+(0-150)</f>
        <v>8455472.4699995257</v>
      </c>
    </row>
    <row r="5877" spans="1:5" x14ac:dyDescent="0.25">
      <c r="A5877" s="2" t="s">
        <v>242</v>
      </c>
      <c r="B5877" s="6">
        <v>43643</v>
      </c>
      <c r="C5877" s="2" t="s">
        <v>17</v>
      </c>
      <c r="D5877" s="8">
        <v>-32</v>
      </c>
      <c r="E5877" s="8">
        <f>E5876+(0-32)</f>
        <v>8455440.4699995257</v>
      </c>
    </row>
    <row r="5878" spans="1:5" x14ac:dyDescent="0.25">
      <c r="A5878" s="2" t="s">
        <v>242</v>
      </c>
      <c r="B5878" s="6">
        <v>43644</v>
      </c>
      <c r="C5878" s="2" t="s">
        <v>32</v>
      </c>
      <c r="D5878" s="8">
        <v>-210</v>
      </c>
      <c r="E5878" s="8">
        <f>E5877+(0-210)</f>
        <v>8455230.4699995257</v>
      </c>
    </row>
    <row r="5879" spans="1:5" x14ac:dyDescent="0.25">
      <c r="A5879" s="2" t="s">
        <v>242</v>
      </c>
      <c r="B5879" s="6">
        <v>43644</v>
      </c>
      <c r="C5879" s="2" t="s">
        <v>16</v>
      </c>
      <c r="D5879" s="8">
        <v>-50</v>
      </c>
      <c r="E5879" s="8">
        <f>E5878+(0-50)</f>
        <v>8455180.4699995257</v>
      </c>
    </row>
    <row r="5880" spans="1:5" x14ac:dyDescent="0.25">
      <c r="A5880" s="2" t="s">
        <v>242</v>
      </c>
      <c r="B5880" s="6">
        <v>43644</v>
      </c>
      <c r="C5880" s="2" t="s">
        <v>17</v>
      </c>
      <c r="D5880" s="8">
        <v>-28</v>
      </c>
      <c r="E5880" s="8">
        <f>E5879+(0-28)</f>
        <v>8455152.4699995257</v>
      </c>
    </row>
    <row r="5881" spans="1:5" x14ac:dyDescent="0.25">
      <c r="A5881" s="2" t="s">
        <v>242</v>
      </c>
      <c r="B5881" s="6">
        <v>43645</v>
      </c>
      <c r="C5881" s="2" t="s">
        <v>264</v>
      </c>
      <c r="D5881" s="8">
        <v>-300</v>
      </c>
      <c r="E5881" s="8">
        <f>E5880+(0-300)</f>
        <v>8454852.4699995257</v>
      </c>
    </row>
    <row r="5882" spans="1:5" x14ac:dyDescent="0.25">
      <c r="A5882" s="2" t="s">
        <v>242</v>
      </c>
      <c r="B5882" s="6">
        <v>43645</v>
      </c>
      <c r="C5882" s="2" t="s">
        <v>17</v>
      </c>
      <c r="D5882" s="8">
        <v>-104</v>
      </c>
      <c r="E5882" s="8">
        <f>E5881+(0-104)</f>
        <v>8454748.4699995257</v>
      </c>
    </row>
    <row r="5883" spans="1:5" x14ac:dyDescent="0.25">
      <c r="A5883" s="2" t="s">
        <v>242</v>
      </c>
      <c r="B5883" s="6">
        <v>43647</v>
      </c>
      <c r="C5883" s="2" t="s">
        <v>16</v>
      </c>
      <c r="D5883" s="8">
        <v>-150</v>
      </c>
      <c r="E5883" s="8">
        <f>E5882+(0-150)</f>
        <v>8454598.4699995257</v>
      </c>
    </row>
    <row r="5884" spans="1:5" x14ac:dyDescent="0.25">
      <c r="A5884" s="2" t="s">
        <v>242</v>
      </c>
      <c r="B5884" s="6">
        <v>43647</v>
      </c>
      <c r="C5884" s="2" t="s">
        <v>17</v>
      </c>
      <c r="D5884" s="8">
        <v>-8</v>
      </c>
      <c r="E5884" s="8">
        <f>E5883+(0-8)</f>
        <v>8454590.4699995257</v>
      </c>
    </row>
    <row r="5885" spans="1:5" x14ac:dyDescent="0.25">
      <c r="A5885" s="2" t="s">
        <v>242</v>
      </c>
      <c r="B5885" s="6">
        <v>43648</v>
      </c>
      <c r="C5885" s="2" t="s">
        <v>17</v>
      </c>
      <c r="D5885" s="8">
        <v>-20</v>
      </c>
      <c r="E5885" s="8">
        <f>E5884+(0-20)</f>
        <v>8454570.4699995257</v>
      </c>
    </row>
    <row r="5886" spans="1:5" x14ac:dyDescent="0.25">
      <c r="A5886" s="2" t="s">
        <v>242</v>
      </c>
      <c r="B5886" s="6">
        <v>43654</v>
      </c>
      <c r="C5886" s="2" t="s">
        <v>17</v>
      </c>
      <c r="D5886" s="8">
        <v>-24</v>
      </c>
      <c r="E5886" s="8">
        <f>E5885+(0-24)</f>
        <v>8454546.4699995257</v>
      </c>
    </row>
    <row r="5887" spans="1:5" x14ac:dyDescent="0.25">
      <c r="A5887" s="2" t="s">
        <v>242</v>
      </c>
      <c r="B5887" s="6">
        <v>43654</v>
      </c>
      <c r="C5887" s="2" t="s">
        <v>16</v>
      </c>
      <c r="D5887" s="8">
        <v>-50</v>
      </c>
      <c r="E5887" s="8">
        <f>E5886+(0-50)</f>
        <v>8454496.4699995257</v>
      </c>
    </row>
    <row r="5888" spans="1:5" x14ac:dyDescent="0.25">
      <c r="A5888" s="2" t="s">
        <v>242</v>
      </c>
      <c r="B5888" s="6">
        <v>43654</v>
      </c>
      <c r="C5888" s="2" t="s">
        <v>265</v>
      </c>
      <c r="D5888" s="8">
        <v>-52.5</v>
      </c>
      <c r="E5888" s="8">
        <f>E5887+(0-52.5)</f>
        <v>8454443.9699995257</v>
      </c>
    </row>
    <row r="5889" spans="1:5" x14ac:dyDescent="0.25">
      <c r="A5889" s="2" t="s">
        <v>242</v>
      </c>
      <c r="B5889" s="6">
        <v>43654</v>
      </c>
      <c r="C5889" s="2" t="s">
        <v>16</v>
      </c>
      <c r="D5889" s="8">
        <v>-50</v>
      </c>
      <c r="E5889" s="8">
        <f>E5888+(0-50)</f>
        <v>8454393.9699995257</v>
      </c>
    </row>
    <row r="5890" spans="1:5" x14ac:dyDescent="0.25">
      <c r="A5890" s="2" t="s">
        <v>242</v>
      </c>
      <c r="B5890" s="6">
        <v>43654</v>
      </c>
      <c r="C5890" s="2" t="s">
        <v>16</v>
      </c>
      <c r="D5890" s="8">
        <v>-50</v>
      </c>
      <c r="E5890" s="8">
        <f>E5889+(0-50)</f>
        <v>8454343.9699995257</v>
      </c>
    </row>
    <row r="5891" spans="1:5" x14ac:dyDescent="0.25">
      <c r="A5891" s="2" t="s">
        <v>242</v>
      </c>
      <c r="B5891" s="6">
        <v>43654</v>
      </c>
      <c r="C5891" s="2" t="s">
        <v>16</v>
      </c>
      <c r="D5891" s="8">
        <v>-50</v>
      </c>
      <c r="E5891" s="8">
        <f>E5890+(0-50)</f>
        <v>8454293.9699995257</v>
      </c>
    </row>
    <row r="5892" spans="1:5" x14ac:dyDescent="0.25">
      <c r="A5892" s="2" t="s">
        <v>242</v>
      </c>
      <c r="B5892" s="6">
        <v>43654</v>
      </c>
      <c r="C5892" s="2" t="s">
        <v>16</v>
      </c>
      <c r="D5892" s="8">
        <v>-150</v>
      </c>
      <c r="E5892" s="8">
        <f>E5891+(0-150)</f>
        <v>8454143.9699995257</v>
      </c>
    </row>
    <row r="5893" spans="1:5" x14ac:dyDescent="0.25">
      <c r="A5893" s="2" t="s">
        <v>242</v>
      </c>
      <c r="B5893" s="6">
        <v>43654</v>
      </c>
      <c r="C5893" s="2" t="s">
        <v>17</v>
      </c>
      <c r="D5893" s="8">
        <v>-4</v>
      </c>
      <c r="E5893" s="8">
        <f>E5892+(0-4)</f>
        <v>8454139.9699995257</v>
      </c>
    </row>
    <row r="5894" spans="1:5" x14ac:dyDescent="0.25">
      <c r="A5894" s="2" t="s">
        <v>242</v>
      </c>
      <c r="B5894" s="6">
        <v>43655</v>
      </c>
      <c r="C5894" s="2" t="s">
        <v>16</v>
      </c>
      <c r="D5894" s="8">
        <v>-150</v>
      </c>
      <c r="E5894" s="8">
        <f>E5893+(0-150)</f>
        <v>8453989.9699995257</v>
      </c>
    </row>
    <row r="5895" spans="1:5" x14ac:dyDescent="0.25">
      <c r="A5895" s="2" t="s">
        <v>242</v>
      </c>
      <c r="B5895" s="6">
        <v>43655</v>
      </c>
      <c r="C5895" s="2" t="s">
        <v>17</v>
      </c>
      <c r="D5895" s="8">
        <v>-56</v>
      </c>
      <c r="E5895" s="8">
        <f>E5894+(0-56)</f>
        <v>8453933.9699995257</v>
      </c>
    </row>
    <row r="5896" spans="1:5" x14ac:dyDescent="0.25">
      <c r="A5896" s="2" t="s">
        <v>242</v>
      </c>
      <c r="B5896" s="6">
        <v>43656</v>
      </c>
      <c r="C5896" s="2" t="s">
        <v>16</v>
      </c>
      <c r="D5896" s="8">
        <v>-50</v>
      </c>
      <c r="E5896" s="8">
        <f>E5895+(0-50)</f>
        <v>8453883.9699995257</v>
      </c>
    </row>
    <row r="5897" spans="1:5" x14ac:dyDescent="0.25">
      <c r="A5897" s="2" t="s">
        <v>242</v>
      </c>
      <c r="B5897" s="6">
        <v>43656</v>
      </c>
      <c r="C5897" s="2" t="s">
        <v>266</v>
      </c>
      <c r="D5897" s="8">
        <v>-52.5</v>
      </c>
      <c r="E5897" s="8">
        <f>E5896+(0-52.5)</f>
        <v>8453831.4699995257</v>
      </c>
    </row>
    <row r="5898" spans="1:5" x14ac:dyDescent="0.25">
      <c r="A5898" s="2" t="s">
        <v>242</v>
      </c>
      <c r="B5898" s="6">
        <v>43661</v>
      </c>
      <c r="C5898" s="2" t="s">
        <v>16</v>
      </c>
      <c r="D5898" s="8">
        <v>-100</v>
      </c>
      <c r="E5898" s="8">
        <f>E5897+(0-100)</f>
        <v>8453731.4699995257</v>
      </c>
    </row>
    <row r="5899" spans="1:5" x14ac:dyDescent="0.25">
      <c r="A5899" s="2" t="s">
        <v>242</v>
      </c>
      <c r="B5899" s="6">
        <v>43672</v>
      </c>
      <c r="C5899" s="2" t="s">
        <v>17</v>
      </c>
      <c r="D5899" s="8">
        <v>-32</v>
      </c>
      <c r="E5899" s="8">
        <f>E5898+(0-32)</f>
        <v>8453699.4699995257</v>
      </c>
    </row>
    <row r="5900" spans="1:5" x14ac:dyDescent="0.25">
      <c r="A5900" s="2" t="s">
        <v>242</v>
      </c>
      <c r="B5900" s="6">
        <v>43672</v>
      </c>
      <c r="C5900" s="2" t="s">
        <v>267</v>
      </c>
      <c r="D5900" s="8">
        <v>-52.5</v>
      </c>
      <c r="E5900" s="8">
        <f>E5899+(0-52.5)</f>
        <v>8453646.9699995257</v>
      </c>
    </row>
    <row r="5901" spans="1:5" x14ac:dyDescent="0.25">
      <c r="A5901" s="2" t="s">
        <v>242</v>
      </c>
      <c r="B5901" s="6">
        <v>43672</v>
      </c>
      <c r="C5901" s="2" t="s">
        <v>16</v>
      </c>
      <c r="D5901" s="8">
        <v>-50</v>
      </c>
      <c r="E5901" s="8">
        <f>E5900+(0-50)</f>
        <v>8453596.9699995257</v>
      </c>
    </row>
    <row r="5902" spans="1:5" x14ac:dyDescent="0.25">
      <c r="A5902" s="2" t="s">
        <v>242</v>
      </c>
      <c r="B5902" s="6">
        <v>43672</v>
      </c>
      <c r="C5902" s="2" t="s">
        <v>16</v>
      </c>
      <c r="D5902" s="8">
        <v>-250</v>
      </c>
      <c r="E5902" s="8">
        <f>E5901+(0-250)</f>
        <v>8453346.9699995257</v>
      </c>
    </row>
    <row r="5903" spans="1:5" x14ac:dyDescent="0.25">
      <c r="A5903" s="2" t="s">
        <v>242</v>
      </c>
      <c r="B5903" s="6">
        <v>43673</v>
      </c>
      <c r="C5903" s="2" t="s">
        <v>268</v>
      </c>
      <c r="D5903" s="8">
        <v>-52.5</v>
      </c>
      <c r="E5903" s="8">
        <f>E5902+(0-52.5)</f>
        <v>8453294.4699995257</v>
      </c>
    </row>
    <row r="5904" spans="1:5" x14ac:dyDescent="0.25">
      <c r="A5904" s="2" t="s">
        <v>242</v>
      </c>
      <c r="B5904" s="6">
        <v>43674</v>
      </c>
      <c r="C5904" s="2" t="s">
        <v>17</v>
      </c>
      <c r="D5904" s="8">
        <v>-60</v>
      </c>
      <c r="E5904" s="8">
        <f>E5903+(0-60)</f>
        <v>8453234.4699995257</v>
      </c>
    </row>
    <row r="5905" spans="1:5" x14ac:dyDescent="0.25">
      <c r="A5905" s="2" t="s">
        <v>242</v>
      </c>
      <c r="B5905" s="6">
        <v>43674</v>
      </c>
      <c r="C5905" s="2" t="s">
        <v>17</v>
      </c>
      <c r="D5905" s="8">
        <v>-8</v>
      </c>
      <c r="E5905" s="8">
        <f>E5904+(0-8)</f>
        <v>8453226.4699995257</v>
      </c>
    </row>
    <row r="5906" spans="1:5" x14ac:dyDescent="0.25">
      <c r="A5906" s="2" t="s">
        <v>242</v>
      </c>
      <c r="B5906" s="6">
        <v>43675</v>
      </c>
      <c r="C5906" s="2" t="s">
        <v>269</v>
      </c>
      <c r="D5906" s="8">
        <v>-100</v>
      </c>
      <c r="E5906" s="8">
        <f>E5905+(0-100)</f>
        <v>8453126.4699995257</v>
      </c>
    </row>
    <row r="5907" spans="1:5" x14ac:dyDescent="0.25">
      <c r="A5907" s="2" t="s">
        <v>242</v>
      </c>
      <c r="B5907" s="6">
        <v>43675</v>
      </c>
      <c r="C5907" s="2" t="s">
        <v>268</v>
      </c>
      <c r="D5907" s="8">
        <v>-52.5</v>
      </c>
      <c r="E5907" s="8">
        <f>E5906+(0-52.5)</f>
        <v>8453073.9699995257</v>
      </c>
    </row>
    <row r="5908" spans="1:5" x14ac:dyDescent="0.25">
      <c r="A5908" s="2" t="s">
        <v>242</v>
      </c>
      <c r="B5908" s="6">
        <v>43675</v>
      </c>
      <c r="C5908" s="2" t="s">
        <v>16</v>
      </c>
      <c r="D5908" s="8">
        <v>-200</v>
      </c>
      <c r="E5908" s="8">
        <f>E5907+(0-200)</f>
        <v>8452873.9699995257</v>
      </c>
    </row>
    <row r="5909" spans="1:5" x14ac:dyDescent="0.25">
      <c r="A5909" s="2" t="s">
        <v>242</v>
      </c>
      <c r="B5909" s="6">
        <v>43676</v>
      </c>
      <c r="C5909" s="2" t="s">
        <v>17</v>
      </c>
      <c r="D5909" s="8">
        <v>-52</v>
      </c>
      <c r="E5909" s="8">
        <f>E5908+(0-52)</f>
        <v>8452821.9699995257</v>
      </c>
    </row>
    <row r="5910" spans="1:5" x14ac:dyDescent="0.25">
      <c r="A5910" s="2" t="s">
        <v>242</v>
      </c>
      <c r="B5910" s="6">
        <v>43676</v>
      </c>
      <c r="C5910" s="2" t="s">
        <v>16</v>
      </c>
      <c r="D5910" s="8">
        <v>-50</v>
      </c>
      <c r="E5910" s="8">
        <f>E5909+(0-50)</f>
        <v>8452771.9699995257</v>
      </c>
    </row>
    <row r="5911" spans="1:5" x14ac:dyDescent="0.25">
      <c r="A5911" s="2" t="s">
        <v>242</v>
      </c>
      <c r="B5911" s="6">
        <v>43676</v>
      </c>
      <c r="C5911" s="2" t="s">
        <v>16</v>
      </c>
      <c r="D5911" s="8">
        <v>-50</v>
      </c>
      <c r="E5911" s="8">
        <f>E5910+(0-50)</f>
        <v>8452721.9699995257</v>
      </c>
    </row>
    <row r="5912" spans="1:5" x14ac:dyDescent="0.25">
      <c r="A5912" s="2" t="s">
        <v>242</v>
      </c>
      <c r="B5912" s="6">
        <v>43676</v>
      </c>
      <c r="C5912" s="2" t="s">
        <v>32</v>
      </c>
      <c r="D5912" s="8">
        <v>-210</v>
      </c>
      <c r="E5912" s="8">
        <f>E5911+(0-210)</f>
        <v>8452511.9699995257</v>
      </c>
    </row>
    <row r="5913" spans="1:5" x14ac:dyDescent="0.25">
      <c r="A5913" s="2" t="s">
        <v>242</v>
      </c>
      <c r="B5913" s="6">
        <v>43676</v>
      </c>
      <c r="C5913" s="2" t="s">
        <v>16</v>
      </c>
      <c r="D5913" s="8">
        <v>-150</v>
      </c>
      <c r="E5913" s="8">
        <f>E5912+(0-150)</f>
        <v>8452361.9699995257</v>
      </c>
    </row>
    <row r="5914" spans="1:5" x14ac:dyDescent="0.25">
      <c r="A5914" s="2" t="s">
        <v>242</v>
      </c>
      <c r="B5914" s="6">
        <v>43676</v>
      </c>
      <c r="C5914" s="2" t="s">
        <v>16</v>
      </c>
      <c r="D5914" s="8">
        <v>-100</v>
      </c>
      <c r="E5914" s="8">
        <f>E5913+(0-100)</f>
        <v>8452261.9699995257</v>
      </c>
    </row>
    <row r="5915" spans="1:5" x14ac:dyDescent="0.25">
      <c r="A5915" s="2" t="s">
        <v>242</v>
      </c>
      <c r="B5915" s="6">
        <v>43677</v>
      </c>
      <c r="C5915" s="2" t="s">
        <v>17</v>
      </c>
      <c r="D5915" s="8">
        <v>-80</v>
      </c>
      <c r="E5915" s="8">
        <f>E5914+(0-80)</f>
        <v>8452181.9699995257</v>
      </c>
    </row>
    <row r="5916" spans="1:5" x14ac:dyDescent="0.25">
      <c r="A5916" s="2" t="s">
        <v>242</v>
      </c>
      <c r="B5916" s="6">
        <v>43686</v>
      </c>
      <c r="C5916" s="2" t="s">
        <v>16</v>
      </c>
      <c r="D5916" s="8">
        <v>-50</v>
      </c>
      <c r="E5916" s="8">
        <f>E5915+(0-50)</f>
        <v>8452131.9699995257</v>
      </c>
    </row>
    <row r="5917" spans="1:5" x14ac:dyDescent="0.25">
      <c r="A5917" s="2" t="s">
        <v>242</v>
      </c>
      <c r="B5917" s="6">
        <v>43703</v>
      </c>
      <c r="C5917" s="2" t="s">
        <v>24</v>
      </c>
      <c r="D5917" s="8">
        <v>-50</v>
      </c>
      <c r="E5917" s="8">
        <f>E5916+(0-50)</f>
        <v>8452081.9699995257</v>
      </c>
    </row>
    <row r="5918" spans="1:5" x14ac:dyDescent="0.25">
      <c r="A5918" s="2" t="s">
        <v>242</v>
      </c>
      <c r="B5918" s="6">
        <v>43703</v>
      </c>
      <c r="C5918" s="2" t="s">
        <v>24</v>
      </c>
      <c r="D5918" s="8">
        <v>-50</v>
      </c>
      <c r="E5918" s="8">
        <f>E5917+(0-50)</f>
        <v>8452031.9699995257</v>
      </c>
    </row>
    <row r="5919" spans="1:5" x14ac:dyDescent="0.25">
      <c r="A5919" s="2" t="s">
        <v>242</v>
      </c>
      <c r="B5919" s="6">
        <v>43703</v>
      </c>
      <c r="C5919" s="2" t="s">
        <v>17</v>
      </c>
      <c r="D5919" s="8">
        <v>-4</v>
      </c>
      <c r="E5919" s="8">
        <f>E5918+(0-4)</f>
        <v>8452027.9699995257</v>
      </c>
    </row>
    <row r="5920" spans="1:5" x14ac:dyDescent="0.25">
      <c r="A5920" s="2" t="s">
        <v>242</v>
      </c>
      <c r="B5920" s="6">
        <v>43704</v>
      </c>
      <c r="C5920" s="2" t="s">
        <v>24</v>
      </c>
      <c r="D5920" s="8">
        <v>-300</v>
      </c>
      <c r="E5920" s="8">
        <f>E5919+(0-300)</f>
        <v>8451727.9699995257</v>
      </c>
    </row>
    <row r="5921" spans="1:5" x14ac:dyDescent="0.25">
      <c r="A5921" s="2" t="s">
        <v>242</v>
      </c>
      <c r="B5921" s="6">
        <v>43705</v>
      </c>
      <c r="C5921" s="2" t="s">
        <v>17</v>
      </c>
      <c r="D5921" s="8">
        <v>-32</v>
      </c>
      <c r="E5921" s="8">
        <f>E5920+(0-32)</f>
        <v>8451695.9699995257</v>
      </c>
    </row>
    <row r="5922" spans="1:5" x14ac:dyDescent="0.25">
      <c r="A5922" s="2" t="s">
        <v>242</v>
      </c>
      <c r="B5922" s="6">
        <v>43705</v>
      </c>
      <c r="C5922" s="2" t="s">
        <v>17</v>
      </c>
      <c r="D5922" s="8">
        <v>-56</v>
      </c>
      <c r="E5922" s="8">
        <f>E5921+(0-56)</f>
        <v>8451639.9699995257</v>
      </c>
    </row>
    <row r="5923" spans="1:5" x14ac:dyDescent="0.25">
      <c r="A5923" s="2" t="s">
        <v>242</v>
      </c>
      <c r="B5923" s="6">
        <v>43705</v>
      </c>
      <c r="C5923" s="2" t="s">
        <v>24</v>
      </c>
      <c r="D5923" s="8">
        <v>-100</v>
      </c>
      <c r="E5923" s="8">
        <f>E5922+(0-100)</f>
        <v>8451539.9699995257</v>
      </c>
    </row>
    <row r="5924" spans="1:5" x14ac:dyDescent="0.25">
      <c r="A5924" s="2" t="s">
        <v>242</v>
      </c>
      <c r="B5924" s="6">
        <v>43706</v>
      </c>
      <c r="C5924" s="2" t="s">
        <v>24</v>
      </c>
      <c r="D5924" s="8">
        <v>-50</v>
      </c>
      <c r="E5924" s="8">
        <f>E5923+(0-50)</f>
        <v>8451489.9699995257</v>
      </c>
    </row>
    <row r="5925" spans="1:5" x14ac:dyDescent="0.25">
      <c r="A5925" s="2" t="s">
        <v>242</v>
      </c>
      <c r="B5925" s="6">
        <v>43706</v>
      </c>
      <c r="C5925" s="2" t="s">
        <v>17</v>
      </c>
      <c r="D5925" s="8">
        <v>-16</v>
      </c>
      <c r="E5925" s="8">
        <f>E5924+(0-16)</f>
        <v>8451473.9699995257</v>
      </c>
    </row>
    <row r="5926" spans="1:5" x14ac:dyDescent="0.25">
      <c r="A5926" s="2" t="s">
        <v>242</v>
      </c>
      <c r="B5926" s="6">
        <v>43707</v>
      </c>
      <c r="C5926" s="2" t="s">
        <v>270</v>
      </c>
      <c r="D5926" s="8">
        <v>-52.5</v>
      </c>
      <c r="E5926" s="8">
        <f>E5925+(0-52.5)</f>
        <v>8451421.4699995257</v>
      </c>
    </row>
    <row r="5927" spans="1:5" x14ac:dyDescent="0.25">
      <c r="A5927" s="2" t="s">
        <v>242</v>
      </c>
      <c r="B5927" s="6">
        <v>43707</v>
      </c>
      <c r="C5927" s="2" t="s">
        <v>24</v>
      </c>
      <c r="D5927" s="8">
        <v>-150</v>
      </c>
      <c r="E5927" s="8">
        <f>E5926+(0-150)</f>
        <v>8451271.4699995257</v>
      </c>
    </row>
    <row r="5928" spans="1:5" x14ac:dyDescent="0.25">
      <c r="A5928" s="2" t="s">
        <v>242</v>
      </c>
      <c r="B5928" s="6">
        <v>43707</v>
      </c>
      <c r="C5928" s="2" t="s">
        <v>17</v>
      </c>
      <c r="D5928" s="8">
        <v>-48</v>
      </c>
      <c r="E5928" s="8">
        <f>E5927+(0-48)</f>
        <v>8451223.4699995257</v>
      </c>
    </row>
    <row r="5929" spans="1:5" x14ac:dyDescent="0.25">
      <c r="A5929" s="2" t="s">
        <v>242</v>
      </c>
      <c r="B5929" s="6">
        <v>43708</v>
      </c>
      <c r="C5929" s="2" t="s">
        <v>17</v>
      </c>
      <c r="D5929" s="8">
        <v>-44</v>
      </c>
      <c r="E5929" s="8">
        <f>E5928+(0-44)</f>
        <v>8451179.4699995257</v>
      </c>
    </row>
    <row r="5930" spans="1:5" x14ac:dyDescent="0.25">
      <c r="A5930" s="2" t="s">
        <v>242</v>
      </c>
      <c r="B5930" s="6">
        <v>43710</v>
      </c>
      <c r="C5930" s="2" t="s">
        <v>16</v>
      </c>
      <c r="D5930" s="8">
        <v>-50</v>
      </c>
      <c r="E5930" s="8">
        <f>E5929+(0-50)</f>
        <v>8451129.4699995257</v>
      </c>
    </row>
    <row r="5931" spans="1:5" x14ac:dyDescent="0.25">
      <c r="A5931" s="2" t="s">
        <v>242</v>
      </c>
      <c r="B5931" s="6">
        <v>43710</v>
      </c>
      <c r="C5931" s="2" t="s">
        <v>16</v>
      </c>
      <c r="D5931" s="8">
        <v>-150</v>
      </c>
      <c r="E5931" s="8">
        <f>E5930+(0-150)</f>
        <v>8450979.4699995257</v>
      </c>
    </row>
    <row r="5932" spans="1:5" x14ac:dyDescent="0.25">
      <c r="A5932" s="2" t="s">
        <v>242</v>
      </c>
      <c r="B5932" s="6">
        <v>43711</v>
      </c>
      <c r="C5932" s="2" t="s">
        <v>16</v>
      </c>
      <c r="D5932" s="8">
        <v>-50</v>
      </c>
      <c r="E5932" s="8">
        <f>E5931+(0-50)</f>
        <v>8450929.4699995257</v>
      </c>
    </row>
    <row r="5933" spans="1:5" x14ac:dyDescent="0.25">
      <c r="A5933" s="2" t="s">
        <v>242</v>
      </c>
      <c r="B5933" s="6">
        <v>43711</v>
      </c>
      <c r="C5933" s="2" t="s">
        <v>16</v>
      </c>
      <c r="D5933" s="8">
        <v>-100</v>
      </c>
      <c r="E5933" s="8">
        <f>E5932+(0-100)</f>
        <v>8450829.4699995257</v>
      </c>
    </row>
    <row r="5934" spans="1:5" x14ac:dyDescent="0.25">
      <c r="A5934" s="2" t="s">
        <v>242</v>
      </c>
      <c r="B5934" s="6">
        <v>43712</v>
      </c>
      <c r="C5934" s="2" t="s">
        <v>16</v>
      </c>
      <c r="D5934" s="8">
        <v>-50</v>
      </c>
      <c r="E5934" s="8">
        <f>E5933+(0-50)</f>
        <v>8450779.4699995257</v>
      </c>
    </row>
    <row r="5935" spans="1:5" x14ac:dyDescent="0.25">
      <c r="A5935" s="2" t="s">
        <v>242</v>
      </c>
      <c r="B5935" s="6">
        <v>43712</v>
      </c>
      <c r="C5935" s="2" t="s">
        <v>16</v>
      </c>
      <c r="D5935" s="8">
        <v>-100</v>
      </c>
      <c r="E5935" s="8">
        <f>E5934+(0-100)</f>
        <v>8450679.4699995257</v>
      </c>
    </row>
    <row r="5936" spans="1:5" x14ac:dyDescent="0.25">
      <c r="A5936" s="2" t="s">
        <v>242</v>
      </c>
      <c r="B5936" s="6">
        <v>43713</v>
      </c>
      <c r="C5936" s="2" t="s">
        <v>19</v>
      </c>
      <c r="D5936" s="8">
        <v>-48</v>
      </c>
      <c r="E5936" s="8">
        <f>E5935+(0-48)</f>
        <v>8450631.4699995257</v>
      </c>
    </row>
    <row r="5937" spans="1:5" x14ac:dyDescent="0.25">
      <c r="A5937" s="2" t="s">
        <v>242</v>
      </c>
      <c r="B5937" s="6">
        <v>43713</v>
      </c>
      <c r="C5937" s="2" t="s">
        <v>16</v>
      </c>
      <c r="D5937" s="8">
        <v>-50</v>
      </c>
      <c r="E5937" s="8">
        <f>E5936+(0-50)</f>
        <v>8450581.4699995257</v>
      </c>
    </row>
    <row r="5938" spans="1:5" x14ac:dyDescent="0.25">
      <c r="A5938" s="2" t="s">
        <v>242</v>
      </c>
      <c r="B5938" s="6">
        <v>43713</v>
      </c>
      <c r="C5938" s="2" t="s">
        <v>16</v>
      </c>
      <c r="D5938" s="8">
        <v>-150</v>
      </c>
      <c r="E5938" s="8">
        <f>E5937+(0-150)</f>
        <v>8450431.4699995257</v>
      </c>
    </row>
    <row r="5939" spans="1:5" x14ac:dyDescent="0.25">
      <c r="A5939" s="2" t="s">
        <v>242</v>
      </c>
      <c r="B5939" s="6">
        <v>43714</v>
      </c>
      <c r="C5939" s="2" t="s">
        <v>17</v>
      </c>
      <c r="D5939" s="8">
        <v>-24</v>
      </c>
      <c r="E5939" s="8">
        <f>E5938+(0-24)</f>
        <v>8450407.4699995257</v>
      </c>
    </row>
    <row r="5940" spans="1:5" x14ac:dyDescent="0.25">
      <c r="A5940" s="2" t="s">
        <v>242</v>
      </c>
      <c r="B5940" s="6">
        <v>43714</v>
      </c>
      <c r="C5940" s="2" t="s">
        <v>271</v>
      </c>
      <c r="D5940" s="8">
        <v>-3000</v>
      </c>
      <c r="E5940" s="8">
        <f>E5939+(0-3000)</f>
        <v>8447407.4699995257</v>
      </c>
    </row>
    <row r="5941" spans="1:5" x14ac:dyDescent="0.25">
      <c r="A5941" s="2" t="s">
        <v>242</v>
      </c>
      <c r="B5941" s="6">
        <v>43714</v>
      </c>
      <c r="C5941" s="2" t="s">
        <v>272</v>
      </c>
      <c r="D5941" s="8">
        <v>-150</v>
      </c>
      <c r="E5941" s="8">
        <f>E5940+(0-150)</f>
        <v>8447257.4699995257</v>
      </c>
    </row>
    <row r="5942" spans="1:5" x14ac:dyDescent="0.25">
      <c r="A5942" s="2" t="s">
        <v>242</v>
      </c>
      <c r="B5942" s="6">
        <v>43714</v>
      </c>
      <c r="C5942" s="2" t="s">
        <v>16</v>
      </c>
      <c r="D5942" s="8">
        <v>-50</v>
      </c>
      <c r="E5942" s="8">
        <f>E5941+(0-50)</f>
        <v>8447207.4699995257</v>
      </c>
    </row>
    <row r="5943" spans="1:5" x14ac:dyDescent="0.25">
      <c r="A5943" s="2" t="s">
        <v>242</v>
      </c>
      <c r="B5943" s="6">
        <v>43716</v>
      </c>
      <c r="C5943" s="2" t="s">
        <v>17</v>
      </c>
      <c r="D5943" s="8">
        <v>-36</v>
      </c>
      <c r="E5943" s="8">
        <f>E5942+(0-36)</f>
        <v>8447171.4699995257</v>
      </c>
    </row>
    <row r="5944" spans="1:5" x14ac:dyDescent="0.25">
      <c r="A5944" s="2" t="s">
        <v>242</v>
      </c>
      <c r="B5944" s="6">
        <v>43716</v>
      </c>
      <c r="C5944" s="2" t="s">
        <v>17</v>
      </c>
      <c r="D5944" s="8">
        <v>-32</v>
      </c>
      <c r="E5944" s="8">
        <f>E5943+(0-32)</f>
        <v>8447139.4699995257</v>
      </c>
    </row>
    <row r="5945" spans="1:5" x14ac:dyDescent="0.25">
      <c r="A5945" s="2" t="s">
        <v>242</v>
      </c>
      <c r="B5945" s="6">
        <v>43717</v>
      </c>
      <c r="C5945" s="2" t="s">
        <v>16</v>
      </c>
      <c r="D5945" s="8">
        <v>-28</v>
      </c>
      <c r="E5945" s="8">
        <f>E5944+(0-28)</f>
        <v>8447111.4699995257</v>
      </c>
    </row>
    <row r="5946" spans="1:5" x14ac:dyDescent="0.25">
      <c r="A5946" s="2" t="s">
        <v>242</v>
      </c>
      <c r="B5946" s="6">
        <v>43717</v>
      </c>
      <c r="C5946" s="2" t="s">
        <v>16</v>
      </c>
      <c r="D5946" s="8">
        <v>-350</v>
      </c>
      <c r="E5946" s="8">
        <f>E5945+(0-350)</f>
        <v>8446761.4699995257</v>
      </c>
    </row>
    <row r="5947" spans="1:5" x14ac:dyDescent="0.25">
      <c r="A5947" s="2" t="s">
        <v>242</v>
      </c>
      <c r="B5947" s="6">
        <v>43717</v>
      </c>
      <c r="C5947" s="2" t="s">
        <v>16</v>
      </c>
      <c r="D5947" s="8">
        <v>-50</v>
      </c>
      <c r="E5947" s="8">
        <f>E5946+(0-50)</f>
        <v>8446711.4699995257</v>
      </c>
    </row>
    <row r="5948" spans="1:5" x14ac:dyDescent="0.25">
      <c r="A5948" s="2" t="s">
        <v>242</v>
      </c>
      <c r="B5948" s="6">
        <v>43718</v>
      </c>
      <c r="C5948" s="2" t="s">
        <v>16</v>
      </c>
      <c r="D5948" s="8">
        <v>-100</v>
      </c>
      <c r="E5948" s="8">
        <f>E5947+(0-100)</f>
        <v>8446611.4699995257</v>
      </c>
    </row>
    <row r="5949" spans="1:5" x14ac:dyDescent="0.25">
      <c r="A5949" s="2" t="s">
        <v>242</v>
      </c>
      <c r="B5949" s="6">
        <v>43718</v>
      </c>
      <c r="C5949" s="2" t="s">
        <v>17</v>
      </c>
      <c r="D5949" s="8">
        <v>-16</v>
      </c>
      <c r="E5949" s="8">
        <f>E5948+(0-16)</f>
        <v>8446595.4699995257</v>
      </c>
    </row>
    <row r="5950" spans="1:5" x14ac:dyDescent="0.25">
      <c r="A5950" s="2" t="s">
        <v>242</v>
      </c>
      <c r="B5950" s="6">
        <v>43719</v>
      </c>
      <c r="C5950" s="2" t="s">
        <v>251</v>
      </c>
      <c r="D5950" s="8">
        <v>-28</v>
      </c>
      <c r="E5950" s="8">
        <f>E5949+(0-28)</f>
        <v>8446567.4699995257</v>
      </c>
    </row>
    <row r="5951" spans="1:5" x14ac:dyDescent="0.25">
      <c r="A5951" s="2" t="s">
        <v>242</v>
      </c>
      <c r="B5951" s="6">
        <v>43719</v>
      </c>
      <c r="C5951" s="2" t="s">
        <v>16</v>
      </c>
      <c r="D5951" s="8">
        <v>-50</v>
      </c>
      <c r="E5951" s="8">
        <f>E5950+(0-50)</f>
        <v>8446517.4699995257</v>
      </c>
    </row>
    <row r="5952" spans="1:5" x14ac:dyDescent="0.25">
      <c r="A5952" s="2" t="s">
        <v>242</v>
      </c>
      <c r="B5952" s="6">
        <v>43719</v>
      </c>
      <c r="C5952" s="2" t="s">
        <v>17</v>
      </c>
      <c r="D5952" s="8">
        <v>-28</v>
      </c>
      <c r="E5952" s="8">
        <f>E5951+(0-28)</f>
        <v>8446489.4699995257</v>
      </c>
    </row>
    <row r="5953" spans="1:5" x14ac:dyDescent="0.25">
      <c r="A5953" s="2" t="s">
        <v>242</v>
      </c>
      <c r="B5953" s="6">
        <v>43720</v>
      </c>
      <c r="C5953" s="2" t="s">
        <v>16</v>
      </c>
      <c r="D5953" s="8">
        <v>-50</v>
      </c>
      <c r="E5953" s="8">
        <f>E5952+(0-50)</f>
        <v>8446439.4699995257</v>
      </c>
    </row>
    <row r="5954" spans="1:5" x14ac:dyDescent="0.25">
      <c r="A5954" s="2" t="s">
        <v>242</v>
      </c>
      <c r="B5954" s="6">
        <v>43720</v>
      </c>
      <c r="C5954" s="2" t="s">
        <v>16</v>
      </c>
      <c r="D5954" s="8">
        <v>-150</v>
      </c>
      <c r="E5954" s="8">
        <f>E5953+(0-150)</f>
        <v>8446289.4699995257</v>
      </c>
    </row>
    <row r="5955" spans="1:5" x14ac:dyDescent="0.25">
      <c r="A5955" s="2" t="s">
        <v>242</v>
      </c>
      <c r="B5955" s="6">
        <v>43721</v>
      </c>
      <c r="C5955" s="2" t="s">
        <v>16</v>
      </c>
      <c r="D5955" s="8">
        <v>-50</v>
      </c>
      <c r="E5955" s="8">
        <f>E5954+(0-50)</f>
        <v>8446239.4699995257</v>
      </c>
    </row>
    <row r="5956" spans="1:5" x14ac:dyDescent="0.25">
      <c r="A5956" s="2" t="s">
        <v>242</v>
      </c>
      <c r="B5956" s="6">
        <v>43721</v>
      </c>
      <c r="C5956" s="2" t="s">
        <v>16</v>
      </c>
      <c r="D5956" s="8">
        <v>-100</v>
      </c>
      <c r="E5956" s="8">
        <f>E5955+(0-100)</f>
        <v>8446139.4699995257</v>
      </c>
    </row>
    <row r="5957" spans="1:5" x14ac:dyDescent="0.25">
      <c r="A5957" s="2" t="s">
        <v>242</v>
      </c>
      <c r="B5957" s="6">
        <v>43722</v>
      </c>
      <c r="C5957" s="2" t="s">
        <v>19</v>
      </c>
      <c r="D5957" s="8">
        <v>-8</v>
      </c>
      <c r="E5957" s="8">
        <f>E5956+(0-8)</f>
        <v>8446131.4699995257</v>
      </c>
    </row>
    <row r="5958" spans="1:5" x14ac:dyDescent="0.25">
      <c r="A5958" s="2" t="s">
        <v>242</v>
      </c>
      <c r="B5958" s="6">
        <v>43723</v>
      </c>
      <c r="C5958" s="2" t="s">
        <v>19</v>
      </c>
      <c r="D5958" s="8">
        <v>-32</v>
      </c>
      <c r="E5958" s="8">
        <f>E5957+(0-32)</f>
        <v>8446099.4699995257</v>
      </c>
    </row>
    <row r="5959" spans="1:5" x14ac:dyDescent="0.25">
      <c r="A5959" s="2" t="s">
        <v>242</v>
      </c>
      <c r="B5959" s="6">
        <v>43724</v>
      </c>
      <c r="C5959" s="2" t="s">
        <v>19</v>
      </c>
      <c r="D5959" s="8">
        <v>-80</v>
      </c>
      <c r="E5959" s="8">
        <f>E5958+(0-80)</f>
        <v>8446019.4699995257</v>
      </c>
    </row>
    <row r="5960" spans="1:5" x14ac:dyDescent="0.25">
      <c r="A5960" s="2" t="s">
        <v>242</v>
      </c>
      <c r="B5960" s="6">
        <v>43724</v>
      </c>
      <c r="C5960" s="2" t="s">
        <v>16</v>
      </c>
      <c r="D5960" s="8">
        <v>-50</v>
      </c>
      <c r="E5960" s="8">
        <f>E5959+(0-50)</f>
        <v>8445969.4699995257</v>
      </c>
    </row>
    <row r="5961" spans="1:5" x14ac:dyDescent="0.25">
      <c r="A5961" s="2" t="s">
        <v>242</v>
      </c>
      <c r="B5961" s="6">
        <v>43724</v>
      </c>
      <c r="C5961" s="2" t="s">
        <v>16</v>
      </c>
      <c r="D5961" s="8">
        <v>-50</v>
      </c>
      <c r="E5961" s="8">
        <f>E5960+(0-50)</f>
        <v>8445919.4699995257</v>
      </c>
    </row>
    <row r="5962" spans="1:5" x14ac:dyDescent="0.25">
      <c r="A5962" s="2" t="s">
        <v>242</v>
      </c>
      <c r="B5962" s="6">
        <v>43724</v>
      </c>
      <c r="C5962" s="2" t="s">
        <v>16</v>
      </c>
      <c r="D5962" s="8">
        <v>-50</v>
      </c>
      <c r="E5962" s="8">
        <f>E5961+(0-50)</f>
        <v>8445869.4699995257</v>
      </c>
    </row>
    <row r="5963" spans="1:5" x14ac:dyDescent="0.25">
      <c r="A5963" s="2" t="s">
        <v>242</v>
      </c>
      <c r="B5963" s="6">
        <v>43725</v>
      </c>
      <c r="C5963" s="2" t="s">
        <v>17</v>
      </c>
      <c r="D5963" s="8">
        <v>-4</v>
      </c>
      <c r="E5963" s="8">
        <f>E5962+(0-4)</f>
        <v>8445865.4699995257</v>
      </c>
    </row>
    <row r="5964" spans="1:5" x14ac:dyDescent="0.25">
      <c r="A5964" s="2" t="s">
        <v>242</v>
      </c>
      <c r="B5964" s="6">
        <v>43725</v>
      </c>
      <c r="C5964" s="2" t="s">
        <v>16</v>
      </c>
      <c r="D5964" s="8">
        <v>-100</v>
      </c>
      <c r="E5964" s="8">
        <f>E5963+(0-100)</f>
        <v>8445765.4699995257</v>
      </c>
    </row>
    <row r="5965" spans="1:5" x14ac:dyDescent="0.25">
      <c r="A5965" s="2" t="s">
        <v>242</v>
      </c>
      <c r="B5965" s="6">
        <v>43726</v>
      </c>
      <c r="C5965" s="2" t="s">
        <v>19</v>
      </c>
      <c r="D5965" s="8">
        <v>-50</v>
      </c>
      <c r="E5965" s="8">
        <f>E5964+(0-50)</f>
        <v>8445715.4699995257</v>
      </c>
    </row>
    <row r="5966" spans="1:5" x14ac:dyDescent="0.25">
      <c r="A5966" s="2" t="s">
        <v>242</v>
      </c>
      <c r="B5966" s="6">
        <v>43726</v>
      </c>
      <c r="C5966" s="2" t="s">
        <v>16</v>
      </c>
      <c r="D5966" s="8">
        <v>-200</v>
      </c>
      <c r="E5966" s="8">
        <f>E5965+(0-200)</f>
        <v>8445515.4699995257</v>
      </c>
    </row>
    <row r="5967" spans="1:5" x14ac:dyDescent="0.25">
      <c r="A5967" s="2" t="s">
        <v>242</v>
      </c>
      <c r="B5967" s="6">
        <v>43727</v>
      </c>
      <c r="C5967" s="2" t="s">
        <v>17</v>
      </c>
      <c r="D5967" s="8">
        <v>-28</v>
      </c>
      <c r="E5967" s="8">
        <f>E5966+(0-28)</f>
        <v>8445487.4699995257</v>
      </c>
    </row>
    <row r="5968" spans="1:5" x14ac:dyDescent="0.25">
      <c r="A5968" s="2" t="s">
        <v>242</v>
      </c>
      <c r="B5968" s="6">
        <v>43727</v>
      </c>
      <c r="C5968" s="2" t="s">
        <v>16</v>
      </c>
      <c r="D5968" s="8">
        <v>-150</v>
      </c>
      <c r="E5968" s="8">
        <f>E5967+(0-150)</f>
        <v>8445337.4699995257</v>
      </c>
    </row>
    <row r="5969" spans="1:5" x14ac:dyDescent="0.25">
      <c r="A5969" s="2" t="s">
        <v>242</v>
      </c>
      <c r="B5969" s="6">
        <v>43727</v>
      </c>
      <c r="C5969" s="2" t="s">
        <v>19</v>
      </c>
      <c r="D5969" s="8">
        <v>-24</v>
      </c>
      <c r="E5969" s="8">
        <f>E5968+(0-24)</f>
        <v>8445313.4699995257</v>
      </c>
    </row>
    <row r="5970" spans="1:5" x14ac:dyDescent="0.25">
      <c r="A5970" s="2" t="s">
        <v>242</v>
      </c>
      <c r="B5970" s="6">
        <v>43728</v>
      </c>
      <c r="C5970" s="2" t="s">
        <v>16</v>
      </c>
      <c r="D5970" s="8">
        <v>-50</v>
      </c>
      <c r="E5970" s="8">
        <f>E5969+(0-50)</f>
        <v>8445263.4699995257</v>
      </c>
    </row>
    <row r="5971" spans="1:5" x14ac:dyDescent="0.25">
      <c r="A5971" s="2" t="s">
        <v>242</v>
      </c>
      <c r="B5971" s="6">
        <v>43728</v>
      </c>
      <c r="C5971" s="2" t="s">
        <v>16</v>
      </c>
      <c r="D5971" s="8">
        <v>-50</v>
      </c>
      <c r="E5971" s="8">
        <f>E5970+(0-50)</f>
        <v>8445213.4699995257</v>
      </c>
    </row>
    <row r="5972" spans="1:5" x14ac:dyDescent="0.25">
      <c r="A5972" s="2" t="s">
        <v>242</v>
      </c>
      <c r="B5972" s="6">
        <v>43728</v>
      </c>
      <c r="C5972" s="2" t="s">
        <v>16</v>
      </c>
      <c r="D5972" s="8">
        <v>-50</v>
      </c>
      <c r="E5972" s="8">
        <f>E5971+(0-50)</f>
        <v>8445163.4699995257</v>
      </c>
    </row>
    <row r="5973" spans="1:5" x14ac:dyDescent="0.25">
      <c r="A5973" s="2" t="s">
        <v>242</v>
      </c>
      <c r="B5973" s="6">
        <v>43728</v>
      </c>
      <c r="C5973" s="2" t="s">
        <v>17</v>
      </c>
      <c r="D5973" s="8">
        <v>-36</v>
      </c>
      <c r="E5973" s="8">
        <f>E5972+(0-36)</f>
        <v>8445127.4699995257</v>
      </c>
    </row>
    <row r="5974" spans="1:5" x14ac:dyDescent="0.25">
      <c r="A5974" s="2" t="s">
        <v>242</v>
      </c>
      <c r="B5974" s="6">
        <v>43731</v>
      </c>
      <c r="C5974" s="2" t="s">
        <v>16</v>
      </c>
      <c r="D5974" s="8">
        <v>-56</v>
      </c>
      <c r="E5974" s="8">
        <f>E5973+(0-56)</f>
        <v>8445071.4699995257</v>
      </c>
    </row>
    <row r="5975" spans="1:5" x14ac:dyDescent="0.25">
      <c r="A5975" s="2" t="s">
        <v>242</v>
      </c>
      <c r="B5975" s="6">
        <v>43731</v>
      </c>
      <c r="C5975" s="2" t="s">
        <v>16</v>
      </c>
      <c r="D5975" s="8">
        <v>-50</v>
      </c>
      <c r="E5975" s="8">
        <f>E5974+(0-50)</f>
        <v>8445021.4699995257</v>
      </c>
    </row>
    <row r="5976" spans="1:5" x14ac:dyDescent="0.25">
      <c r="A5976" s="2" t="s">
        <v>242</v>
      </c>
      <c r="B5976" s="6">
        <v>43731</v>
      </c>
      <c r="C5976" s="2" t="s">
        <v>16</v>
      </c>
      <c r="D5976" s="8">
        <v>-50</v>
      </c>
      <c r="E5976" s="8">
        <f>E5975+(0-50)</f>
        <v>8444971.4699995257</v>
      </c>
    </row>
    <row r="5977" spans="1:5" x14ac:dyDescent="0.25">
      <c r="A5977" s="2" t="s">
        <v>242</v>
      </c>
      <c r="B5977" s="6">
        <v>43731</v>
      </c>
      <c r="C5977" s="2" t="s">
        <v>16</v>
      </c>
      <c r="D5977" s="8">
        <v>-450</v>
      </c>
      <c r="E5977" s="8">
        <f>E5976+(0-450)</f>
        <v>8444521.4699995257</v>
      </c>
    </row>
    <row r="5978" spans="1:5" x14ac:dyDescent="0.25">
      <c r="A5978" s="2" t="s">
        <v>242</v>
      </c>
      <c r="B5978" s="6">
        <v>43731</v>
      </c>
      <c r="C5978" s="2" t="s">
        <v>17</v>
      </c>
      <c r="D5978" s="8">
        <v>-32</v>
      </c>
      <c r="E5978" s="8">
        <f>E5977+(0-32)</f>
        <v>8444489.4699995257</v>
      </c>
    </row>
    <row r="5979" spans="1:5" x14ac:dyDescent="0.25">
      <c r="A5979" s="2" t="s">
        <v>242</v>
      </c>
      <c r="B5979" s="6">
        <v>43731</v>
      </c>
      <c r="C5979" s="2" t="s">
        <v>17</v>
      </c>
      <c r="D5979" s="8">
        <v>-16</v>
      </c>
      <c r="E5979" s="8">
        <f>E5978+(0-16)</f>
        <v>8444473.4699995257</v>
      </c>
    </row>
    <row r="5980" spans="1:5" x14ac:dyDescent="0.25">
      <c r="A5980" s="2" t="s">
        <v>242</v>
      </c>
      <c r="B5980" s="6">
        <v>43732</v>
      </c>
      <c r="C5980" s="2" t="s">
        <v>16</v>
      </c>
      <c r="D5980" s="8">
        <v>-100</v>
      </c>
      <c r="E5980" s="8">
        <f>E5979+(0-100)</f>
        <v>8444373.4699995257</v>
      </c>
    </row>
    <row r="5981" spans="1:5" x14ac:dyDescent="0.25">
      <c r="A5981" s="2" t="s">
        <v>242</v>
      </c>
      <c r="B5981" s="6">
        <v>43733</v>
      </c>
      <c r="C5981" s="2" t="s">
        <v>16</v>
      </c>
      <c r="D5981" s="8">
        <v>-100</v>
      </c>
      <c r="E5981" s="8">
        <f>E5980+(0-100)</f>
        <v>8444273.4699995257</v>
      </c>
    </row>
    <row r="5982" spans="1:5" x14ac:dyDescent="0.25">
      <c r="A5982" s="2" t="s">
        <v>242</v>
      </c>
      <c r="B5982" s="6">
        <v>43734</v>
      </c>
      <c r="C5982" s="2" t="s">
        <v>19</v>
      </c>
      <c r="D5982" s="8">
        <v>-44</v>
      </c>
      <c r="E5982" s="8">
        <f>E5981+(0-44)</f>
        <v>8444229.4699995257</v>
      </c>
    </row>
    <row r="5983" spans="1:5" x14ac:dyDescent="0.25">
      <c r="A5983" s="2" t="s">
        <v>242</v>
      </c>
      <c r="B5983" s="6">
        <v>43734</v>
      </c>
      <c r="C5983" s="2" t="s">
        <v>16</v>
      </c>
      <c r="D5983" s="8">
        <v>-50</v>
      </c>
      <c r="E5983" s="8">
        <f>E5982+(0-50)</f>
        <v>8444179.4699995257</v>
      </c>
    </row>
    <row r="5984" spans="1:5" x14ac:dyDescent="0.25">
      <c r="A5984" s="2" t="s">
        <v>242</v>
      </c>
      <c r="B5984" s="6">
        <v>43734</v>
      </c>
      <c r="C5984" s="2" t="s">
        <v>16</v>
      </c>
      <c r="D5984" s="8">
        <v>-200</v>
      </c>
      <c r="E5984" s="8">
        <f>E5983+(0-200)</f>
        <v>8443979.4699995257</v>
      </c>
    </row>
    <row r="5985" spans="1:5" x14ac:dyDescent="0.25">
      <c r="A5985" s="2" t="s">
        <v>242</v>
      </c>
      <c r="B5985" s="6">
        <v>43735</v>
      </c>
      <c r="C5985" s="2" t="s">
        <v>19</v>
      </c>
      <c r="D5985" s="8">
        <v>-36</v>
      </c>
      <c r="E5985" s="8">
        <f>E5984+(0-36)</f>
        <v>8443943.4699995257</v>
      </c>
    </row>
    <row r="5986" spans="1:5" x14ac:dyDescent="0.25">
      <c r="A5986" s="2" t="s">
        <v>242</v>
      </c>
      <c r="B5986" s="6">
        <v>43735</v>
      </c>
      <c r="C5986" s="2" t="s">
        <v>16</v>
      </c>
      <c r="D5986" s="8">
        <v>-150</v>
      </c>
      <c r="E5986" s="8">
        <f>E5985+(0-150)</f>
        <v>8443793.4699995257</v>
      </c>
    </row>
    <row r="5987" spans="1:5" x14ac:dyDescent="0.25">
      <c r="A5987" s="2" t="s">
        <v>242</v>
      </c>
      <c r="B5987" s="6">
        <v>43736</v>
      </c>
      <c r="C5987" s="2" t="s">
        <v>19</v>
      </c>
      <c r="D5987" s="8">
        <v>-76</v>
      </c>
      <c r="E5987" s="8">
        <f>E5986+(0-76)</f>
        <v>8443717.4699995257</v>
      </c>
    </row>
    <row r="5988" spans="1:5" x14ac:dyDescent="0.25">
      <c r="A5988" s="2" t="s">
        <v>242</v>
      </c>
      <c r="B5988" s="6">
        <v>43736</v>
      </c>
      <c r="C5988" s="2" t="s">
        <v>19</v>
      </c>
      <c r="D5988" s="8">
        <v>-20</v>
      </c>
      <c r="E5988" s="8">
        <f>E5987+(0-20)</f>
        <v>8443697.4699995257</v>
      </c>
    </row>
    <row r="5989" spans="1:5" x14ac:dyDescent="0.25">
      <c r="A5989" s="2" t="s">
        <v>242</v>
      </c>
      <c r="B5989" s="6">
        <v>43736</v>
      </c>
      <c r="C5989" s="2" t="s">
        <v>17</v>
      </c>
      <c r="D5989" s="8">
        <v>-4</v>
      </c>
      <c r="E5989" s="8">
        <f>E5988+(0-4)</f>
        <v>8443693.4699995257</v>
      </c>
    </row>
    <row r="5990" spans="1:5" x14ac:dyDescent="0.25">
      <c r="A5990" s="2" t="s">
        <v>242</v>
      </c>
      <c r="B5990" s="6">
        <v>43738</v>
      </c>
      <c r="C5990" s="2" t="s">
        <v>16</v>
      </c>
      <c r="D5990" s="8">
        <v>-50</v>
      </c>
      <c r="E5990" s="8">
        <f>E5989+(0-50)</f>
        <v>8443643.4699995257</v>
      </c>
    </row>
    <row r="5991" spans="1:5" x14ac:dyDescent="0.25">
      <c r="A5991" s="2" t="s">
        <v>242</v>
      </c>
      <c r="B5991" s="6">
        <v>43738</v>
      </c>
      <c r="C5991" s="2" t="s">
        <v>273</v>
      </c>
      <c r="D5991" s="8">
        <v>-210</v>
      </c>
      <c r="E5991" s="8">
        <f>E5990+(0-210)</f>
        <v>8443433.4699995257</v>
      </c>
    </row>
    <row r="5992" spans="1:5" x14ac:dyDescent="0.25">
      <c r="A5992" s="2" t="s">
        <v>242</v>
      </c>
      <c r="B5992" s="6">
        <v>43739</v>
      </c>
      <c r="C5992" s="2" t="s">
        <v>17</v>
      </c>
      <c r="D5992" s="8">
        <v>-44</v>
      </c>
      <c r="E5992" s="8">
        <f>E5991+(0-44)</f>
        <v>8443389.4699995257</v>
      </c>
    </row>
    <row r="5993" spans="1:5" x14ac:dyDescent="0.25">
      <c r="A5993" s="2" t="s">
        <v>242</v>
      </c>
      <c r="B5993" s="6">
        <v>43739</v>
      </c>
      <c r="C5993" s="2" t="s">
        <v>52</v>
      </c>
      <c r="D5993" s="8">
        <v>-300</v>
      </c>
      <c r="E5993" s="8">
        <f>E5992+(0-300)</f>
        <v>8443089.4699995257</v>
      </c>
    </row>
    <row r="5994" spans="1:5" x14ac:dyDescent="0.25">
      <c r="A5994" s="2" t="s">
        <v>242</v>
      </c>
      <c r="B5994" s="6">
        <v>43740</v>
      </c>
      <c r="C5994" s="2" t="s">
        <v>19</v>
      </c>
      <c r="D5994" s="8">
        <v>-4</v>
      </c>
      <c r="E5994" s="8">
        <f>E5993+(0-4)</f>
        <v>8443085.4699995257</v>
      </c>
    </row>
    <row r="5995" spans="1:5" x14ac:dyDescent="0.25">
      <c r="A5995" s="2" t="s">
        <v>242</v>
      </c>
      <c r="B5995" s="6">
        <v>43740</v>
      </c>
      <c r="C5995" s="2" t="s">
        <v>16</v>
      </c>
      <c r="D5995" s="8">
        <v>-50</v>
      </c>
      <c r="E5995" s="8">
        <f>E5994+(0-50)</f>
        <v>8443035.4699995257</v>
      </c>
    </row>
    <row r="5996" spans="1:5" x14ac:dyDescent="0.25">
      <c r="A5996" s="2" t="s">
        <v>242</v>
      </c>
      <c r="B5996" s="6">
        <v>43740</v>
      </c>
      <c r="C5996" s="2" t="s">
        <v>274</v>
      </c>
      <c r="D5996" s="8">
        <v>-100</v>
      </c>
      <c r="E5996" s="8">
        <f>E5995+(0-100)</f>
        <v>8442935.4699995257</v>
      </c>
    </row>
    <row r="5997" spans="1:5" x14ac:dyDescent="0.25">
      <c r="A5997" s="2" t="s">
        <v>242</v>
      </c>
      <c r="B5997" s="6">
        <v>43741</v>
      </c>
      <c r="C5997" s="2" t="s">
        <v>16</v>
      </c>
      <c r="D5997" s="8">
        <v>-50</v>
      </c>
      <c r="E5997" s="8">
        <f>E5996+(0-50)</f>
        <v>8442885.4699995257</v>
      </c>
    </row>
    <row r="5998" spans="1:5" x14ac:dyDescent="0.25">
      <c r="A5998" s="2" t="s">
        <v>242</v>
      </c>
      <c r="B5998" s="6">
        <v>43741</v>
      </c>
      <c r="C5998" s="2" t="s">
        <v>19</v>
      </c>
      <c r="D5998" s="8">
        <v>-60</v>
      </c>
      <c r="E5998" s="8">
        <f>E5997+(0-60)</f>
        <v>8442825.4699995257</v>
      </c>
    </row>
    <row r="5999" spans="1:5" x14ac:dyDescent="0.25">
      <c r="A5999" s="2" t="s">
        <v>242</v>
      </c>
      <c r="B5999" s="6">
        <v>43741</v>
      </c>
      <c r="C5999" s="2" t="s">
        <v>16</v>
      </c>
      <c r="D5999" s="8">
        <v>-250</v>
      </c>
      <c r="E5999" s="8">
        <f>E5998+(0-250)</f>
        <v>8442575.4699995257</v>
      </c>
    </row>
    <row r="6000" spans="1:5" x14ac:dyDescent="0.25">
      <c r="A6000" s="2" t="s">
        <v>242</v>
      </c>
      <c r="B6000" s="6">
        <v>43742</v>
      </c>
      <c r="C6000" s="2" t="s">
        <v>16</v>
      </c>
      <c r="D6000" s="8">
        <v>-50</v>
      </c>
      <c r="E6000" s="8">
        <f>E5999+(0-50)</f>
        <v>8442525.4699995257</v>
      </c>
    </row>
    <row r="6001" spans="1:5" x14ac:dyDescent="0.25">
      <c r="A6001" s="2" t="s">
        <v>242</v>
      </c>
      <c r="B6001" s="6">
        <v>43742</v>
      </c>
      <c r="C6001" s="2" t="s">
        <v>17</v>
      </c>
      <c r="D6001" s="8">
        <v>-300</v>
      </c>
      <c r="E6001" s="8">
        <f>E6000+(0-300)</f>
        <v>8442225.4699995257</v>
      </c>
    </row>
    <row r="6002" spans="1:5" x14ac:dyDescent="0.25">
      <c r="A6002" s="2" t="s">
        <v>242</v>
      </c>
      <c r="B6002" s="6">
        <v>43742</v>
      </c>
      <c r="C6002" s="2" t="s">
        <v>17</v>
      </c>
      <c r="D6002" s="8">
        <v>-44</v>
      </c>
      <c r="E6002" s="8">
        <f>E6001+(0-44)</f>
        <v>8442181.4699995257</v>
      </c>
    </row>
    <row r="6003" spans="1:5" x14ac:dyDescent="0.25">
      <c r="A6003" s="2" t="s">
        <v>242</v>
      </c>
      <c r="B6003" s="6">
        <v>43743</v>
      </c>
      <c r="C6003" s="2" t="s">
        <v>17</v>
      </c>
      <c r="D6003" s="8">
        <v>-44</v>
      </c>
      <c r="E6003" s="8">
        <f>E6002+(0-44)</f>
        <v>8442137.4699995257</v>
      </c>
    </row>
    <row r="6004" spans="1:5" x14ac:dyDescent="0.25">
      <c r="A6004" s="2" t="s">
        <v>242</v>
      </c>
      <c r="B6004" s="6">
        <v>43744</v>
      </c>
      <c r="C6004" s="2" t="s">
        <v>17</v>
      </c>
      <c r="D6004" s="8">
        <v>-4</v>
      </c>
      <c r="E6004" s="8">
        <f>E6003+(0-4)</f>
        <v>8442133.4699995257</v>
      </c>
    </row>
    <row r="6005" spans="1:5" x14ac:dyDescent="0.25">
      <c r="A6005" s="2" t="s">
        <v>242</v>
      </c>
      <c r="B6005" s="6">
        <v>43745</v>
      </c>
      <c r="C6005" s="2" t="s">
        <v>16</v>
      </c>
      <c r="D6005" s="8">
        <v>-50</v>
      </c>
      <c r="E6005" s="8">
        <f>E6004+(0-50)</f>
        <v>8442083.4699995257</v>
      </c>
    </row>
    <row r="6006" spans="1:5" x14ac:dyDescent="0.25">
      <c r="A6006" s="2" t="s">
        <v>242</v>
      </c>
      <c r="B6006" s="6">
        <v>43745</v>
      </c>
      <c r="C6006" s="2" t="s">
        <v>16</v>
      </c>
      <c r="D6006" s="8">
        <v>-100</v>
      </c>
      <c r="E6006" s="8">
        <f>E6005+(0-100)</f>
        <v>8441983.4699995257</v>
      </c>
    </row>
    <row r="6007" spans="1:5" x14ac:dyDescent="0.25">
      <c r="A6007" s="2" t="s">
        <v>242</v>
      </c>
      <c r="B6007" s="6">
        <v>43746</v>
      </c>
      <c r="C6007" s="2" t="s">
        <v>16</v>
      </c>
      <c r="D6007" s="8">
        <v>-200</v>
      </c>
      <c r="E6007" s="8">
        <f>E6006+(0-200)</f>
        <v>8441783.4699995257</v>
      </c>
    </row>
    <row r="6008" spans="1:5" x14ac:dyDescent="0.25">
      <c r="A6008" s="2" t="s">
        <v>242</v>
      </c>
      <c r="B6008" s="6">
        <v>43746</v>
      </c>
      <c r="C6008" s="2" t="s">
        <v>19</v>
      </c>
      <c r="D6008" s="8">
        <v>-36</v>
      </c>
      <c r="E6008" s="8">
        <f>E6007+(0-36)</f>
        <v>8441747.4699995257</v>
      </c>
    </row>
    <row r="6009" spans="1:5" x14ac:dyDescent="0.25">
      <c r="A6009" s="2" t="s">
        <v>242</v>
      </c>
      <c r="B6009" s="6">
        <v>43747</v>
      </c>
      <c r="C6009" s="2" t="s">
        <v>19</v>
      </c>
      <c r="D6009" s="8">
        <v>-20</v>
      </c>
      <c r="E6009" s="8">
        <f>E6008+(0-20)</f>
        <v>8441727.4699995257</v>
      </c>
    </row>
    <row r="6010" spans="1:5" x14ac:dyDescent="0.25">
      <c r="A6010" s="2" t="s">
        <v>242</v>
      </c>
      <c r="B6010" s="6">
        <v>43747</v>
      </c>
      <c r="C6010" s="2" t="s">
        <v>16</v>
      </c>
      <c r="D6010" s="8">
        <v>-50</v>
      </c>
      <c r="E6010" s="8">
        <f>E6009+(0-50)</f>
        <v>8441677.4699995257</v>
      </c>
    </row>
    <row r="6011" spans="1:5" x14ac:dyDescent="0.25">
      <c r="A6011" s="2" t="s">
        <v>242</v>
      </c>
      <c r="B6011" s="6">
        <v>43747</v>
      </c>
      <c r="C6011" s="2" t="s">
        <v>16</v>
      </c>
      <c r="D6011" s="8">
        <v>-150</v>
      </c>
      <c r="E6011" s="8">
        <f>E6010+(0-150)</f>
        <v>8441527.4699995257</v>
      </c>
    </row>
    <row r="6012" spans="1:5" x14ac:dyDescent="0.25">
      <c r="A6012" s="2" t="s">
        <v>242</v>
      </c>
      <c r="B6012" s="6">
        <v>43748</v>
      </c>
      <c r="C6012" s="2" t="s">
        <v>17</v>
      </c>
      <c r="D6012" s="8">
        <v>-32</v>
      </c>
      <c r="E6012" s="8">
        <f>E6011+(0-32)</f>
        <v>8441495.4699995257</v>
      </c>
    </row>
    <row r="6013" spans="1:5" x14ac:dyDescent="0.25">
      <c r="A6013" s="2" t="s">
        <v>242</v>
      </c>
      <c r="B6013" s="6">
        <v>43749</v>
      </c>
      <c r="C6013" s="2" t="s">
        <v>16</v>
      </c>
      <c r="D6013" s="8">
        <v>-200</v>
      </c>
      <c r="E6013" s="8">
        <f>E6012+(0-200)</f>
        <v>8441295.4699995257</v>
      </c>
    </row>
    <row r="6014" spans="1:5" x14ac:dyDescent="0.25">
      <c r="A6014" s="2" t="s">
        <v>242</v>
      </c>
      <c r="B6014" s="6">
        <v>43749</v>
      </c>
      <c r="C6014" s="2" t="s">
        <v>17</v>
      </c>
      <c r="D6014" s="8">
        <v>-16</v>
      </c>
      <c r="E6014" s="8">
        <f>E6013+(0-16)</f>
        <v>8441279.4699995257</v>
      </c>
    </row>
    <row r="6015" spans="1:5" x14ac:dyDescent="0.25">
      <c r="A6015" s="2" t="s">
        <v>242</v>
      </c>
      <c r="B6015" s="6">
        <v>43750</v>
      </c>
      <c r="C6015" s="2" t="s">
        <v>17</v>
      </c>
      <c r="D6015" s="8">
        <v>-20</v>
      </c>
      <c r="E6015" s="8">
        <f>E6014+(0-20)</f>
        <v>8441259.4699995257</v>
      </c>
    </row>
    <row r="6016" spans="1:5" x14ac:dyDescent="0.25">
      <c r="A6016" s="2" t="s">
        <v>242</v>
      </c>
      <c r="B6016" s="6">
        <v>43752</v>
      </c>
      <c r="C6016" s="2" t="s">
        <v>16</v>
      </c>
      <c r="D6016" s="8">
        <v>-350</v>
      </c>
      <c r="E6016" s="8">
        <f>E6015+(0-350)</f>
        <v>8440909.4699995257</v>
      </c>
    </row>
    <row r="6017" spans="1:5" x14ac:dyDescent="0.25">
      <c r="A6017" s="2" t="s">
        <v>242</v>
      </c>
      <c r="B6017" s="6">
        <v>43752</v>
      </c>
      <c r="C6017" s="2" t="s">
        <v>16</v>
      </c>
      <c r="D6017" s="8">
        <v>-50</v>
      </c>
      <c r="E6017" s="8">
        <f>E6016+(0-50)</f>
        <v>8440859.4699995257</v>
      </c>
    </row>
    <row r="6018" spans="1:5" x14ac:dyDescent="0.25">
      <c r="A6018" s="2" t="s">
        <v>242</v>
      </c>
      <c r="B6018" s="6">
        <v>43753</v>
      </c>
      <c r="C6018" s="2" t="s">
        <v>19</v>
      </c>
      <c r="D6018" s="8">
        <v>-60</v>
      </c>
      <c r="E6018" s="8">
        <f>E6017+(0-60)</f>
        <v>8440799.4699995257</v>
      </c>
    </row>
    <row r="6019" spans="1:5" x14ac:dyDescent="0.25">
      <c r="A6019" s="2" t="s">
        <v>242</v>
      </c>
      <c r="B6019" s="6">
        <v>43754</v>
      </c>
      <c r="C6019" s="2" t="s">
        <v>16</v>
      </c>
      <c r="D6019" s="8">
        <v>-50</v>
      </c>
      <c r="E6019" s="8">
        <f>E6018+(0-50)</f>
        <v>8440749.4699995257</v>
      </c>
    </row>
    <row r="6020" spans="1:5" x14ac:dyDescent="0.25">
      <c r="A6020" s="2" t="s">
        <v>242</v>
      </c>
      <c r="B6020" s="6">
        <v>43754</v>
      </c>
      <c r="C6020" s="2" t="s">
        <v>16</v>
      </c>
      <c r="D6020" s="8">
        <v>-50</v>
      </c>
      <c r="E6020" s="8">
        <f>E6019+(0-50)</f>
        <v>8440699.4699995257</v>
      </c>
    </row>
    <row r="6021" spans="1:5" x14ac:dyDescent="0.25">
      <c r="A6021" s="2" t="s">
        <v>242</v>
      </c>
      <c r="B6021" s="6">
        <v>43754</v>
      </c>
      <c r="C6021" s="2" t="s">
        <v>16</v>
      </c>
      <c r="D6021" s="8">
        <v>-250</v>
      </c>
      <c r="E6021" s="8">
        <f>E6020+(0-250)</f>
        <v>8440449.4699995257</v>
      </c>
    </row>
    <row r="6022" spans="1:5" x14ac:dyDescent="0.25">
      <c r="A6022" s="2" t="s">
        <v>242</v>
      </c>
      <c r="B6022" s="6">
        <v>43754</v>
      </c>
      <c r="C6022" s="2" t="s">
        <v>19</v>
      </c>
      <c r="D6022" s="8">
        <v>-16</v>
      </c>
      <c r="E6022" s="8">
        <f>E6021+(0-16)</f>
        <v>8440433.4699995257</v>
      </c>
    </row>
    <row r="6023" spans="1:5" x14ac:dyDescent="0.25">
      <c r="A6023" s="2" t="s">
        <v>242</v>
      </c>
      <c r="B6023" s="6">
        <v>43754</v>
      </c>
      <c r="C6023" s="2" t="s">
        <v>275</v>
      </c>
      <c r="D6023" s="8">
        <v>-52.5</v>
      </c>
      <c r="E6023" s="8">
        <f>E6022+(0-52.5)</f>
        <v>8440380.9699995257</v>
      </c>
    </row>
    <row r="6024" spans="1:5" x14ac:dyDescent="0.25">
      <c r="A6024" s="2" t="s">
        <v>242</v>
      </c>
      <c r="B6024" s="6">
        <v>43755</v>
      </c>
      <c r="C6024" s="2" t="s">
        <v>16</v>
      </c>
      <c r="D6024" s="8">
        <v>-50</v>
      </c>
      <c r="E6024" s="8">
        <f>E6023+(0-50)</f>
        <v>8440330.9699995257</v>
      </c>
    </row>
    <row r="6025" spans="1:5" x14ac:dyDescent="0.25">
      <c r="A6025" s="2" t="s">
        <v>242</v>
      </c>
      <c r="B6025" s="6">
        <v>43755</v>
      </c>
      <c r="C6025" s="2" t="s">
        <v>16</v>
      </c>
      <c r="D6025" s="8">
        <v>-50</v>
      </c>
      <c r="E6025" s="8">
        <f>E6024+(0-50)</f>
        <v>8440280.9699995257</v>
      </c>
    </row>
    <row r="6026" spans="1:5" x14ac:dyDescent="0.25">
      <c r="A6026" s="2" t="s">
        <v>242</v>
      </c>
      <c r="B6026" s="6">
        <v>43755</v>
      </c>
      <c r="C6026" s="2" t="s">
        <v>16</v>
      </c>
      <c r="D6026" s="8">
        <v>-100</v>
      </c>
      <c r="E6026" s="8">
        <f>E6025+(0-100)</f>
        <v>8440180.9699995257</v>
      </c>
    </row>
    <row r="6027" spans="1:5" x14ac:dyDescent="0.25">
      <c r="A6027" s="2" t="s">
        <v>242</v>
      </c>
      <c r="B6027" s="6">
        <v>43755</v>
      </c>
      <c r="C6027" s="2" t="s">
        <v>19</v>
      </c>
      <c r="D6027" s="8">
        <v>-72</v>
      </c>
      <c r="E6027" s="8">
        <f>E6026+(0-72)</f>
        <v>8440108.9699995257</v>
      </c>
    </row>
    <row r="6028" spans="1:5" x14ac:dyDescent="0.25">
      <c r="A6028" s="2" t="s">
        <v>242</v>
      </c>
      <c r="B6028" s="6">
        <v>43755</v>
      </c>
      <c r="C6028" s="2" t="s">
        <v>276</v>
      </c>
      <c r="D6028" s="8">
        <v>-52.5</v>
      </c>
      <c r="E6028" s="8">
        <f>E6027+(0-52.5)</f>
        <v>8440056.4699995257</v>
      </c>
    </row>
    <row r="6029" spans="1:5" x14ac:dyDescent="0.25">
      <c r="A6029" s="2" t="s">
        <v>242</v>
      </c>
      <c r="B6029" s="6">
        <v>43756</v>
      </c>
      <c r="C6029" s="2" t="s">
        <v>16</v>
      </c>
      <c r="D6029" s="8">
        <v>-50</v>
      </c>
      <c r="E6029" s="8">
        <f>E6028+(0-50)</f>
        <v>8440006.4699995257</v>
      </c>
    </row>
    <row r="6030" spans="1:5" x14ac:dyDescent="0.25">
      <c r="A6030" s="2" t="s">
        <v>242</v>
      </c>
      <c r="B6030" s="6">
        <v>43756</v>
      </c>
      <c r="C6030" s="2" t="s">
        <v>16</v>
      </c>
      <c r="D6030" s="8">
        <v>-50</v>
      </c>
      <c r="E6030" s="8">
        <f>E6029+(0-50)</f>
        <v>8439956.4699995257</v>
      </c>
    </row>
    <row r="6031" spans="1:5" x14ac:dyDescent="0.25">
      <c r="A6031" s="2" t="s">
        <v>242</v>
      </c>
      <c r="B6031" s="6">
        <v>43756</v>
      </c>
      <c r="C6031" s="2" t="s">
        <v>17</v>
      </c>
      <c r="D6031" s="8">
        <v>-56</v>
      </c>
      <c r="E6031" s="8">
        <f>E6030+(0-56)</f>
        <v>8439900.4699995257</v>
      </c>
    </row>
    <row r="6032" spans="1:5" x14ac:dyDescent="0.25">
      <c r="A6032" s="2" t="s">
        <v>242</v>
      </c>
      <c r="B6032" s="6">
        <v>43758</v>
      </c>
      <c r="C6032" s="2" t="s">
        <v>17</v>
      </c>
      <c r="D6032" s="8">
        <v>-64</v>
      </c>
      <c r="E6032" s="8">
        <f>E6031+(0-64)</f>
        <v>8439836.4699995257</v>
      </c>
    </row>
    <row r="6033" spans="1:5" x14ac:dyDescent="0.25">
      <c r="A6033" s="2" t="s">
        <v>242</v>
      </c>
      <c r="B6033" s="6">
        <v>43758</v>
      </c>
      <c r="C6033" s="2" t="s">
        <v>17</v>
      </c>
      <c r="D6033" s="8">
        <v>-4</v>
      </c>
      <c r="E6033" s="8">
        <f>E6032+(0-4)</f>
        <v>8439832.4699995257</v>
      </c>
    </row>
    <row r="6034" spans="1:5" x14ac:dyDescent="0.25">
      <c r="A6034" s="2" t="s">
        <v>242</v>
      </c>
      <c r="B6034" s="6">
        <v>43759</v>
      </c>
      <c r="C6034" s="2" t="s">
        <v>16</v>
      </c>
      <c r="D6034" s="8">
        <v>-150</v>
      </c>
      <c r="E6034" s="8">
        <f>E6033+(0-150)</f>
        <v>8439682.4699995257</v>
      </c>
    </row>
    <row r="6035" spans="1:5" x14ac:dyDescent="0.25">
      <c r="A6035" s="2" t="s">
        <v>242</v>
      </c>
      <c r="B6035" s="6">
        <v>43759</v>
      </c>
      <c r="C6035" s="2" t="s">
        <v>16</v>
      </c>
      <c r="D6035" s="8">
        <v>-100</v>
      </c>
      <c r="E6035" s="8">
        <f>E6034+(0-100)</f>
        <v>8439582.4699995257</v>
      </c>
    </row>
    <row r="6036" spans="1:5" x14ac:dyDescent="0.25">
      <c r="A6036" s="2" t="s">
        <v>242</v>
      </c>
      <c r="B6036" s="6">
        <v>43760</v>
      </c>
      <c r="C6036" s="2" t="s">
        <v>17</v>
      </c>
      <c r="D6036" s="8">
        <v>-4</v>
      </c>
      <c r="E6036" s="8">
        <f>E6035+(0-4)</f>
        <v>8439578.4699995257</v>
      </c>
    </row>
    <row r="6037" spans="1:5" x14ac:dyDescent="0.25">
      <c r="A6037" s="2" t="s">
        <v>242</v>
      </c>
      <c r="B6037" s="6">
        <v>43760</v>
      </c>
      <c r="C6037" s="2" t="s">
        <v>16</v>
      </c>
      <c r="D6037" s="8">
        <v>-50</v>
      </c>
      <c r="E6037" s="8">
        <f>E6036+(0-50)</f>
        <v>8439528.4699995257</v>
      </c>
    </row>
    <row r="6038" spans="1:5" x14ac:dyDescent="0.25">
      <c r="A6038" s="2" t="s">
        <v>242</v>
      </c>
      <c r="B6038" s="6">
        <v>43760</v>
      </c>
      <c r="C6038" s="2" t="s">
        <v>16</v>
      </c>
      <c r="D6038" s="8">
        <v>-100</v>
      </c>
      <c r="E6038" s="8">
        <f>E6037+(0-100)</f>
        <v>8439428.4699995257</v>
      </c>
    </row>
    <row r="6039" spans="1:5" x14ac:dyDescent="0.25">
      <c r="A6039" s="2" t="s">
        <v>242</v>
      </c>
      <c r="B6039" s="6">
        <v>43760</v>
      </c>
      <c r="C6039" s="2" t="s">
        <v>16</v>
      </c>
      <c r="D6039" s="8">
        <v>-150</v>
      </c>
      <c r="E6039" s="8">
        <f>E6038+(0-150)</f>
        <v>8439278.4699995257</v>
      </c>
    </row>
    <row r="6040" spans="1:5" x14ac:dyDescent="0.25">
      <c r="A6040" s="2" t="s">
        <v>242</v>
      </c>
      <c r="B6040" s="6">
        <v>43760</v>
      </c>
      <c r="C6040" s="2" t="s">
        <v>17</v>
      </c>
      <c r="D6040" s="8">
        <v>-40</v>
      </c>
      <c r="E6040" s="8">
        <f>E6039+(0-40)</f>
        <v>8439238.4699995257</v>
      </c>
    </row>
    <row r="6041" spans="1:5" x14ac:dyDescent="0.25">
      <c r="A6041" s="2" t="s">
        <v>242</v>
      </c>
      <c r="B6041" s="6">
        <v>43761</v>
      </c>
      <c r="C6041" s="2" t="s">
        <v>16</v>
      </c>
      <c r="D6041" s="8">
        <v>-200</v>
      </c>
      <c r="E6041" s="8">
        <f>E6040+(0-200)</f>
        <v>8439038.4699995257</v>
      </c>
    </row>
    <row r="6042" spans="1:5" x14ac:dyDescent="0.25">
      <c r="A6042" s="2" t="s">
        <v>242</v>
      </c>
      <c r="B6042" s="6">
        <v>43761</v>
      </c>
      <c r="C6042" s="2" t="s">
        <v>17</v>
      </c>
      <c r="D6042" s="8">
        <v>-44</v>
      </c>
      <c r="E6042" s="8">
        <f>E6041+(0-44)</f>
        <v>8438994.4699995257</v>
      </c>
    </row>
    <row r="6043" spans="1:5" x14ac:dyDescent="0.25">
      <c r="A6043" s="2" t="s">
        <v>242</v>
      </c>
      <c r="B6043" s="6">
        <v>43761</v>
      </c>
      <c r="C6043" s="2" t="s">
        <v>277</v>
      </c>
      <c r="D6043" s="8">
        <v>-52.5</v>
      </c>
      <c r="E6043" s="8">
        <f>E6042+(0-52.5)</f>
        <v>8438941.9699995257</v>
      </c>
    </row>
    <row r="6044" spans="1:5" x14ac:dyDescent="0.25">
      <c r="A6044" s="2" t="s">
        <v>242</v>
      </c>
      <c r="B6044" s="6">
        <v>43762</v>
      </c>
      <c r="C6044" s="2" t="s">
        <v>17</v>
      </c>
      <c r="D6044" s="8">
        <v>-36</v>
      </c>
      <c r="E6044" s="8">
        <f>E6043+(0-36)</f>
        <v>8438905.9699995257</v>
      </c>
    </row>
    <row r="6045" spans="1:5" x14ac:dyDescent="0.25">
      <c r="A6045" s="2" t="s">
        <v>242</v>
      </c>
      <c r="B6045" s="6">
        <v>43762</v>
      </c>
      <c r="C6045" s="2" t="s">
        <v>16</v>
      </c>
      <c r="D6045" s="8">
        <v>-150</v>
      </c>
      <c r="E6045" s="8">
        <f>E6044+(0-150)</f>
        <v>8438755.9699995257</v>
      </c>
    </row>
    <row r="6046" spans="1:5" x14ac:dyDescent="0.25">
      <c r="A6046" s="2" t="s">
        <v>242</v>
      </c>
      <c r="B6046" s="6">
        <v>43762</v>
      </c>
      <c r="C6046" s="2" t="s">
        <v>16</v>
      </c>
      <c r="D6046" s="8">
        <v>-50</v>
      </c>
      <c r="E6046" s="8">
        <f>E6045+(0-50)</f>
        <v>8438705.9699995257</v>
      </c>
    </row>
    <row r="6047" spans="1:5" x14ac:dyDescent="0.25">
      <c r="A6047" s="2" t="s">
        <v>242</v>
      </c>
      <c r="B6047" s="6">
        <v>43762</v>
      </c>
      <c r="C6047" s="2" t="s">
        <v>17</v>
      </c>
      <c r="D6047" s="8">
        <v>-28</v>
      </c>
      <c r="E6047" s="8">
        <f>E6046+(0-28)</f>
        <v>8438677.9699995257</v>
      </c>
    </row>
    <row r="6048" spans="1:5" x14ac:dyDescent="0.25">
      <c r="A6048" s="2" t="s">
        <v>242</v>
      </c>
      <c r="B6048" s="6">
        <v>43762</v>
      </c>
      <c r="C6048" s="2" t="s">
        <v>278</v>
      </c>
      <c r="D6048" s="8">
        <v>-52.5</v>
      </c>
      <c r="E6048" s="8">
        <f>E6047+(0-52.5)</f>
        <v>8438625.4699995257</v>
      </c>
    </row>
    <row r="6049" spans="1:5" x14ac:dyDescent="0.25">
      <c r="A6049" s="2" t="s">
        <v>242</v>
      </c>
      <c r="B6049" s="6">
        <v>43763</v>
      </c>
      <c r="C6049" s="2" t="s">
        <v>16</v>
      </c>
      <c r="D6049" s="8">
        <v>-150</v>
      </c>
      <c r="E6049" s="8">
        <f>E6048+(0-150)</f>
        <v>8438475.4699995257</v>
      </c>
    </row>
    <row r="6050" spans="1:5" x14ac:dyDescent="0.25">
      <c r="A6050" s="2" t="s">
        <v>242</v>
      </c>
      <c r="B6050" s="6">
        <v>43763</v>
      </c>
      <c r="C6050" s="2" t="s">
        <v>17</v>
      </c>
      <c r="D6050" s="8">
        <v>-56</v>
      </c>
      <c r="E6050" s="8">
        <f>E6049+(0-56)</f>
        <v>8438419.4699995257</v>
      </c>
    </row>
    <row r="6051" spans="1:5" x14ac:dyDescent="0.25">
      <c r="A6051" s="2" t="s">
        <v>242</v>
      </c>
      <c r="B6051" s="6">
        <v>43765</v>
      </c>
      <c r="C6051" s="2" t="s">
        <v>17</v>
      </c>
      <c r="D6051" s="8">
        <v>-4</v>
      </c>
      <c r="E6051" s="8">
        <f>E6050+(0-4)</f>
        <v>8438415.4699995257</v>
      </c>
    </row>
    <row r="6052" spans="1:5" x14ac:dyDescent="0.25">
      <c r="A6052" s="2" t="s">
        <v>242</v>
      </c>
      <c r="B6052" s="6">
        <v>43766</v>
      </c>
      <c r="C6052" s="2" t="s">
        <v>16</v>
      </c>
      <c r="D6052" s="8">
        <v>-50</v>
      </c>
      <c r="E6052" s="8">
        <f>E6051+(0-50)</f>
        <v>8438365.4699995257</v>
      </c>
    </row>
    <row r="6053" spans="1:5" x14ac:dyDescent="0.25">
      <c r="A6053" s="2" t="s">
        <v>242</v>
      </c>
      <c r="B6053" s="6">
        <v>43766</v>
      </c>
      <c r="C6053" s="2" t="s">
        <v>16</v>
      </c>
      <c r="D6053" s="8">
        <v>-350</v>
      </c>
      <c r="E6053" s="8">
        <f>E6052+(0-350)</f>
        <v>8438015.4699995257</v>
      </c>
    </row>
    <row r="6054" spans="1:5" x14ac:dyDescent="0.25">
      <c r="A6054" s="2" t="s">
        <v>242</v>
      </c>
      <c r="B6054" s="6">
        <v>43766</v>
      </c>
      <c r="C6054" s="2" t="s">
        <v>17</v>
      </c>
      <c r="D6054" s="8">
        <v>-8</v>
      </c>
      <c r="E6054" s="8">
        <f>E6053+(0-8)</f>
        <v>8438007.4699995257</v>
      </c>
    </row>
    <row r="6055" spans="1:5" x14ac:dyDescent="0.25">
      <c r="A6055" s="2" t="s">
        <v>242</v>
      </c>
      <c r="B6055" s="6">
        <v>43767</v>
      </c>
      <c r="C6055" s="2" t="s">
        <v>17</v>
      </c>
      <c r="D6055" s="8">
        <v>-44</v>
      </c>
      <c r="E6055" s="8">
        <f>E6054+(0-44)</f>
        <v>8437963.4699995257</v>
      </c>
    </row>
    <row r="6056" spans="1:5" x14ac:dyDescent="0.25">
      <c r="A6056" s="2" t="s">
        <v>242</v>
      </c>
      <c r="B6056" s="6">
        <v>43767</v>
      </c>
      <c r="C6056" s="2" t="s">
        <v>16</v>
      </c>
      <c r="D6056" s="8">
        <v>-150</v>
      </c>
      <c r="E6056" s="8">
        <f>E6055+(0-150)</f>
        <v>8437813.4699995257</v>
      </c>
    </row>
    <row r="6057" spans="1:5" x14ac:dyDescent="0.25">
      <c r="A6057" s="2" t="s">
        <v>242</v>
      </c>
      <c r="B6057" s="6">
        <v>43768</v>
      </c>
      <c r="C6057" s="2" t="s">
        <v>279</v>
      </c>
      <c r="D6057" s="8">
        <v>-52.5</v>
      </c>
      <c r="E6057" s="8">
        <f>E6056+(0-52.5)</f>
        <v>8437760.9699995257</v>
      </c>
    </row>
    <row r="6058" spans="1:5" x14ac:dyDescent="0.25">
      <c r="A6058" s="2" t="s">
        <v>242</v>
      </c>
      <c r="B6058" s="6">
        <v>43768</v>
      </c>
      <c r="C6058" s="2" t="s">
        <v>280</v>
      </c>
      <c r="D6058" s="8">
        <v>-52.5</v>
      </c>
      <c r="E6058" s="8">
        <f>E6057+(0-52.5)</f>
        <v>8437708.4699995257</v>
      </c>
    </row>
    <row r="6059" spans="1:5" x14ac:dyDescent="0.25">
      <c r="A6059" s="2" t="s">
        <v>242</v>
      </c>
      <c r="B6059" s="6">
        <v>43769</v>
      </c>
      <c r="C6059" s="2" t="s">
        <v>16</v>
      </c>
      <c r="D6059" s="8">
        <v>-250</v>
      </c>
      <c r="E6059" s="8">
        <f>E6058+(0-250)</f>
        <v>8437458.4699995257</v>
      </c>
    </row>
    <row r="6060" spans="1:5" x14ac:dyDescent="0.25">
      <c r="A6060" s="2" t="s">
        <v>242</v>
      </c>
      <c r="B6060" s="6">
        <v>43769</v>
      </c>
      <c r="C6060" s="2" t="s">
        <v>16</v>
      </c>
      <c r="D6060" s="8">
        <v>-150</v>
      </c>
      <c r="E6060" s="8">
        <f>E6059+(0-150)</f>
        <v>8437308.4699995257</v>
      </c>
    </row>
    <row r="6061" spans="1:5" x14ac:dyDescent="0.25">
      <c r="A6061" s="2" t="s">
        <v>242</v>
      </c>
      <c r="B6061" s="6">
        <v>43769</v>
      </c>
      <c r="C6061" s="2" t="s">
        <v>16</v>
      </c>
      <c r="D6061" s="8">
        <v>-50</v>
      </c>
      <c r="E6061" s="8">
        <f>E6060+(0-50)</f>
        <v>8437258.4699995257</v>
      </c>
    </row>
    <row r="6062" spans="1:5" x14ac:dyDescent="0.25">
      <c r="A6062" s="2" t="s">
        <v>242</v>
      </c>
      <c r="B6062" s="6">
        <v>43769</v>
      </c>
      <c r="C6062" s="2" t="s">
        <v>17</v>
      </c>
      <c r="D6062" s="8">
        <v>-20</v>
      </c>
      <c r="E6062" s="8">
        <f>E6061+(0-20)</f>
        <v>8437238.4699995257</v>
      </c>
    </row>
    <row r="6063" spans="1:5" x14ac:dyDescent="0.25">
      <c r="A6063" s="2" t="s">
        <v>242</v>
      </c>
      <c r="B6063" s="6">
        <v>43769</v>
      </c>
      <c r="C6063" s="2" t="s">
        <v>17</v>
      </c>
      <c r="D6063" s="8">
        <v>-36</v>
      </c>
      <c r="E6063" s="8">
        <f>E6062+(0-36)</f>
        <v>8437202.4699995257</v>
      </c>
    </row>
    <row r="6064" spans="1:5" x14ac:dyDescent="0.25">
      <c r="A6064" s="2" t="s">
        <v>242</v>
      </c>
      <c r="B6064" s="6">
        <v>43769</v>
      </c>
      <c r="C6064" s="2" t="s">
        <v>71</v>
      </c>
      <c r="D6064" s="8">
        <v>-52.5</v>
      </c>
      <c r="E6064" s="8">
        <f>E6063+(0-52.5)</f>
        <v>8437149.9699995257</v>
      </c>
    </row>
    <row r="6065" spans="1:5" x14ac:dyDescent="0.25">
      <c r="A6065" s="2" t="s">
        <v>242</v>
      </c>
      <c r="B6065" s="6">
        <v>43770</v>
      </c>
      <c r="C6065" s="2" t="s">
        <v>16</v>
      </c>
      <c r="D6065" s="8">
        <v>-100</v>
      </c>
      <c r="E6065" s="8">
        <f>E6064+(0-100)</f>
        <v>8437049.9699995257</v>
      </c>
    </row>
    <row r="6066" spans="1:5" x14ac:dyDescent="0.25">
      <c r="A6066" s="2" t="s">
        <v>242</v>
      </c>
      <c r="B6066" s="6">
        <v>43770</v>
      </c>
      <c r="C6066" s="2" t="s">
        <v>17</v>
      </c>
      <c r="D6066" s="8">
        <v>-64</v>
      </c>
      <c r="E6066" s="8">
        <f>E6065+(0-64)</f>
        <v>8436985.9699995257</v>
      </c>
    </row>
    <row r="6067" spans="1:5" x14ac:dyDescent="0.25">
      <c r="A6067" s="2" t="s">
        <v>242</v>
      </c>
      <c r="B6067" s="6">
        <v>43771</v>
      </c>
      <c r="C6067" s="2" t="s">
        <v>24</v>
      </c>
      <c r="D6067" s="8">
        <v>-12</v>
      </c>
      <c r="E6067" s="8">
        <f>E6066+(0-12)</f>
        <v>8436973.9699995257</v>
      </c>
    </row>
    <row r="6068" spans="1:5" x14ac:dyDescent="0.25">
      <c r="A6068" s="2" t="s">
        <v>242</v>
      </c>
      <c r="B6068" s="6">
        <v>43772</v>
      </c>
      <c r="C6068" s="2" t="s">
        <v>17</v>
      </c>
      <c r="D6068" s="8">
        <v>-4</v>
      </c>
      <c r="E6068" s="8">
        <f>E6067+(0-4)</f>
        <v>8436969.9699995257</v>
      </c>
    </row>
    <row r="6069" spans="1:5" x14ac:dyDescent="0.25">
      <c r="A6069" s="2" t="s">
        <v>242</v>
      </c>
      <c r="B6069" s="6">
        <v>43772</v>
      </c>
      <c r="C6069" s="2" t="s">
        <v>281</v>
      </c>
      <c r="D6069" s="8">
        <v>-52.5</v>
      </c>
      <c r="E6069" s="8">
        <f>E6068+(0-52.5)</f>
        <v>8436917.4699995257</v>
      </c>
    </row>
    <row r="6070" spans="1:5" x14ac:dyDescent="0.25">
      <c r="A6070" s="2" t="s">
        <v>242</v>
      </c>
      <c r="B6070" s="6">
        <v>43773</v>
      </c>
      <c r="C6070" s="2" t="s">
        <v>16</v>
      </c>
      <c r="D6070" s="8">
        <v>-50</v>
      </c>
      <c r="E6070" s="8">
        <f>E6069+(0-50)</f>
        <v>8436867.4699995257</v>
      </c>
    </row>
    <row r="6071" spans="1:5" x14ac:dyDescent="0.25">
      <c r="A6071" s="2" t="s">
        <v>242</v>
      </c>
      <c r="B6071" s="6">
        <v>43773</v>
      </c>
      <c r="C6071" s="2" t="s">
        <v>16</v>
      </c>
      <c r="D6071" s="8">
        <v>-150</v>
      </c>
      <c r="E6071" s="8">
        <f>E6070+(0-150)</f>
        <v>8436717.4699995257</v>
      </c>
    </row>
    <row r="6072" spans="1:5" x14ac:dyDescent="0.25">
      <c r="A6072" s="2" t="s">
        <v>242</v>
      </c>
      <c r="B6072" s="6">
        <v>43774</v>
      </c>
      <c r="C6072" s="2" t="s">
        <v>16</v>
      </c>
      <c r="D6072" s="8">
        <v>-50</v>
      </c>
      <c r="E6072" s="8">
        <f>E6071+(0-50)</f>
        <v>8436667.4699995257</v>
      </c>
    </row>
    <row r="6073" spans="1:5" x14ac:dyDescent="0.25">
      <c r="A6073" s="2" t="s">
        <v>242</v>
      </c>
      <c r="B6073" s="6">
        <v>43774</v>
      </c>
      <c r="C6073" s="2" t="s">
        <v>16</v>
      </c>
      <c r="D6073" s="8">
        <v>-150</v>
      </c>
      <c r="E6073" s="8">
        <f>E6072+(0-150)</f>
        <v>8436517.4699995257</v>
      </c>
    </row>
    <row r="6074" spans="1:5" x14ac:dyDescent="0.25">
      <c r="A6074" s="2" t="s">
        <v>242</v>
      </c>
      <c r="B6074" s="6">
        <v>43774</v>
      </c>
      <c r="C6074" s="2" t="s">
        <v>17</v>
      </c>
      <c r="D6074" s="8">
        <v>-28</v>
      </c>
      <c r="E6074" s="8">
        <f>E6073+(0-28)</f>
        <v>8436489.4699995257</v>
      </c>
    </row>
    <row r="6075" spans="1:5" x14ac:dyDescent="0.25">
      <c r="A6075" s="2" t="s">
        <v>242</v>
      </c>
      <c r="B6075" s="6">
        <v>43775</v>
      </c>
      <c r="C6075" s="2" t="s">
        <v>16</v>
      </c>
      <c r="D6075" s="8">
        <v>-50</v>
      </c>
      <c r="E6075" s="8">
        <f>E6074+(0-50)</f>
        <v>8436439.4699995257</v>
      </c>
    </row>
    <row r="6076" spans="1:5" x14ac:dyDescent="0.25">
      <c r="A6076" s="2" t="s">
        <v>242</v>
      </c>
      <c r="B6076" s="6">
        <v>43775</v>
      </c>
      <c r="C6076" s="2" t="s">
        <v>16</v>
      </c>
      <c r="D6076" s="8">
        <v>-50</v>
      </c>
      <c r="E6076" s="8">
        <f>E6075+(0-50)</f>
        <v>8436389.4699995257</v>
      </c>
    </row>
    <row r="6077" spans="1:5" x14ac:dyDescent="0.25">
      <c r="A6077" s="2" t="s">
        <v>242</v>
      </c>
      <c r="B6077" s="6">
        <v>43775</v>
      </c>
      <c r="C6077" s="2" t="s">
        <v>16</v>
      </c>
      <c r="D6077" s="8">
        <v>-150</v>
      </c>
      <c r="E6077" s="8">
        <f>E6076+(0-150)</f>
        <v>8436239.4699995257</v>
      </c>
    </row>
    <row r="6078" spans="1:5" x14ac:dyDescent="0.25">
      <c r="A6078" s="2" t="s">
        <v>242</v>
      </c>
      <c r="B6078" s="6">
        <v>43776</v>
      </c>
      <c r="C6078" s="2" t="s">
        <v>16</v>
      </c>
      <c r="D6078" s="8">
        <v>-200</v>
      </c>
      <c r="E6078" s="8">
        <f>E6077+(0-200)</f>
        <v>8436039.4699995257</v>
      </c>
    </row>
    <row r="6079" spans="1:5" x14ac:dyDescent="0.25">
      <c r="A6079" s="2" t="s">
        <v>242</v>
      </c>
      <c r="B6079" s="6">
        <v>43776</v>
      </c>
      <c r="C6079" s="2" t="s">
        <v>16</v>
      </c>
      <c r="D6079" s="8">
        <v>-50</v>
      </c>
      <c r="E6079" s="8">
        <f>E6078+(0-50)</f>
        <v>8435989.4699995257</v>
      </c>
    </row>
    <row r="6080" spans="1:5" x14ac:dyDescent="0.25">
      <c r="A6080" s="2" t="s">
        <v>242</v>
      </c>
      <c r="B6080" s="6">
        <v>43777</v>
      </c>
      <c r="C6080" s="2" t="s">
        <v>19</v>
      </c>
      <c r="D6080" s="8">
        <v>-36</v>
      </c>
      <c r="E6080" s="8">
        <f>E6079+(0-36)</f>
        <v>8435953.4699995257</v>
      </c>
    </row>
    <row r="6081" spans="1:5" x14ac:dyDescent="0.25">
      <c r="A6081" s="2" t="s">
        <v>242</v>
      </c>
      <c r="B6081" s="6">
        <v>43777</v>
      </c>
      <c r="C6081" s="2" t="s">
        <v>19</v>
      </c>
      <c r="D6081" s="8">
        <v>-50</v>
      </c>
      <c r="E6081" s="8">
        <f>E6080+(0-50)</f>
        <v>8435903.4699995257</v>
      </c>
    </row>
    <row r="6082" spans="1:5" x14ac:dyDescent="0.25">
      <c r="A6082" s="2" t="s">
        <v>242</v>
      </c>
      <c r="B6082" s="6">
        <v>43777</v>
      </c>
      <c r="C6082" s="2" t="s">
        <v>16</v>
      </c>
      <c r="D6082" s="8">
        <v>-150</v>
      </c>
      <c r="E6082" s="8">
        <f>E6081+(0-150)</f>
        <v>8435753.4699995257</v>
      </c>
    </row>
    <row r="6083" spans="1:5" x14ac:dyDescent="0.25">
      <c r="A6083" s="2" t="s">
        <v>242</v>
      </c>
      <c r="B6083" s="6">
        <v>43777</v>
      </c>
      <c r="C6083" s="2" t="s">
        <v>19</v>
      </c>
      <c r="D6083" s="8">
        <v>-28</v>
      </c>
      <c r="E6083" s="8">
        <f>E6082+(0-28)</f>
        <v>8435725.4699995257</v>
      </c>
    </row>
    <row r="6084" spans="1:5" x14ac:dyDescent="0.25">
      <c r="A6084" s="2" t="s">
        <v>242</v>
      </c>
      <c r="B6084" s="6">
        <v>43777</v>
      </c>
      <c r="C6084" s="2" t="s">
        <v>17</v>
      </c>
      <c r="D6084" s="8">
        <v>-28</v>
      </c>
      <c r="E6084" s="8">
        <f>E6083+(0-28)</f>
        <v>8435697.4699995257</v>
      </c>
    </row>
    <row r="6085" spans="1:5" x14ac:dyDescent="0.25">
      <c r="A6085" s="2" t="s">
        <v>242</v>
      </c>
      <c r="B6085" s="6">
        <v>43781</v>
      </c>
      <c r="C6085" s="2" t="s">
        <v>282</v>
      </c>
      <c r="D6085" s="8">
        <v>-52.5</v>
      </c>
      <c r="E6085" s="8">
        <f>E6084+(0-52.5)</f>
        <v>8435644.9699995257</v>
      </c>
    </row>
    <row r="6086" spans="1:5" x14ac:dyDescent="0.25">
      <c r="A6086" s="2" t="s">
        <v>242</v>
      </c>
      <c r="B6086" s="6">
        <v>43781</v>
      </c>
      <c r="C6086" s="2" t="s">
        <v>24</v>
      </c>
      <c r="D6086" s="8">
        <v>-200</v>
      </c>
      <c r="E6086" s="8">
        <f>E6085+(0-200)</f>
        <v>8435444.9699995257</v>
      </c>
    </row>
    <row r="6087" spans="1:5" x14ac:dyDescent="0.25">
      <c r="A6087" s="2" t="s">
        <v>242</v>
      </c>
      <c r="B6087" s="6">
        <v>43783</v>
      </c>
      <c r="C6087" s="2" t="s">
        <v>24</v>
      </c>
      <c r="D6087" s="8">
        <v>-150</v>
      </c>
      <c r="E6087" s="8">
        <f>E6086+(0-150)</f>
        <v>8435294.9699995257</v>
      </c>
    </row>
    <row r="6088" spans="1:5" x14ac:dyDescent="0.25">
      <c r="A6088" s="2" t="s">
        <v>242</v>
      </c>
      <c r="B6088" s="6">
        <v>43783</v>
      </c>
      <c r="C6088" s="2" t="s">
        <v>24</v>
      </c>
      <c r="D6088" s="8">
        <v>-150</v>
      </c>
      <c r="E6088" s="8">
        <f>E6087+(0-150)</f>
        <v>8435144.9699995257</v>
      </c>
    </row>
    <row r="6089" spans="1:5" x14ac:dyDescent="0.25">
      <c r="A6089" s="2" t="s">
        <v>242</v>
      </c>
      <c r="B6089" s="6">
        <v>43784</v>
      </c>
      <c r="C6089" s="2" t="s">
        <v>24</v>
      </c>
      <c r="D6089" s="8">
        <v>-50</v>
      </c>
      <c r="E6089" s="8">
        <f>E6088+(0-50)</f>
        <v>8435094.9699995257</v>
      </c>
    </row>
    <row r="6090" spans="1:5" x14ac:dyDescent="0.25">
      <c r="A6090" s="2" t="s">
        <v>242</v>
      </c>
      <c r="B6090" s="6">
        <v>43784</v>
      </c>
      <c r="C6090" s="2" t="s">
        <v>81</v>
      </c>
      <c r="D6090" s="8">
        <v>-52.5</v>
      </c>
      <c r="E6090" s="8">
        <f>E6089+(0-52.5)</f>
        <v>8435042.4699995257</v>
      </c>
    </row>
    <row r="6091" spans="1:5" x14ac:dyDescent="0.25">
      <c r="A6091" s="2" t="s">
        <v>242</v>
      </c>
      <c r="B6091" s="6">
        <v>43784</v>
      </c>
      <c r="C6091" s="2" t="s">
        <v>24</v>
      </c>
      <c r="D6091" s="8">
        <v>-50</v>
      </c>
      <c r="E6091" s="8">
        <f>E6090+(0-50)</f>
        <v>8434992.4699995257</v>
      </c>
    </row>
    <row r="6092" spans="1:5" x14ac:dyDescent="0.25">
      <c r="A6092" s="2" t="s">
        <v>242</v>
      </c>
      <c r="B6092" s="6">
        <v>43787</v>
      </c>
      <c r="C6092" s="2" t="s">
        <v>24</v>
      </c>
      <c r="D6092" s="8">
        <v>-50</v>
      </c>
      <c r="E6092" s="8">
        <f>E6091+(0-50)</f>
        <v>8434942.4699995257</v>
      </c>
    </row>
    <row r="6093" spans="1:5" x14ac:dyDescent="0.25">
      <c r="A6093" s="2" t="s">
        <v>242</v>
      </c>
      <c r="B6093" s="6">
        <v>43787</v>
      </c>
      <c r="C6093" s="2" t="s">
        <v>24</v>
      </c>
      <c r="D6093" s="8">
        <v>-300</v>
      </c>
      <c r="E6093" s="8">
        <f>E6092+(0-300)</f>
        <v>8434642.4699995257</v>
      </c>
    </row>
    <row r="6094" spans="1:5" x14ac:dyDescent="0.25">
      <c r="A6094" s="2" t="s">
        <v>242</v>
      </c>
      <c r="B6094" s="6">
        <v>43788</v>
      </c>
      <c r="C6094" s="2" t="s">
        <v>24</v>
      </c>
      <c r="D6094" s="8">
        <v>-150</v>
      </c>
      <c r="E6094" s="8">
        <f>E6093+(0-150)</f>
        <v>8434492.4699995257</v>
      </c>
    </row>
    <row r="6095" spans="1:5" x14ac:dyDescent="0.25">
      <c r="A6095" s="2" t="s">
        <v>242</v>
      </c>
      <c r="B6095" s="6">
        <v>43789</v>
      </c>
      <c r="C6095" s="2" t="s">
        <v>24</v>
      </c>
      <c r="D6095" s="8">
        <v>-200</v>
      </c>
      <c r="E6095" s="8">
        <f>E6094+(0-200)</f>
        <v>8434292.4699995257</v>
      </c>
    </row>
    <row r="6096" spans="1:5" x14ac:dyDescent="0.25">
      <c r="A6096" s="2" t="s">
        <v>242</v>
      </c>
      <c r="B6096" s="6">
        <v>43790</v>
      </c>
      <c r="C6096" s="2" t="s">
        <v>24</v>
      </c>
      <c r="D6096" s="8">
        <v>-50</v>
      </c>
      <c r="E6096" s="8">
        <f>E6095+(0-50)</f>
        <v>8434242.4699995257</v>
      </c>
    </row>
    <row r="6097" spans="1:5" x14ac:dyDescent="0.25">
      <c r="A6097" s="2" t="s">
        <v>242</v>
      </c>
      <c r="B6097" s="6">
        <v>43790</v>
      </c>
      <c r="C6097" s="2" t="s">
        <v>16</v>
      </c>
      <c r="D6097" s="8">
        <v>-200</v>
      </c>
      <c r="E6097" s="8">
        <f>E6096+(0-200)</f>
        <v>8434042.4699995257</v>
      </c>
    </row>
    <row r="6098" spans="1:5" x14ac:dyDescent="0.25">
      <c r="A6098" s="2" t="s">
        <v>242</v>
      </c>
      <c r="B6098" s="6">
        <v>43791</v>
      </c>
      <c r="C6098" s="2" t="s">
        <v>17</v>
      </c>
      <c r="D6098" s="8">
        <v>-48</v>
      </c>
      <c r="E6098" s="8">
        <f>E6097+(0-48)</f>
        <v>8433994.4699995257</v>
      </c>
    </row>
    <row r="6099" spans="1:5" x14ac:dyDescent="0.25">
      <c r="A6099" s="2" t="s">
        <v>242</v>
      </c>
      <c r="B6099" s="6">
        <v>43791</v>
      </c>
      <c r="C6099" s="2" t="s">
        <v>24</v>
      </c>
      <c r="D6099" s="8">
        <v>-50</v>
      </c>
      <c r="E6099" s="8">
        <f>E6098+(0-50)</f>
        <v>8433944.4699995257</v>
      </c>
    </row>
    <row r="6100" spans="1:5" x14ac:dyDescent="0.25">
      <c r="A6100" s="2" t="s">
        <v>242</v>
      </c>
      <c r="B6100" s="6">
        <v>43791</v>
      </c>
      <c r="C6100" s="2" t="s">
        <v>24</v>
      </c>
      <c r="D6100" s="8">
        <v>-50</v>
      </c>
      <c r="E6100" s="8">
        <f>E6099+(0-50)</f>
        <v>8433894.4699995257</v>
      </c>
    </row>
    <row r="6101" spans="1:5" x14ac:dyDescent="0.25">
      <c r="A6101" s="2" t="s">
        <v>242</v>
      </c>
      <c r="B6101" s="6">
        <v>43791</v>
      </c>
      <c r="C6101" s="2" t="s">
        <v>17</v>
      </c>
      <c r="D6101" s="8">
        <v>-4</v>
      </c>
      <c r="E6101" s="8">
        <f>E6100+(0-4)</f>
        <v>8433890.4699995257</v>
      </c>
    </row>
    <row r="6102" spans="1:5" x14ac:dyDescent="0.25">
      <c r="A6102" s="2" t="s">
        <v>242</v>
      </c>
      <c r="B6102" s="6">
        <v>43791</v>
      </c>
      <c r="C6102" s="2" t="s">
        <v>17</v>
      </c>
      <c r="D6102" s="8">
        <v>-188</v>
      </c>
      <c r="E6102" s="8">
        <f>E6101+(0-188)</f>
        <v>8433702.4699995257</v>
      </c>
    </row>
    <row r="6103" spans="1:5" x14ac:dyDescent="0.25">
      <c r="A6103" s="2" t="s">
        <v>242</v>
      </c>
      <c r="B6103" s="6">
        <v>43791</v>
      </c>
      <c r="C6103" s="2" t="s">
        <v>24</v>
      </c>
      <c r="D6103" s="8">
        <v>-100</v>
      </c>
      <c r="E6103" s="8">
        <f>E6102+(0-100)</f>
        <v>8433602.4699995257</v>
      </c>
    </row>
    <row r="6104" spans="1:5" x14ac:dyDescent="0.25">
      <c r="A6104" s="2" t="s">
        <v>242</v>
      </c>
      <c r="B6104" s="6">
        <v>43794</v>
      </c>
      <c r="C6104" s="2" t="s">
        <v>24</v>
      </c>
      <c r="D6104" s="8">
        <v>-250</v>
      </c>
      <c r="E6104" s="8">
        <f>E6103+(0-250)</f>
        <v>8433352.4699995257</v>
      </c>
    </row>
    <row r="6105" spans="1:5" x14ac:dyDescent="0.25">
      <c r="A6105" s="2" t="s">
        <v>242</v>
      </c>
      <c r="B6105" s="6">
        <v>43795</v>
      </c>
      <c r="C6105" s="2" t="s">
        <v>24</v>
      </c>
      <c r="D6105" s="8">
        <v>-50</v>
      </c>
      <c r="E6105" s="8">
        <f>E6104+(0-50)</f>
        <v>8433302.4699995257</v>
      </c>
    </row>
    <row r="6106" spans="1:5" x14ac:dyDescent="0.25">
      <c r="A6106" s="2" t="s">
        <v>242</v>
      </c>
      <c r="B6106" s="6">
        <v>43795</v>
      </c>
      <c r="C6106" s="2" t="s">
        <v>24</v>
      </c>
      <c r="D6106" s="8">
        <v>-150</v>
      </c>
      <c r="E6106" s="8">
        <f>E6105+(0-150)</f>
        <v>8433152.4699995257</v>
      </c>
    </row>
    <row r="6107" spans="1:5" x14ac:dyDescent="0.25">
      <c r="A6107" s="2" t="s">
        <v>242</v>
      </c>
      <c r="B6107" s="6">
        <v>43796</v>
      </c>
      <c r="C6107" s="2" t="s">
        <v>17</v>
      </c>
      <c r="D6107" s="8">
        <v>-208</v>
      </c>
      <c r="E6107" s="8">
        <f>E6106+(0-208)</f>
        <v>8432944.4699995257</v>
      </c>
    </row>
    <row r="6108" spans="1:5" x14ac:dyDescent="0.25">
      <c r="A6108" s="2" t="s">
        <v>242</v>
      </c>
      <c r="B6108" s="6">
        <v>43796</v>
      </c>
      <c r="C6108" s="2" t="s">
        <v>24</v>
      </c>
      <c r="D6108" s="8">
        <v>-50</v>
      </c>
      <c r="E6108" s="8">
        <f>E6107+(0-50)</f>
        <v>8432894.4699995257</v>
      </c>
    </row>
    <row r="6109" spans="1:5" x14ac:dyDescent="0.25">
      <c r="A6109" s="2" t="s">
        <v>242</v>
      </c>
      <c r="B6109" s="6">
        <v>43796</v>
      </c>
      <c r="C6109" s="2" t="s">
        <v>24</v>
      </c>
      <c r="D6109" s="8">
        <v>-200</v>
      </c>
      <c r="E6109" s="8">
        <f>E6108+(0-200)</f>
        <v>8432694.4699995257</v>
      </c>
    </row>
    <row r="6110" spans="1:5" x14ac:dyDescent="0.25">
      <c r="A6110" s="2" t="s">
        <v>242</v>
      </c>
      <c r="B6110" s="6">
        <v>43796</v>
      </c>
      <c r="C6110" s="2" t="s">
        <v>19</v>
      </c>
      <c r="D6110" s="8">
        <v>-80</v>
      </c>
      <c r="E6110" s="8">
        <f>E6109+(0-80)</f>
        <v>8432614.4699995257</v>
      </c>
    </row>
    <row r="6111" spans="1:5" x14ac:dyDescent="0.25">
      <c r="A6111" s="2" t="s">
        <v>242</v>
      </c>
      <c r="B6111" s="6">
        <v>43797</v>
      </c>
      <c r="C6111" s="2" t="s">
        <v>24</v>
      </c>
      <c r="D6111" s="8">
        <v>-52.5</v>
      </c>
      <c r="E6111" s="8">
        <f>E6110+(0-52.5)</f>
        <v>8432561.9699995257</v>
      </c>
    </row>
    <row r="6112" spans="1:5" x14ac:dyDescent="0.25">
      <c r="A6112" s="2" t="s">
        <v>242</v>
      </c>
      <c r="B6112" s="6">
        <v>43797</v>
      </c>
      <c r="C6112" s="2" t="s">
        <v>283</v>
      </c>
      <c r="D6112" s="8">
        <v>-52</v>
      </c>
      <c r="E6112" s="8">
        <f>E6111+(0-52)</f>
        <v>8432509.9699995257</v>
      </c>
    </row>
    <row r="6113" spans="1:5" x14ac:dyDescent="0.25">
      <c r="A6113" s="2" t="s">
        <v>242</v>
      </c>
      <c r="B6113" s="6">
        <v>43797</v>
      </c>
      <c r="C6113" s="2" t="s">
        <v>32</v>
      </c>
      <c r="D6113" s="8">
        <v>-210</v>
      </c>
      <c r="E6113" s="8">
        <f>E6112+(0-210)</f>
        <v>8432299.9699995257</v>
      </c>
    </row>
    <row r="6114" spans="1:5" x14ac:dyDescent="0.25">
      <c r="A6114" s="2" t="s">
        <v>242</v>
      </c>
      <c r="B6114" s="6">
        <v>43801</v>
      </c>
      <c r="C6114" s="2" t="s">
        <v>284</v>
      </c>
      <c r="D6114" s="8">
        <v>-52.5</v>
      </c>
      <c r="E6114" s="8">
        <f>E6113+(0-52.5)</f>
        <v>8432247.4699995257</v>
      </c>
    </row>
    <row r="6115" spans="1:5" x14ac:dyDescent="0.25">
      <c r="A6115" s="2" t="s">
        <v>242</v>
      </c>
      <c r="B6115" s="6">
        <v>43801</v>
      </c>
      <c r="C6115" s="2" t="s">
        <v>285</v>
      </c>
      <c r="D6115" s="8">
        <v>-100</v>
      </c>
      <c r="E6115" s="8">
        <f>E6114+(0-100)</f>
        <v>8432147.4699995257</v>
      </c>
    </row>
    <row r="6116" spans="1:5" x14ac:dyDescent="0.25">
      <c r="A6116" s="2" t="s">
        <v>242</v>
      </c>
      <c r="B6116" s="6">
        <v>43801</v>
      </c>
      <c r="C6116" s="2" t="s">
        <v>16</v>
      </c>
      <c r="D6116" s="8">
        <v>-50</v>
      </c>
      <c r="E6116" s="8">
        <f>E6115+(0-50)</f>
        <v>8432097.4699995257</v>
      </c>
    </row>
    <row r="6117" spans="1:5" x14ac:dyDescent="0.25">
      <c r="A6117" s="2" t="s">
        <v>242</v>
      </c>
      <c r="B6117" s="6">
        <v>43801</v>
      </c>
      <c r="C6117" s="2" t="s">
        <v>16</v>
      </c>
      <c r="D6117" s="8">
        <v>-150</v>
      </c>
      <c r="E6117" s="8">
        <f>E6116+(0-150)</f>
        <v>8431947.4699995257</v>
      </c>
    </row>
    <row r="6118" spans="1:5" x14ac:dyDescent="0.25">
      <c r="A6118" s="2" t="s">
        <v>242</v>
      </c>
      <c r="B6118" s="6">
        <v>43801</v>
      </c>
      <c r="C6118" s="2" t="s">
        <v>17</v>
      </c>
      <c r="D6118" s="8">
        <v>-52</v>
      </c>
      <c r="E6118" s="8">
        <f>E6117+(0-52)</f>
        <v>8431895.4699995257</v>
      </c>
    </row>
    <row r="6119" spans="1:5" x14ac:dyDescent="0.25">
      <c r="A6119" s="2" t="s">
        <v>242</v>
      </c>
      <c r="B6119" s="6">
        <v>43802</v>
      </c>
      <c r="C6119" s="2" t="s">
        <v>17</v>
      </c>
      <c r="D6119" s="8">
        <v>-44</v>
      </c>
      <c r="E6119" s="8">
        <f>E6118+(0-44)</f>
        <v>8431851.4699995257</v>
      </c>
    </row>
    <row r="6120" spans="1:5" x14ac:dyDescent="0.25">
      <c r="A6120" s="2" t="s">
        <v>242</v>
      </c>
      <c r="B6120" s="6">
        <v>43802</v>
      </c>
      <c r="C6120" s="2" t="s">
        <v>16</v>
      </c>
      <c r="D6120" s="8">
        <v>-150</v>
      </c>
      <c r="E6120" s="8">
        <f>E6119+(0-150)</f>
        <v>8431701.4699995257</v>
      </c>
    </row>
    <row r="6121" spans="1:5" x14ac:dyDescent="0.25">
      <c r="A6121" s="2" t="s">
        <v>242</v>
      </c>
      <c r="B6121" s="6">
        <v>43803</v>
      </c>
      <c r="C6121" s="2" t="s">
        <v>19</v>
      </c>
      <c r="D6121" s="8">
        <v>-52</v>
      </c>
      <c r="E6121" s="8">
        <f>E6120+(0-52)</f>
        <v>8431649.4699995257</v>
      </c>
    </row>
    <row r="6122" spans="1:5" x14ac:dyDescent="0.25">
      <c r="A6122" s="2" t="s">
        <v>242</v>
      </c>
      <c r="B6122" s="6">
        <v>43804</v>
      </c>
      <c r="C6122" s="2" t="s">
        <v>17</v>
      </c>
      <c r="D6122" s="8">
        <v>-24</v>
      </c>
      <c r="E6122" s="8">
        <f>E6121+(0-24)</f>
        <v>8431625.4699995257</v>
      </c>
    </row>
    <row r="6123" spans="1:5" x14ac:dyDescent="0.25">
      <c r="A6123" s="2" t="s">
        <v>242</v>
      </c>
      <c r="B6123" s="6">
        <v>43804</v>
      </c>
      <c r="C6123" s="2" t="s">
        <v>16</v>
      </c>
      <c r="D6123" s="8">
        <v>-250</v>
      </c>
      <c r="E6123" s="8">
        <f>E6122+(0-250)</f>
        <v>8431375.4699995257</v>
      </c>
    </row>
    <row r="6124" spans="1:5" x14ac:dyDescent="0.25">
      <c r="A6124" s="2" t="s">
        <v>242</v>
      </c>
      <c r="B6124" s="6">
        <v>43805</v>
      </c>
      <c r="C6124" s="2" t="s">
        <v>16</v>
      </c>
      <c r="D6124" s="8">
        <v>-100</v>
      </c>
      <c r="E6124" s="8">
        <f>E6123+(0-100)</f>
        <v>8431275.4699995257</v>
      </c>
    </row>
    <row r="6125" spans="1:5" x14ac:dyDescent="0.25">
      <c r="A6125" s="2" t="s">
        <v>242</v>
      </c>
      <c r="B6125" s="6">
        <v>43806</v>
      </c>
      <c r="C6125" s="2" t="s">
        <v>17</v>
      </c>
      <c r="D6125" s="8">
        <v>-32</v>
      </c>
      <c r="E6125" s="8">
        <f>E6124+(0-32)</f>
        <v>8431243.4699995257</v>
      </c>
    </row>
    <row r="6126" spans="1:5" x14ac:dyDescent="0.25">
      <c r="A6126" s="2" t="s">
        <v>242</v>
      </c>
      <c r="B6126" s="6">
        <v>43806</v>
      </c>
      <c r="C6126" s="2" t="s">
        <v>286</v>
      </c>
      <c r="D6126" s="8">
        <v>-52.5</v>
      </c>
      <c r="E6126" s="8">
        <f>E6125+(0-52.5)</f>
        <v>8431190.9699995257</v>
      </c>
    </row>
    <row r="6127" spans="1:5" x14ac:dyDescent="0.25">
      <c r="A6127" s="2" t="s">
        <v>242</v>
      </c>
      <c r="B6127" s="6">
        <v>43806</v>
      </c>
      <c r="C6127" s="2" t="s">
        <v>287</v>
      </c>
      <c r="D6127" s="8">
        <v>-16</v>
      </c>
      <c r="E6127" s="8">
        <f>E6126+(0-16)</f>
        <v>8431174.9699995257</v>
      </c>
    </row>
    <row r="6128" spans="1:5" x14ac:dyDescent="0.25">
      <c r="A6128" s="2" t="s">
        <v>242</v>
      </c>
      <c r="B6128" s="6">
        <v>43808</v>
      </c>
      <c r="C6128" s="2" t="s">
        <v>17</v>
      </c>
      <c r="D6128" s="8">
        <v>-12</v>
      </c>
      <c r="E6128" s="8">
        <f>E6127+(0-12)</f>
        <v>8431162.9699995257</v>
      </c>
    </row>
    <row r="6129" spans="1:5" x14ac:dyDescent="0.25">
      <c r="A6129" s="2" t="s">
        <v>242</v>
      </c>
      <c r="B6129" s="6">
        <v>43808</v>
      </c>
      <c r="C6129" s="2" t="s">
        <v>16</v>
      </c>
      <c r="D6129" s="8">
        <v>-50</v>
      </c>
      <c r="E6129" s="8">
        <f>E6128+(0-50)</f>
        <v>8431112.9699995257</v>
      </c>
    </row>
    <row r="6130" spans="1:5" x14ac:dyDescent="0.25">
      <c r="A6130" s="2" t="s">
        <v>242</v>
      </c>
      <c r="B6130" s="6">
        <v>43808</v>
      </c>
      <c r="C6130" s="2" t="s">
        <v>16</v>
      </c>
      <c r="D6130" s="8">
        <v>-100</v>
      </c>
      <c r="E6130" s="8">
        <f>E6129+(0-100)</f>
        <v>8431012.9699995257</v>
      </c>
    </row>
    <row r="6131" spans="1:5" x14ac:dyDescent="0.25">
      <c r="A6131" s="2" t="s">
        <v>242</v>
      </c>
      <c r="B6131" s="6">
        <v>43809</v>
      </c>
      <c r="C6131" s="2" t="s">
        <v>17</v>
      </c>
      <c r="D6131" s="8">
        <v>-20</v>
      </c>
      <c r="E6131" s="8">
        <f>E6130+(0-20)</f>
        <v>8430992.9699995257</v>
      </c>
    </row>
    <row r="6132" spans="1:5" x14ac:dyDescent="0.25">
      <c r="A6132" s="2" t="s">
        <v>242</v>
      </c>
      <c r="B6132" s="6">
        <v>43809</v>
      </c>
      <c r="C6132" s="2" t="s">
        <v>288</v>
      </c>
      <c r="D6132" s="8">
        <v>-52.5</v>
      </c>
      <c r="E6132" s="8">
        <f>E6131+(0-52.5)</f>
        <v>8430940.4699995257</v>
      </c>
    </row>
    <row r="6133" spans="1:5" x14ac:dyDescent="0.25">
      <c r="A6133" s="2" t="s">
        <v>242</v>
      </c>
      <c r="B6133" s="6">
        <v>43809</v>
      </c>
      <c r="C6133" s="2" t="s">
        <v>16</v>
      </c>
      <c r="D6133" s="8">
        <v>-200</v>
      </c>
      <c r="E6133" s="8">
        <f>E6132+(0-200)</f>
        <v>8430740.4699995257</v>
      </c>
    </row>
    <row r="6134" spans="1:5" x14ac:dyDescent="0.25">
      <c r="A6134" s="2" t="s">
        <v>242</v>
      </c>
      <c r="B6134" s="6">
        <v>43810</v>
      </c>
      <c r="C6134" s="2" t="s">
        <v>16</v>
      </c>
      <c r="D6134" s="8">
        <v>-200</v>
      </c>
      <c r="E6134" s="8">
        <f>E6133+(0-200)</f>
        <v>8430540.4699995257</v>
      </c>
    </row>
    <row r="6135" spans="1:5" x14ac:dyDescent="0.25">
      <c r="A6135" s="2" t="s">
        <v>242</v>
      </c>
      <c r="B6135" s="6">
        <v>43811</v>
      </c>
      <c r="C6135" s="2" t="s">
        <v>17</v>
      </c>
      <c r="D6135" s="8">
        <v>-36</v>
      </c>
      <c r="E6135" s="8">
        <f>E6134+(0-36)</f>
        <v>8430504.4699995257</v>
      </c>
    </row>
    <row r="6136" spans="1:5" x14ac:dyDescent="0.25">
      <c r="A6136" s="2" t="s">
        <v>242</v>
      </c>
      <c r="B6136" s="6">
        <v>43811</v>
      </c>
      <c r="C6136" s="2" t="s">
        <v>16</v>
      </c>
      <c r="D6136" s="8">
        <v>-50</v>
      </c>
      <c r="E6136" s="8">
        <f>E6135+(0-50)</f>
        <v>8430454.4699995257</v>
      </c>
    </row>
    <row r="6137" spans="1:5" x14ac:dyDescent="0.25">
      <c r="A6137" s="2" t="s">
        <v>242</v>
      </c>
      <c r="B6137" s="6">
        <v>43811</v>
      </c>
      <c r="C6137" s="2" t="s">
        <v>16</v>
      </c>
      <c r="D6137" s="8">
        <v>-50</v>
      </c>
      <c r="E6137" s="8">
        <f>E6136+(0-50)</f>
        <v>8430404.4699995257</v>
      </c>
    </row>
    <row r="6138" spans="1:5" x14ac:dyDescent="0.25">
      <c r="A6138" s="2" t="s">
        <v>242</v>
      </c>
      <c r="B6138" s="6">
        <v>43812</v>
      </c>
      <c r="C6138" s="2" t="s">
        <v>17</v>
      </c>
      <c r="D6138" s="8">
        <v>-24</v>
      </c>
      <c r="E6138" s="8">
        <f>E6137+(0-24)</f>
        <v>8430380.4699995257</v>
      </c>
    </row>
    <row r="6139" spans="1:5" x14ac:dyDescent="0.25">
      <c r="A6139" s="2" t="s">
        <v>242</v>
      </c>
      <c r="B6139" s="6">
        <v>43812</v>
      </c>
      <c r="C6139" s="2" t="s">
        <v>16</v>
      </c>
      <c r="D6139" s="8">
        <v>-50</v>
      </c>
      <c r="E6139" s="8">
        <f>E6138+(0-50)</f>
        <v>8430330.4699995257</v>
      </c>
    </row>
    <row r="6140" spans="1:5" x14ac:dyDescent="0.25">
      <c r="A6140" s="2" t="s">
        <v>242</v>
      </c>
      <c r="B6140" s="6">
        <v>43812</v>
      </c>
      <c r="C6140" s="2" t="s">
        <v>289</v>
      </c>
      <c r="D6140" s="8">
        <v>-779</v>
      </c>
      <c r="E6140" s="8">
        <f>E6139+(0-779)</f>
        <v>8429551.4699995257</v>
      </c>
    </row>
    <row r="6141" spans="1:5" x14ac:dyDescent="0.25">
      <c r="A6141" s="2" t="s">
        <v>242</v>
      </c>
      <c r="B6141" s="6">
        <v>43812</v>
      </c>
      <c r="C6141" s="2" t="s">
        <v>154</v>
      </c>
      <c r="D6141" s="8">
        <v>-500</v>
      </c>
      <c r="E6141" s="8">
        <f>E6140+(0-500)</f>
        <v>8429051.4699995257</v>
      </c>
    </row>
    <row r="6142" spans="1:5" x14ac:dyDescent="0.25">
      <c r="A6142" s="2" t="s">
        <v>242</v>
      </c>
      <c r="B6142" s="6">
        <v>43812</v>
      </c>
      <c r="C6142" s="2" t="s">
        <v>290</v>
      </c>
      <c r="D6142" s="8">
        <v>-25</v>
      </c>
      <c r="E6142" s="8">
        <f>E6141+(0-25)</f>
        <v>8429026.4699995257</v>
      </c>
    </row>
    <row r="6143" spans="1:5" x14ac:dyDescent="0.25">
      <c r="A6143" s="2" t="s">
        <v>242</v>
      </c>
      <c r="B6143" s="6">
        <v>43812</v>
      </c>
      <c r="C6143" s="2" t="s">
        <v>16</v>
      </c>
      <c r="D6143" s="8">
        <v>-50</v>
      </c>
      <c r="E6143" s="8">
        <f>E6142+(0-50)</f>
        <v>8428976.4699995257</v>
      </c>
    </row>
    <row r="6144" spans="1:5" x14ac:dyDescent="0.25">
      <c r="A6144" s="2" t="s">
        <v>242</v>
      </c>
      <c r="B6144" s="6">
        <v>43812</v>
      </c>
      <c r="C6144" s="2" t="s">
        <v>16</v>
      </c>
      <c r="D6144" s="8">
        <v>-200</v>
      </c>
      <c r="E6144" s="8">
        <f>E6143+(0-200)</f>
        <v>8428776.4699995257</v>
      </c>
    </row>
    <row r="6145" spans="1:5" x14ac:dyDescent="0.25">
      <c r="A6145" s="2" t="s">
        <v>242</v>
      </c>
      <c r="B6145" s="6">
        <v>43813</v>
      </c>
      <c r="C6145" s="2" t="s">
        <v>19</v>
      </c>
      <c r="D6145" s="8">
        <v>-28</v>
      </c>
      <c r="E6145" s="8">
        <f>E6144+(0-28)</f>
        <v>8428748.4699995257</v>
      </c>
    </row>
    <row r="6146" spans="1:5" x14ac:dyDescent="0.25">
      <c r="A6146" s="2" t="s">
        <v>242</v>
      </c>
      <c r="B6146" s="6">
        <v>43813</v>
      </c>
      <c r="C6146" s="2" t="s">
        <v>17</v>
      </c>
      <c r="D6146" s="8">
        <v>-80</v>
      </c>
      <c r="E6146" s="8">
        <f>E6145+(0-80)</f>
        <v>8428668.4699995257</v>
      </c>
    </row>
    <row r="6147" spans="1:5" x14ac:dyDescent="0.25">
      <c r="A6147" s="2" t="s">
        <v>242</v>
      </c>
      <c r="B6147" s="6">
        <v>43814</v>
      </c>
      <c r="C6147" s="2" t="s">
        <v>17</v>
      </c>
      <c r="D6147" s="8">
        <v>-4</v>
      </c>
      <c r="E6147" s="8">
        <f>E6146+(0-4)</f>
        <v>8428664.4699995257</v>
      </c>
    </row>
    <row r="6148" spans="1:5" x14ac:dyDescent="0.25">
      <c r="A6148" s="2" t="s">
        <v>242</v>
      </c>
      <c r="B6148" s="6">
        <v>43815</v>
      </c>
      <c r="C6148" s="2" t="s">
        <v>16</v>
      </c>
      <c r="D6148" s="8">
        <v>-50</v>
      </c>
      <c r="E6148" s="8">
        <f>E6147+(0-50)</f>
        <v>8428614.4699995257</v>
      </c>
    </row>
    <row r="6149" spans="1:5" x14ac:dyDescent="0.25">
      <c r="A6149" s="2" t="s">
        <v>242</v>
      </c>
      <c r="B6149" s="6">
        <v>43815</v>
      </c>
      <c r="C6149" s="2" t="s">
        <v>16</v>
      </c>
      <c r="D6149" s="8">
        <v>-250</v>
      </c>
      <c r="E6149" s="8">
        <f>E6148+(0-250)</f>
        <v>8428364.4699995257</v>
      </c>
    </row>
    <row r="6150" spans="1:5" x14ac:dyDescent="0.25">
      <c r="A6150" s="2" t="s">
        <v>242</v>
      </c>
      <c r="B6150" s="6">
        <v>43816</v>
      </c>
      <c r="C6150" s="2" t="s">
        <v>17</v>
      </c>
      <c r="D6150" s="8">
        <v>-40</v>
      </c>
      <c r="E6150" s="8">
        <f>E6149+(0-40)</f>
        <v>8428324.4699995257</v>
      </c>
    </row>
    <row r="6151" spans="1:5" x14ac:dyDescent="0.25">
      <c r="A6151" s="2" t="s">
        <v>242</v>
      </c>
      <c r="B6151" s="6">
        <v>43817</v>
      </c>
      <c r="C6151" s="2" t="s">
        <v>16</v>
      </c>
      <c r="D6151" s="8">
        <v>-50</v>
      </c>
      <c r="E6151" s="8">
        <f>E6150+(0-50)</f>
        <v>8428274.4699995257</v>
      </c>
    </row>
    <row r="6152" spans="1:5" x14ac:dyDescent="0.25">
      <c r="A6152" s="2" t="s">
        <v>242</v>
      </c>
      <c r="B6152" s="6">
        <v>43817</v>
      </c>
      <c r="C6152" s="2" t="s">
        <v>16</v>
      </c>
      <c r="D6152" s="8">
        <v>-50</v>
      </c>
      <c r="E6152" s="8">
        <f>E6151+(0-50)</f>
        <v>8428224.4699995257</v>
      </c>
    </row>
    <row r="6153" spans="1:5" x14ac:dyDescent="0.25">
      <c r="A6153" s="2" t="s">
        <v>242</v>
      </c>
      <c r="B6153" s="6">
        <v>43817</v>
      </c>
      <c r="C6153" s="2" t="s">
        <v>16</v>
      </c>
      <c r="D6153" s="8">
        <v>-50</v>
      </c>
      <c r="E6153" s="8">
        <f>E6152+(0-50)</f>
        <v>8428174.4699995257</v>
      </c>
    </row>
    <row r="6154" spans="1:5" x14ac:dyDescent="0.25">
      <c r="A6154" s="2" t="s">
        <v>242</v>
      </c>
      <c r="B6154" s="6">
        <v>43817</v>
      </c>
      <c r="C6154" s="2" t="s">
        <v>16</v>
      </c>
      <c r="D6154" s="8">
        <v>-50</v>
      </c>
      <c r="E6154" s="8">
        <f>E6153+(0-50)</f>
        <v>8428124.4699995257</v>
      </c>
    </row>
    <row r="6155" spans="1:5" x14ac:dyDescent="0.25">
      <c r="A6155" s="2" t="s">
        <v>242</v>
      </c>
      <c r="B6155" s="6">
        <v>43817</v>
      </c>
      <c r="C6155" s="2" t="s">
        <v>16</v>
      </c>
      <c r="D6155" s="8">
        <v>-250</v>
      </c>
      <c r="E6155" s="8">
        <f>E6154+(0-250)</f>
        <v>8427874.4699995257</v>
      </c>
    </row>
    <row r="6156" spans="1:5" x14ac:dyDescent="0.25">
      <c r="A6156" s="2" t="s">
        <v>242</v>
      </c>
      <c r="B6156" s="6">
        <v>43817</v>
      </c>
      <c r="C6156" s="2" t="s">
        <v>17</v>
      </c>
      <c r="D6156" s="8">
        <v>-16</v>
      </c>
      <c r="E6156" s="8">
        <f>E6155+(0-16)</f>
        <v>8427858.4699995257</v>
      </c>
    </row>
    <row r="6157" spans="1:5" x14ac:dyDescent="0.25">
      <c r="A6157" s="2" t="s">
        <v>242</v>
      </c>
      <c r="B6157" s="6">
        <v>43818</v>
      </c>
      <c r="C6157" s="2" t="s">
        <v>291</v>
      </c>
      <c r="D6157" s="8">
        <v>-52.5</v>
      </c>
      <c r="E6157" s="8">
        <f>E6156+(0-52.5)</f>
        <v>8427805.9699995257</v>
      </c>
    </row>
    <row r="6158" spans="1:5" x14ac:dyDescent="0.25">
      <c r="A6158" s="2" t="s">
        <v>242</v>
      </c>
      <c r="B6158" s="6">
        <v>43818</v>
      </c>
      <c r="C6158" s="2" t="s">
        <v>17</v>
      </c>
      <c r="D6158" s="8">
        <v>-64</v>
      </c>
      <c r="E6158" s="8">
        <f>E6157+(0-64)</f>
        <v>8427741.9699995257</v>
      </c>
    </row>
    <row r="6159" spans="1:5" x14ac:dyDescent="0.25">
      <c r="A6159" s="2" t="s">
        <v>242</v>
      </c>
      <c r="B6159" s="6">
        <v>43818</v>
      </c>
      <c r="C6159" s="2" t="s">
        <v>24</v>
      </c>
      <c r="D6159" s="8">
        <v>-250</v>
      </c>
      <c r="E6159" s="8">
        <f>E6158+(0-250)</f>
        <v>8427491.9699995257</v>
      </c>
    </row>
    <row r="6160" spans="1:5" x14ac:dyDescent="0.25">
      <c r="A6160" s="2" t="s">
        <v>242</v>
      </c>
      <c r="B6160" s="6">
        <v>43819</v>
      </c>
      <c r="C6160" s="2" t="s">
        <v>16</v>
      </c>
      <c r="D6160" s="8">
        <v>-50</v>
      </c>
      <c r="E6160" s="8">
        <f>E6159+(0-50)</f>
        <v>8427441.9699995257</v>
      </c>
    </row>
    <row r="6161" spans="1:5" x14ac:dyDescent="0.25">
      <c r="A6161" s="2" t="s">
        <v>242</v>
      </c>
      <c r="B6161" s="6">
        <v>43819</v>
      </c>
      <c r="C6161" s="2" t="s">
        <v>16</v>
      </c>
      <c r="D6161" s="8">
        <v>-300</v>
      </c>
      <c r="E6161" s="8">
        <f>E6160+(0-300)</f>
        <v>8427141.9699995257</v>
      </c>
    </row>
    <row r="6162" spans="1:5" x14ac:dyDescent="0.25">
      <c r="A6162" s="2" t="s">
        <v>242</v>
      </c>
      <c r="B6162" s="6">
        <v>43819</v>
      </c>
      <c r="C6162" s="2" t="s">
        <v>291</v>
      </c>
      <c r="D6162" s="8">
        <v>-52.5</v>
      </c>
      <c r="E6162" s="8">
        <f>E6161+(0-52.5)</f>
        <v>8427089.4699995257</v>
      </c>
    </row>
    <row r="6163" spans="1:5" x14ac:dyDescent="0.25">
      <c r="A6163" s="2" t="s">
        <v>242</v>
      </c>
      <c r="B6163" s="6">
        <v>43819</v>
      </c>
      <c r="C6163" s="2" t="s">
        <v>17</v>
      </c>
      <c r="D6163" s="8">
        <v>-88</v>
      </c>
      <c r="E6163" s="8">
        <f>E6162+(0-88)</f>
        <v>8427001.4699995257</v>
      </c>
    </row>
    <row r="6164" spans="1:5" x14ac:dyDescent="0.25">
      <c r="A6164" s="2" t="s">
        <v>242</v>
      </c>
      <c r="B6164" s="6">
        <v>43819</v>
      </c>
      <c r="C6164" s="2" t="s">
        <v>17</v>
      </c>
      <c r="D6164" s="8">
        <v>-72</v>
      </c>
      <c r="E6164" s="8">
        <f>E6163+(0-72)</f>
        <v>8426929.4699995257</v>
      </c>
    </row>
    <row r="6165" spans="1:5" x14ac:dyDescent="0.25">
      <c r="A6165" s="2" t="s">
        <v>242</v>
      </c>
      <c r="B6165" s="6">
        <v>43822</v>
      </c>
      <c r="C6165" s="2" t="s">
        <v>16</v>
      </c>
      <c r="D6165" s="8">
        <v>-50</v>
      </c>
      <c r="E6165" s="8">
        <f>E6164+(0-50)</f>
        <v>8426879.4699995257</v>
      </c>
    </row>
    <row r="6166" spans="1:5" x14ac:dyDescent="0.25">
      <c r="A6166" s="2" t="s">
        <v>242</v>
      </c>
      <c r="B6166" s="6">
        <v>43822</v>
      </c>
      <c r="C6166" s="2" t="s">
        <v>292</v>
      </c>
      <c r="D6166" s="8">
        <v>-52.5</v>
      </c>
      <c r="E6166" s="8">
        <f>E6165+(0-52.5)</f>
        <v>8426826.9699995257</v>
      </c>
    </row>
    <row r="6167" spans="1:5" x14ac:dyDescent="0.25">
      <c r="A6167" s="2" t="s">
        <v>242</v>
      </c>
      <c r="B6167" s="6">
        <v>43822</v>
      </c>
      <c r="C6167" s="2" t="s">
        <v>16</v>
      </c>
      <c r="D6167" s="8">
        <v>-50</v>
      </c>
      <c r="E6167" s="8">
        <f>E6166+(0-50)</f>
        <v>8426776.9699995257</v>
      </c>
    </row>
    <row r="6168" spans="1:5" x14ac:dyDescent="0.25">
      <c r="A6168" s="2" t="s">
        <v>242</v>
      </c>
      <c r="B6168" s="6">
        <v>43823</v>
      </c>
      <c r="C6168" s="2" t="s">
        <v>16</v>
      </c>
      <c r="D6168" s="8">
        <v>-250</v>
      </c>
      <c r="E6168" s="8">
        <f>E6167+(0-250)</f>
        <v>8426526.9699995257</v>
      </c>
    </row>
    <row r="6169" spans="1:5" x14ac:dyDescent="0.25">
      <c r="A6169" s="2" t="s">
        <v>242</v>
      </c>
      <c r="B6169" s="6">
        <v>43823</v>
      </c>
      <c r="C6169" s="2" t="s">
        <v>16</v>
      </c>
      <c r="D6169" s="8">
        <v>-50</v>
      </c>
      <c r="E6169" s="8">
        <f>E6168+(0-50)</f>
        <v>8426476.9699995257</v>
      </c>
    </row>
    <row r="6170" spans="1:5" x14ac:dyDescent="0.25">
      <c r="A6170" s="2" t="s">
        <v>242</v>
      </c>
      <c r="B6170" s="6">
        <v>43823</v>
      </c>
      <c r="C6170" s="2" t="s">
        <v>16</v>
      </c>
      <c r="D6170" s="8">
        <v>-50</v>
      </c>
      <c r="E6170" s="8">
        <f>E6169+(0-50)</f>
        <v>8426426.9699995257</v>
      </c>
    </row>
    <row r="6171" spans="1:5" x14ac:dyDescent="0.25">
      <c r="A6171" s="2" t="s">
        <v>242</v>
      </c>
      <c r="B6171" s="6">
        <v>43824</v>
      </c>
      <c r="C6171" s="2" t="s">
        <v>19</v>
      </c>
      <c r="D6171" s="8">
        <v>-44</v>
      </c>
      <c r="E6171" s="8">
        <f>E6170+(0-44)</f>
        <v>8426382.9699995257</v>
      </c>
    </row>
    <row r="6172" spans="1:5" x14ac:dyDescent="0.25">
      <c r="A6172" s="2" t="s">
        <v>242</v>
      </c>
      <c r="B6172" s="6">
        <v>43824</v>
      </c>
      <c r="C6172" s="2" t="s">
        <v>19</v>
      </c>
      <c r="D6172" s="8">
        <v>-56</v>
      </c>
      <c r="E6172" s="8">
        <f>E6171+(0-56)</f>
        <v>8426326.9699995257</v>
      </c>
    </row>
    <row r="6173" spans="1:5" x14ac:dyDescent="0.25">
      <c r="A6173" s="2" t="s">
        <v>242</v>
      </c>
      <c r="B6173" s="6">
        <v>43824</v>
      </c>
      <c r="C6173" s="2" t="s">
        <v>293</v>
      </c>
      <c r="D6173" s="8">
        <v>-52.5</v>
      </c>
      <c r="E6173" s="8">
        <f>E6172+(0-52.5)</f>
        <v>8426274.4699995257</v>
      </c>
    </row>
    <row r="6174" spans="1:5" x14ac:dyDescent="0.25">
      <c r="A6174" s="2" t="s">
        <v>242</v>
      </c>
      <c r="B6174" s="6">
        <v>43826</v>
      </c>
      <c r="C6174" s="2" t="s">
        <v>16</v>
      </c>
      <c r="D6174" s="8">
        <v>-300</v>
      </c>
      <c r="E6174" s="8">
        <f>E6173+(0-300)</f>
        <v>8425974.4699995257</v>
      </c>
    </row>
    <row r="6175" spans="1:5" x14ac:dyDescent="0.25">
      <c r="A6175" s="2" t="s">
        <v>242</v>
      </c>
      <c r="B6175" s="6">
        <v>43827</v>
      </c>
      <c r="C6175" s="2" t="s">
        <v>17</v>
      </c>
      <c r="D6175" s="8">
        <v>-4</v>
      </c>
      <c r="E6175" s="8">
        <f>E6174+(0-4)</f>
        <v>8425970.4699995257</v>
      </c>
    </row>
    <row r="6176" spans="1:5" x14ac:dyDescent="0.25">
      <c r="A6176" s="2" t="s">
        <v>242</v>
      </c>
      <c r="B6176" s="6">
        <v>43827</v>
      </c>
      <c r="C6176" s="2" t="s">
        <v>17</v>
      </c>
      <c r="D6176" s="8">
        <v>-40</v>
      </c>
      <c r="E6176" s="8">
        <f>E6175+(0-40)</f>
        <v>8425930.4699995257</v>
      </c>
    </row>
    <row r="6177" spans="1:5" x14ac:dyDescent="0.25">
      <c r="A6177" s="2" t="s">
        <v>242</v>
      </c>
      <c r="B6177" s="6">
        <v>43829</v>
      </c>
      <c r="C6177" s="2" t="s">
        <v>294</v>
      </c>
      <c r="D6177" s="8">
        <v>-210</v>
      </c>
      <c r="E6177" s="8">
        <f>E6176+(0-210)</f>
        <v>8425720.4699995257</v>
      </c>
    </row>
    <row r="6178" spans="1:5" x14ac:dyDescent="0.25">
      <c r="A6178" s="2" t="s">
        <v>242</v>
      </c>
      <c r="B6178" s="6">
        <v>43829</v>
      </c>
      <c r="C6178" s="2" t="s">
        <v>16</v>
      </c>
      <c r="D6178" s="8">
        <v>-350</v>
      </c>
      <c r="E6178" s="8">
        <f>E6177+(0-350)</f>
        <v>8425370.4699995257</v>
      </c>
    </row>
    <row r="6179" spans="1:5" x14ac:dyDescent="0.25">
      <c r="A6179" s="2" t="s">
        <v>242</v>
      </c>
      <c r="B6179" s="6">
        <v>43831</v>
      </c>
      <c r="C6179" s="2" t="s">
        <v>17</v>
      </c>
      <c r="D6179" s="8">
        <v>-24</v>
      </c>
      <c r="E6179" s="8">
        <f>E6178+(0-24)</f>
        <v>8425346.4699995257</v>
      </c>
    </row>
    <row r="6180" spans="1:5" x14ac:dyDescent="0.25">
      <c r="A6180" s="2" t="s">
        <v>242</v>
      </c>
      <c r="B6180" s="6">
        <v>43832</v>
      </c>
      <c r="C6180" s="2" t="s">
        <v>16</v>
      </c>
      <c r="D6180" s="8">
        <v>-50</v>
      </c>
      <c r="E6180" s="8">
        <f>E6179+(0-50)</f>
        <v>8425296.4699995257</v>
      </c>
    </row>
    <row r="6181" spans="1:5" x14ac:dyDescent="0.25">
      <c r="A6181" s="2" t="s">
        <v>242</v>
      </c>
      <c r="B6181" s="6">
        <v>43832</v>
      </c>
      <c r="C6181" s="2" t="s">
        <v>16</v>
      </c>
      <c r="D6181" s="8">
        <v>-50</v>
      </c>
      <c r="E6181" s="8">
        <f>E6180+(0-50)</f>
        <v>8425246.4699995257</v>
      </c>
    </row>
    <row r="6182" spans="1:5" x14ac:dyDescent="0.25">
      <c r="A6182" s="2" t="s">
        <v>242</v>
      </c>
      <c r="B6182" s="6">
        <v>43833</v>
      </c>
      <c r="C6182" s="2" t="s">
        <v>16</v>
      </c>
      <c r="D6182" s="8">
        <v>-50</v>
      </c>
      <c r="E6182" s="8">
        <f>E6181+(0-50)</f>
        <v>8425196.4699995257</v>
      </c>
    </row>
    <row r="6183" spans="1:5" x14ac:dyDescent="0.25">
      <c r="A6183" s="2" t="s">
        <v>242</v>
      </c>
      <c r="B6183" s="6">
        <v>43833</v>
      </c>
      <c r="C6183" s="2" t="s">
        <v>17</v>
      </c>
      <c r="D6183" s="8">
        <v>-12</v>
      </c>
      <c r="E6183" s="8">
        <f>E6182+(0-12)</f>
        <v>8425184.4699995257</v>
      </c>
    </row>
    <row r="6184" spans="1:5" x14ac:dyDescent="0.25">
      <c r="A6184" s="2" t="s">
        <v>242</v>
      </c>
      <c r="B6184" s="6">
        <v>43834</v>
      </c>
      <c r="C6184" s="2" t="s">
        <v>17</v>
      </c>
      <c r="D6184" s="8">
        <v>-8</v>
      </c>
      <c r="E6184" s="8">
        <f>E6183+(0-8)</f>
        <v>8425176.4699995257</v>
      </c>
    </row>
    <row r="6185" spans="1:5" x14ac:dyDescent="0.25">
      <c r="A6185" s="2" t="s">
        <v>242</v>
      </c>
      <c r="B6185" s="6">
        <v>43836</v>
      </c>
      <c r="C6185" s="2" t="s">
        <v>16</v>
      </c>
      <c r="D6185" s="8">
        <v>-100</v>
      </c>
      <c r="E6185" s="8">
        <f>E6184+(0-100)</f>
        <v>8425076.4699995257</v>
      </c>
    </row>
    <row r="6186" spans="1:5" x14ac:dyDescent="0.25">
      <c r="A6186" s="2" t="s">
        <v>242</v>
      </c>
      <c r="B6186" s="6">
        <v>43837</v>
      </c>
      <c r="C6186" s="2" t="s">
        <v>81</v>
      </c>
      <c r="D6186" s="8">
        <v>-26.25</v>
      </c>
      <c r="E6186" s="8">
        <f>E6185+(0-26.25)</f>
        <v>8425050.2199995257</v>
      </c>
    </row>
    <row r="6187" spans="1:5" x14ac:dyDescent="0.25">
      <c r="A6187" s="2" t="s">
        <v>242</v>
      </c>
      <c r="B6187" s="6">
        <v>43853</v>
      </c>
      <c r="C6187" s="2" t="s">
        <v>52</v>
      </c>
      <c r="D6187" s="8">
        <v>-50</v>
      </c>
      <c r="E6187" s="8">
        <f>E6186+(0-50)</f>
        <v>8425000.2199995257</v>
      </c>
    </row>
    <row r="6188" spans="1:5" x14ac:dyDescent="0.25">
      <c r="A6188" s="2" t="s">
        <v>242</v>
      </c>
      <c r="B6188" s="6">
        <v>43865</v>
      </c>
      <c r="C6188" s="2" t="s">
        <v>16</v>
      </c>
      <c r="D6188" s="8">
        <v>-100</v>
      </c>
      <c r="E6188" s="8">
        <f>E6187+(0-100)</f>
        <v>8424900.2199995257</v>
      </c>
    </row>
    <row r="6189" spans="1:5" x14ac:dyDescent="0.25">
      <c r="A6189" s="2" t="s">
        <v>242</v>
      </c>
      <c r="B6189" s="6">
        <v>43866</v>
      </c>
      <c r="C6189" s="2" t="s">
        <v>16</v>
      </c>
      <c r="D6189" s="8">
        <v>-100</v>
      </c>
      <c r="E6189" s="8">
        <f>E6188+(0-100)</f>
        <v>8424800.2199995257</v>
      </c>
    </row>
    <row r="6190" spans="1:5" x14ac:dyDescent="0.25">
      <c r="A6190" s="2" t="s">
        <v>242</v>
      </c>
      <c r="B6190" s="6">
        <v>43866</v>
      </c>
      <c r="C6190" s="2" t="s">
        <v>16</v>
      </c>
      <c r="D6190" s="8">
        <v>-200</v>
      </c>
      <c r="E6190" s="8">
        <f>E6189+(0-200)</f>
        <v>8424600.2199995257</v>
      </c>
    </row>
    <row r="6191" spans="1:5" x14ac:dyDescent="0.25">
      <c r="A6191" s="2" t="s">
        <v>242</v>
      </c>
      <c r="B6191" s="6">
        <v>43867</v>
      </c>
      <c r="C6191" s="2" t="s">
        <v>295</v>
      </c>
      <c r="D6191" s="8">
        <v>-53.75</v>
      </c>
      <c r="E6191" s="8">
        <f>E6190+(0-53.75)</f>
        <v>8424546.4699995257</v>
      </c>
    </row>
    <row r="6192" spans="1:5" x14ac:dyDescent="0.25">
      <c r="A6192" s="2" t="s">
        <v>242</v>
      </c>
      <c r="B6192" s="6">
        <v>43867</v>
      </c>
      <c r="C6192" s="2" t="s">
        <v>16</v>
      </c>
      <c r="D6192" s="8">
        <v>-150</v>
      </c>
      <c r="E6192" s="8">
        <f>E6191+(0-150)</f>
        <v>8424396.4699995257</v>
      </c>
    </row>
    <row r="6193" spans="1:5" x14ac:dyDescent="0.25">
      <c r="A6193" s="2" t="s">
        <v>242</v>
      </c>
      <c r="B6193" s="6">
        <v>43868</v>
      </c>
      <c r="C6193" s="2" t="s">
        <v>17</v>
      </c>
      <c r="D6193" s="8">
        <v>-32</v>
      </c>
      <c r="E6193" s="8">
        <f>E6192+(0-32)</f>
        <v>8424364.4699995257</v>
      </c>
    </row>
    <row r="6194" spans="1:5" x14ac:dyDescent="0.25">
      <c r="A6194" s="2" t="s">
        <v>242</v>
      </c>
      <c r="B6194" s="6">
        <v>43868</v>
      </c>
      <c r="C6194" s="2" t="s">
        <v>16</v>
      </c>
      <c r="D6194" s="8">
        <v>-350</v>
      </c>
      <c r="E6194" s="8">
        <f>E6193+(0-350)</f>
        <v>8424014.4699995257</v>
      </c>
    </row>
    <row r="6195" spans="1:5" x14ac:dyDescent="0.25">
      <c r="A6195" s="2" t="s">
        <v>242</v>
      </c>
      <c r="B6195" s="6">
        <v>43869</v>
      </c>
      <c r="C6195" s="2" t="s">
        <v>17</v>
      </c>
      <c r="D6195" s="8">
        <v>-32</v>
      </c>
      <c r="E6195" s="8">
        <f>E6194+(0-32)</f>
        <v>8423982.4699995257</v>
      </c>
    </row>
    <row r="6196" spans="1:5" x14ac:dyDescent="0.25">
      <c r="A6196" s="2" t="s">
        <v>242</v>
      </c>
      <c r="B6196" s="6">
        <v>43871</v>
      </c>
      <c r="C6196" s="2" t="s">
        <v>17</v>
      </c>
      <c r="D6196" s="8">
        <v>-32</v>
      </c>
      <c r="E6196" s="8">
        <f>E6195+(0-32)</f>
        <v>8423950.4699995257</v>
      </c>
    </row>
    <row r="6197" spans="1:5" x14ac:dyDescent="0.25">
      <c r="A6197" s="2" t="s">
        <v>242</v>
      </c>
      <c r="B6197" s="6">
        <v>43871</v>
      </c>
      <c r="C6197" s="2" t="s">
        <v>16</v>
      </c>
      <c r="D6197" s="8">
        <v>-50</v>
      </c>
      <c r="E6197" s="8">
        <f>E6196+(0-50)</f>
        <v>8423900.4699995257</v>
      </c>
    </row>
    <row r="6198" spans="1:5" x14ac:dyDescent="0.25">
      <c r="A6198" s="2" t="s">
        <v>242</v>
      </c>
      <c r="B6198" s="6">
        <v>43871</v>
      </c>
      <c r="C6198" s="2" t="s">
        <v>16</v>
      </c>
      <c r="D6198" s="8">
        <v>-300</v>
      </c>
      <c r="E6198" s="8">
        <f>E6197+(0-300)</f>
        <v>8423600.4699995257</v>
      </c>
    </row>
    <row r="6199" spans="1:5" x14ac:dyDescent="0.25">
      <c r="A6199" s="2" t="s">
        <v>242</v>
      </c>
      <c r="B6199" s="6">
        <v>43872</v>
      </c>
      <c r="C6199" s="2" t="s">
        <v>16</v>
      </c>
      <c r="D6199" s="8">
        <v>-250</v>
      </c>
      <c r="E6199" s="8">
        <f>E6198+(0-250)</f>
        <v>8423350.4699995257</v>
      </c>
    </row>
    <row r="6200" spans="1:5" x14ac:dyDescent="0.25">
      <c r="A6200" s="2" t="s">
        <v>242</v>
      </c>
      <c r="B6200" s="6">
        <v>43873</v>
      </c>
      <c r="C6200" s="2" t="s">
        <v>16</v>
      </c>
      <c r="D6200" s="8">
        <v>-200</v>
      </c>
      <c r="E6200" s="8">
        <f>E6199+(0-200)</f>
        <v>8423150.4699995257</v>
      </c>
    </row>
    <row r="6201" spans="1:5" x14ac:dyDescent="0.25">
      <c r="A6201" s="2" t="s">
        <v>242</v>
      </c>
      <c r="B6201" s="6">
        <v>43874</v>
      </c>
      <c r="C6201" s="2" t="s">
        <v>16</v>
      </c>
      <c r="D6201" s="8">
        <v>-200</v>
      </c>
      <c r="E6201" s="8">
        <f>E6200+(0-200)</f>
        <v>8422950.4699995257</v>
      </c>
    </row>
    <row r="6202" spans="1:5" x14ac:dyDescent="0.25">
      <c r="A6202" s="2" t="s">
        <v>242</v>
      </c>
      <c r="B6202" s="6">
        <v>43875</v>
      </c>
      <c r="C6202" s="2" t="s">
        <v>17</v>
      </c>
      <c r="D6202" s="8">
        <v>-44</v>
      </c>
      <c r="E6202" s="8">
        <f>E6201+(0-44)</f>
        <v>8422906.4699995257</v>
      </c>
    </row>
    <row r="6203" spans="1:5" x14ac:dyDescent="0.25">
      <c r="A6203" s="2" t="s">
        <v>242</v>
      </c>
      <c r="B6203" s="6">
        <v>43875</v>
      </c>
      <c r="C6203" s="2" t="s">
        <v>17</v>
      </c>
      <c r="D6203" s="8">
        <v>-36</v>
      </c>
      <c r="E6203" s="8">
        <f>E6202+(0-36)</f>
        <v>8422870.4699995257</v>
      </c>
    </row>
    <row r="6204" spans="1:5" x14ac:dyDescent="0.25">
      <c r="A6204" s="2" t="s">
        <v>242</v>
      </c>
      <c r="B6204" s="6">
        <v>43875</v>
      </c>
      <c r="C6204" s="2" t="s">
        <v>16</v>
      </c>
      <c r="D6204" s="8">
        <v>-300</v>
      </c>
      <c r="E6204" s="8">
        <f>E6203+(0-300)</f>
        <v>8422570.4699995257</v>
      </c>
    </row>
    <row r="6205" spans="1:5" x14ac:dyDescent="0.25">
      <c r="A6205" s="2" t="s">
        <v>242</v>
      </c>
      <c r="B6205" s="6">
        <v>43875</v>
      </c>
      <c r="C6205" s="2" t="s">
        <v>17</v>
      </c>
      <c r="D6205" s="8">
        <v>-32</v>
      </c>
      <c r="E6205" s="8">
        <f>E6204+(0-32)</f>
        <v>8422538.4699995257</v>
      </c>
    </row>
    <row r="6206" spans="1:5" x14ac:dyDescent="0.25">
      <c r="A6206" s="2" t="s">
        <v>242</v>
      </c>
      <c r="B6206" s="6">
        <v>43878</v>
      </c>
      <c r="C6206" s="2" t="s">
        <v>71</v>
      </c>
      <c r="D6206" s="8">
        <v>-53.75</v>
      </c>
      <c r="E6206" s="8">
        <f>E6205+(0-53.75)</f>
        <v>8422484.7199995257</v>
      </c>
    </row>
    <row r="6207" spans="1:5" x14ac:dyDescent="0.25">
      <c r="A6207" s="2" t="s">
        <v>242</v>
      </c>
      <c r="B6207" s="6">
        <v>43878</v>
      </c>
      <c r="C6207" s="2" t="s">
        <v>16</v>
      </c>
      <c r="D6207" s="8">
        <v>-100</v>
      </c>
      <c r="E6207" s="8">
        <f>E6206+(0-100)</f>
        <v>8422384.7199995257</v>
      </c>
    </row>
    <row r="6208" spans="1:5" x14ac:dyDescent="0.25">
      <c r="A6208" s="2" t="s">
        <v>242</v>
      </c>
      <c r="B6208" s="6">
        <v>43879</v>
      </c>
      <c r="C6208" s="2" t="s">
        <v>16</v>
      </c>
      <c r="D6208" s="8">
        <v>-50</v>
      </c>
      <c r="E6208" s="8">
        <f>E6207+(0-50)</f>
        <v>8422334.7199995257</v>
      </c>
    </row>
    <row r="6209" spans="1:5" x14ac:dyDescent="0.25">
      <c r="A6209" s="2" t="s">
        <v>242</v>
      </c>
      <c r="B6209" s="6">
        <v>43879</v>
      </c>
      <c r="C6209" s="2" t="s">
        <v>16</v>
      </c>
      <c r="D6209" s="8">
        <v>-50</v>
      </c>
      <c r="E6209" s="8">
        <f>E6208+(0-50)</f>
        <v>8422284.7199995257</v>
      </c>
    </row>
    <row r="6210" spans="1:5" x14ac:dyDescent="0.25">
      <c r="A6210" s="2" t="s">
        <v>242</v>
      </c>
      <c r="B6210" s="6">
        <v>43879</v>
      </c>
      <c r="C6210" s="2" t="s">
        <v>16</v>
      </c>
      <c r="D6210" s="8">
        <v>-150</v>
      </c>
      <c r="E6210" s="8">
        <f>E6209+(0-150)</f>
        <v>8422134.7199995257</v>
      </c>
    </row>
    <row r="6211" spans="1:5" x14ac:dyDescent="0.25">
      <c r="A6211" s="2" t="s">
        <v>242</v>
      </c>
      <c r="B6211" s="6">
        <v>43880</v>
      </c>
      <c r="C6211" s="2" t="s">
        <v>17</v>
      </c>
      <c r="D6211" s="8">
        <v>-8</v>
      </c>
      <c r="E6211" s="8">
        <f>E6210+(0-8)</f>
        <v>8422126.7199995257</v>
      </c>
    </row>
    <row r="6212" spans="1:5" x14ac:dyDescent="0.25">
      <c r="A6212" s="2" t="s">
        <v>242</v>
      </c>
      <c r="B6212" s="6">
        <v>43880</v>
      </c>
      <c r="C6212" s="2" t="s">
        <v>17</v>
      </c>
      <c r="D6212" s="8">
        <v>-76</v>
      </c>
      <c r="E6212" s="8">
        <f>E6211+(0-76)</f>
        <v>8422050.7199995257</v>
      </c>
    </row>
    <row r="6213" spans="1:5" x14ac:dyDescent="0.25">
      <c r="A6213" s="2" t="s">
        <v>242</v>
      </c>
      <c r="B6213" s="6">
        <v>43880</v>
      </c>
      <c r="C6213" s="2" t="s">
        <v>17</v>
      </c>
      <c r="D6213" s="8">
        <v>-56</v>
      </c>
      <c r="E6213" s="8">
        <f>E6212+(0-56)</f>
        <v>8421994.7199995257</v>
      </c>
    </row>
    <row r="6214" spans="1:5" x14ac:dyDescent="0.25">
      <c r="A6214" s="2" t="s">
        <v>242</v>
      </c>
      <c r="B6214" s="6">
        <v>43880</v>
      </c>
      <c r="C6214" s="2" t="s">
        <v>16</v>
      </c>
      <c r="D6214" s="8">
        <v>-150</v>
      </c>
      <c r="E6214" s="8">
        <f>E6213+(0-150)</f>
        <v>8421844.7199995257</v>
      </c>
    </row>
    <row r="6215" spans="1:5" x14ac:dyDescent="0.25">
      <c r="A6215" s="2" t="s">
        <v>242</v>
      </c>
      <c r="B6215" s="6">
        <v>43880</v>
      </c>
      <c r="C6215" s="2" t="s">
        <v>17</v>
      </c>
      <c r="D6215" s="8">
        <v>-80</v>
      </c>
      <c r="E6215" s="8">
        <f>E6214+(0-80)</f>
        <v>8421764.7199995257</v>
      </c>
    </row>
    <row r="6216" spans="1:5" x14ac:dyDescent="0.25">
      <c r="A6216" s="2" t="s">
        <v>242</v>
      </c>
      <c r="B6216" s="6">
        <v>43881</v>
      </c>
      <c r="C6216" s="2" t="s">
        <v>17</v>
      </c>
      <c r="D6216" s="8">
        <v>-44</v>
      </c>
      <c r="E6216" s="8">
        <f>E6215+(0-44)</f>
        <v>8421720.7199995257</v>
      </c>
    </row>
    <row r="6217" spans="1:5" x14ac:dyDescent="0.25">
      <c r="A6217" s="2" t="s">
        <v>242</v>
      </c>
      <c r="B6217" s="6">
        <v>43881</v>
      </c>
      <c r="C6217" s="2" t="s">
        <v>24</v>
      </c>
      <c r="D6217" s="8">
        <v>-150</v>
      </c>
      <c r="E6217" s="8">
        <f>E6216+(0-150)</f>
        <v>8421570.7199995257</v>
      </c>
    </row>
    <row r="6218" spans="1:5" x14ac:dyDescent="0.25">
      <c r="A6218" s="2" t="s">
        <v>242</v>
      </c>
      <c r="B6218" s="6">
        <v>43882</v>
      </c>
      <c r="C6218" s="2" t="s">
        <v>268</v>
      </c>
      <c r="D6218" s="8">
        <v>-53.75</v>
      </c>
      <c r="E6218" s="8">
        <f>E6217+(0-53.75)</f>
        <v>8421516.9699995257</v>
      </c>
    </row>
    <row r="6219" spans="1:5" x14ac:dyDescent="0.25">
      <c r="A6219" s="2" t="s">
        <v>242</v>
      </c>
      <c r="B6219" s="6">
        <v>43882</v>
      </c>
      <c r="C6219" s="2" t="s">
        <v>17</v>
      </c>
      <c r="D6219" s="8">
        <v>-20</v>
      </c>
      <c r="E6219" s="8">
        <f>E6218+(0-20)</f>
        <v>8421496.9699995257</v>
      </c>
    </row>
    <row r="6220" spans="1:5" x14ac:dyDescent="0.25">
      <c r="A6220" s="2" t="s">
        <v>242</v>
      </c>
      <c r="B6220" s="6">
        <v>43882</v>
      </c>
      <c r="C6220" s="2" t="s">
        <v>16</v>
      </c>
      <c r="D6220" s="8">
        <v>-50</v>
      </c>
      <c r="E6220" s="8">
        <f>E6219+(0-50)</f>
        <v>8421446.9699995257</v>
      </c>
    </row>
    <row r="6221" spans="1:5" x14ac:dyDescent="0.25">
      <c r="A6221" s="2" t="s">
        <v>242</v>
      </c>
      <c r="B6221" s="6">
        <v>43882</v>
      </c>
      <c r="C6221" s="2" t="s">
        <v>16</v>
      </c>
      <c r="D6221" s="8">
        <v>-100</v>
      </c>
      <c r="E6221" s="8">
        <f>E6220+(0-100)</f>
        <v>8421346.9699995257</v>
      </c>
    </row>
    <row r="6222" spans="1:5" x14ac:dyDescent="0.25">
      <c r="A6222" s="2" t="s">
        <v>242</v>
      </c>
      <c r="B6222" s="6">
        <v>43883</v>
      </c>
      <c r="C6222" s="2" t="s">
        <v>19</v>
      </c>
      <c r="D6222" s="8">
        <v>-52</v>
      </c>
      <c r="E6222" s="8">
        <f>E6221+(0-52)</f>
        <v>8421294.9699995257</v>
      </c>
    </row>
    <row r="6223" spans="1:5" x14ac:dyDescent="0.25">
      <c r="A6223" s="2" t="s">
        <v>242</v>
      </c>
      <c r="B6223" s="6">
        <v>43885</v>
      </c>
      <c r="C6223" s="2" t="s">
        <v>16</v>
      </c>
      <c r="D6223" s="8">
        <v>-50</v>
      </c>
      <c r="E6223" s="8">
        <f>E6222+(0-50)</f>
        <v>8421244.9699995257</v>
      </c>
    </row>
    <row r="6224" spans="1:5" x14ac:dyDescent="0.25">
      <c r="A6224" s="2" t="s">
        <v>242</v>
      </c>
      <c r="B6224" s="6">
        <v>43885</v>
      </c>
      <c r="C6224" s="2" t="s">
        <v>16</v>
      </c>
      <c r="D6224" s="8">
        <v>-50</v>
      </c>
      <c r="E6224" s="8">
        <f>E6223+(0-50)</f>
        <v>8421194.9699995257</v>
      </c>
    </row>
    <row r="6225" spans="1:5" x14ac:dyDescent="0.25">
      <c r="A6225" s="2" t="s">
        <v>242</v>
      </c>
      <c r="B6225" s="6">
        <v>43886</v>
      </c>
      <c r="C6225" s="2" t="s">
        <v>16</v>
      </c>
      <c r="D6225" s="8">
        <v>-50</v>
      </c>
      <c r="E6225" s="8">
        <f>E6224+(0-50)</f>
        <v>8421144.9699995257</v>
      </c>
    </row>
    <row r="6226" spans="1:5" x14ac:dyDescent="0.25">
      <c r="A6226" s="2" t="s">
        <v>242</v>
      </c>
      <c r="B6226" s="6">
        <v>43886</v>
      </c>
      <c r="C6226" s="2" t="s">
        <v>16</v>
      </c>
      <c r="D6226" s="8">
        <v>-50</v>
      </c>
      <c r="E6226" s="8">
        <f>E6225+(0-50)</f>
        <v>8421094.9699995257</v>
      </c>
    </row>
    <row r="6227" spans="1:5" x14ac:dyDescent="0.25">
      <c r="A6227" s="2" t="s">
        <v>242</v>
      </c>
      <c r="B6227" s="6">
        <v>43886</v>
      </c>
      <c r="C6227" s="2" t="s">
        <v>16</v>
      </c>
      <c r="D6227" s="8">
        <v>-150</v>
      </c>
      <c r="E6227" s="8">
        <f>E6226+(0-150)</f>
        <v>8420944.9699995257</v>
      </c>
    </row>
    <row r="6228" spans="1:5" x14ac:dyDescent="0.25">
      <c r="A6228" s="2" t="s">
        <v>242</v>
      </c>
      <c r="B6228" s="6">
        <v>43887</v>
      </c>
      <c r="C6228" s="2" t="s">
        <v>296</v>
      </c>
      <c r="D6228" s="8">
        <v>-53.75</v>
      </c>
      <c r="E6228" s="8">
        <f>E6227+(0-53.75)</f>
        <v>8420891.2199995257</v>
      </c>
    </row>
    <row r="6229" spans="1:5" x14ac:dyDescent="0.25">
      <c r="A6229" s="2" t="s">
        <v>242</v>
      </c>
      <c r="B6229" s="6">
        <v>43887</v>
      </c>
      <c r="C6229" s="2" t="s">
        <v>16</v>
      </c>
      <c r="D6229" s="8">
        <v>-50</v>
      </c>
      <c r="E6229" s="8">
        <f>E6228+(0-50)</f>
        <v>8420841.2199995257</v>
      </c>
    </row>
    <row r="6230" spans="1:5" x14ac:dyDescent="0.25">
      <c r="A6230" s="2" t="s">
        <v>242</v>
      </c>
      <c r="B6230" s="6">
        <v>43888</v>
      </c>
      <c r="C6230" s="2" t="s">
        <v>18</v>
      </c>
      <c r="D6230" s="8">
        <v>-53.75</v>
      </c>
      <c r="E6230" s="8">
        <f>E6229+(0-53.75)</f>
        <v>8420787.4699995257</v>
      </c>
    </row>
    <row r="6231" spans="1:5" x14ac:dyDescent="0.25">
      <c r="A6231" s="2" t="s">
        <v>242</v>
      </c>
      <c r="B6231" s="6">
        <v>43888</v>
      </c>
      <c r="C6231" s="2" t="s">
        <v>16</v>
      </c>
      <c r="D6231" s="8">
        <v>-50</v>
      </c>
      <c r="E6231" s="8">
        <f>E6230+(0-50)</f>
        <v>8420737.4699995257</v>
      </c>
    </row>
    <row r="6232" spans="1:5" x14ac:dyDescent="0.25">
      <c r="A6232" s="2" t="s">
        <v>242</v>
      </c>
      <c r="B6232" s="6">
        <v>43888</v>
      </c>
      <c r="C6232" s="2" t="s">
        <v>16</v>
      </c>
      <c r="D6232" s="8">
        <v>-150</v>
      </c>
      <c r="E6232" s="8">
        <f>E6231+(0-150)</f>
        <v>8420587.4699995257</v>
      </c>
    </row>
    <row r="6233" spans="1:5" x14ac:dyDescent="0.25">
      <c r="A6233" s="2" t="s">
        <v>242</v>
      </c>
      <c r="B6233" s="6">
        <v>43889</v>
      </c>
      <c r="C6233" s="2" t="s">
        <v>17</v>
      </c>
      <c r="D6233" s="8">
        <v>-4</v>
      </c>
      <c r="E6233" s="8">
        <f>E6232+(0-4)</f>
        <v>8420583.4699995257</v>
      </c>
    </row>
    <row r="6234" spans="1:5" x14ac:dyDescent="0.25">
      <c r="A6234" s="2" t="s">
        <v>242</v>
      </c>
      <c r="B6234" s="6">
        <v>43889</v>
      </c>
      <c r="C6234" s="2" t="s">
        <v>17</v>
      </c>
      <c r="D6234" s="8">
        <v>-16</v>
      </c>
      <c r="E6234" s="8">
        <f>E6233+(0-16)</f>
        <v>8420567.4699995257</v>
      </c>
    </row>
    <row r="6235" spans="1:5" x14ac:dyDescent="0.25">
      <c r="A6235" s="2" t="s">
        <v>242</v>
      </c>
      <c r="B6235" s="6">
        <v>43889</v>
      </c>
      <c r="C6235" s="2" t="s">
        <v>17</v>
      </c>
      <c r="D6235" s="8">
        <v>-60</v>
      </c>
      <c r="E6235" s="8">
        <f>E6234+(0-60)</f>
        <v>8420507.4699995257</v>
      </c>
    </row>
    <row r="6236" spans="1:5" x14ac:dyDescent="0.25">
      <c r="A6236" s="2" t="s">
        <v>242</v>
      </c>
      <c r="B6236" s="6">
        <v>43889</v>
      </c>
      <c r="C6236" s="2" t="s">
        <v>17</v>
      </c>
      <c r="D6236" s="8">
        <v>-28</v>
      </c>
      <c r="E6236" s="8">
        <f>E6235+(0-28)</f>
        <v>8420479.4699995257</v>
      </c>
    </row>
    <row r="6237" spans="1:5" x14ac:dyDescent="0.25">
      <c r="A6237" s="2" t="s">
        <v>242</v>
      </c>
      <c r="B6237" s="6">
        <v>43889</v>
      </c>
      <c r="C6237" s="2" t="s">
        <v>32</v>
      </c>
      <c r="D6237" s="8">
        <v>-53.75</v>
      </c>
      <c r="E6237" s="8">
        <f>E6236+(0-53.75)</f>
        <v>8420425.7199995257</v>
      </c>
    </row>
    <row r="6238" spans="1:5" x14ac:dyDescent="0.25">
      <c r="A6238" s="2" t="s">
        <v>242</v>
      </c>
      <c r="B6238" s="6">
        <v>43889</v>
      </c>
      <c r="C6238" s="2" t="s">
        <v>16</v>
      </c>
      <c r="D6238" s="8">
        <v>-50</v>
      </c>
      <c r="E6238" s="8">
        <f>E6237+(0-50)</f>
        <v>8420375.7199995257</v>
      </c>
    </row>
    <row r="6239" spans="1:5" x14ac:dyDescent="0.25">
      <c r="A6239" s="2" t="s">
        <v>242</v>
      </c>
      <c r="B6239" s="6">
        <v>43889</v>
      </c>
      <c r="C6239" s="2" t="s">
        <v>16</v>
      </c>
      <c r="D6239" s="8">
        <v>-150</v>
      </c>
      <c r="E6239" s="8">
        <f>E6238+(0-150)</f>
        <v>8420225.7199995257</v>
      </c>
    </row>
    <row r="6240" spans="1:5" x14ac:dyDescent="0.25">
      <c r="A6240" s="2" t="s">
        <v>242</v>
      </c>
      <c r="B6240" s="6">
        <v>43892</v>
      </c>
      <c r="C6240" s="2" t="s">
        <v>17</v>
      </c>
      <c r="D6240" s="8">
        <v>-64</v>
      </c>
      <c r="E6240" s="8">
        <f>E6239+(0-64)</f>
        <v>8420161.7199995257</v>
      </c>
    </row>
    <row r="6241" spans="1:5" x14ac:dyDescent="0.25">
      <c r="A6241" s="2" t="s">
        <v>242</v>
      </c>
      <c r="B6241" s="6">
        <v>43892</v>
      </c>
      <c r="C6241" s="2" t="s">
        <v>19</v>
      </c>
      <c r="D6241" s="8">
        <v>-40</v>
      </c>
      <c r="E6241" s="8">
        <f>E6240+(0-40)</f>
        <v>8420121.7199995257</v>
      </c>
    </row>
    <row r="6242" spans="1:5" x14ac:dyDescent="0.25">
      <c r="A6242" s="2" t="s">
        <v>242</v>
      </c>
      <c r="B6242" s="6">
        <v>43892</v>
      </c>
      <c r="C6242" s="2" t="s">
        <v>19</v>
      </c>
      <c r="D6242" s="8">
        <v>-4</v>
      </c>
      <c r="E6242" s="8">
        <f>E6241+(0-4)</f>
        <v>8420117.7199995257</v>
      </c>
    </row>
    <row r="6243" spans="1:5" x14ac:dyDescent="0.25">
      <c r="A6243" s="2" t="s">
        <v>242</v>
      </c>
      <c r="B6243" s="6">
        <v>43892</v>
      </c>
      <c r="C6243" s="2" t="s">
        <v>16</v>
      </c>
      <c r="D6243" s="8">
        <v>-50</v>
      </c>
      <c r="E6243" s="8">
        <f>E6242+(0-50)</f>
        <v>8420067.7199995257</v>
      </c>
    </row>
    <row r="6244" spans="1:5" x14ac:dyDescent="0.25">
      <c r="A6244" s="2" t="s">
        <v>242</v>
      </c>
      <c r="B6244" s="6">
        <v>43892</v>
      </c>
      <c r="C6244" s="2" t="s">
        <v>16</v>
      </c>
      <c r="D6244" s="8">
        <v>-350</v>
      </c>
      <c r="E6244" s="8">
        <f>E6243+(0-350)</f>
        <v>8419717.7199995257</v>
      </c>
    </row>
    <row r="6245" spans="1:5" x14ac:dyDescent="0.25">
      <c r="A6245" s="2" t="s">
        <v>242</v>
      </c>
      <c r="B6245" s="6">
        <v>43892</v>
      </c>
      <c r="C6245" s="2" t="s">
        <v>16</v>
      </c>
      <c r="D6245" s="8">
        <v>-50</v>
      </c>
      <c r="E6245" s="8">
        <f>E6244+(0-50)</f>
        <v>8419667.7199995257</v>
      </c>
    </row>
    <row r="6246" spans="1:5" x14ac:dyDescent="0.25">
      <c r="A6246" s="2" t="s">
        <v>242</v>
      </c>
      <c r="B6246" s="6">
        <v>43893</v>
      </c>
      <c r="C6246" s="2" t="s">
        <v>19</v>
      </c>
      <c r="D6246" s="8">
        <v>-44</v>
      </c>
      <c r="E6246" s="8">
        <f>E6245+(0-44)</f>
        <v>8419623.7199995257</v>
      </c>
    </row>
    <row r="6247" spans="1:5" x14ac:dyDescent="0.25">
      <c r="A6247" s="2" t="s">
        <v>242</v>
      </c>
      <c r="B6247" s="6">
        <v>43893</v>
      </c>
      <c r="C6247" s="2" t="s">
        <v>19</v>
      </c>
      <c r="D6247" s="8">
        <v>-150</v>
      </c>
      <c r="E6247" s="8">
        <f>E6246+(0-150)</f>
        <v>8419473.7199995257</v>
      </c>
    </row>
    <row r="6248" spans="1:5" x14ac:dyDescent="0.25">
      <c r="A6248" s="2" t="s">
        <v>242</v>
      </c>
      <c r="B6248" s="6">
        <v>43894</v>
      </c>
      <c r="C6248" s="2" t="s">
        <v>19</v>
      </c>
      <c r="D6248" s="8">
        <v>-32</v>
      </c>
      <c r="E6248" s="8">
        <f>E6247+(0-32)</f>
        <v>8419441.7199995257</v>
      </c>
    </row>
    <row r="6249" spans="1:5" x14ac:dyDescent="0.25">
      <c r="A6249" s="2" t="s">
        <v>242</v>
      </c>
      <c r="B6249" s="6">
        <v>43894</v>
      </c>
      <c r="C6249" s="2" t="s">
        <v>16</v>
      </c>
      <c r="D6249" s="8">
        <v>-50</v>
      </c>
      <c r="E6249" s="8">
        <f>E6248+(0-50)</f>
        <v>8419391.7199995257</v>
      </c>
    </row>
    <row r="6250" spans="1:5" x14ac:dyDescent="0.25">
      <c r="A6250" s="2" t="s">
        <v>242</v>
      </c>
      <c r="B6250" s="6">
        <v>43894</v>
      </c>
      <c r="C6250" s="2" t="s">
        <v>16</v>
      </c>
      <c r="D6250" s="8">
        <v>-250</v>
      </c>
      <c r="E6250" s="8">
        <f>E6249+(0-250)</f>
        <v>8419141.7199995257</v>
      </c>
    </row>
    <row r="6251" spans="1:5" x14ac:dyDescent="0.25">
      <c r="A6251" s="2" t="s">
        <v>242</v>
      </c>
      <c r="B6251" s="6">
        <v>43895</v>
      </c>
      <c r="C6251" s="2" t="s">
        <v>19</v>
      </c>
      <c r="D6251" s="8">
        <v>-36</v>
      </c>
      <c r="E6251" s="8">
        <f>E6250+(0-36)</f>
        <v>8419105.7199995257</v>
      </c>
    </row>
    <row r="6252" spans="1:5" x14ac:dyDescent="0.25">
      <c r="A6252" s="2" t="s">
        <v>242</v>
      </c>
      <c r="B6252" s="6">
        <v>43895</v>
      </c>
      <c r="C6252" s="2" t="s">
        <v>16</v>
      </c>
      <c r="D6252" s="8">
        <v>-150</v>
      </c>
      <c r="E6252" s="8">
        <f>E6251+(0-150)</f>
        <v>8418955.7199995257</v>
      </c>
    </row>
    <row r="6253" spans="1:5" x14ac:dyDescent="0.25">
      <c r="A6253" s="2" t="s">
        <v>242</v>
      </c>
      <c r="B6253" s="6">
        <v>43895</v>
      </c>
      <c r="C6253" s="2" t="s">
        <v>16</v>
      </c>
      <c r="D6253" s="8">
        <v>-50</v>
      </c>
      <c r="E6253" s="8">
        <f>E6252+(0-50)</f>
        <v>8418905.7199995257</v>
      </c>
    </row>
    <row r="6254" spans="1:5" x14ac:dyDescent="0.25">
      <c r="A6254" s="2" t="s">
        <v>242</v>
      </c>
      <c r="B6254" s="6">
        <v>43896</v>
      </c>
      <c r="C6254" s="2" t="s">
        <v>16</v>
      </c>
      <c r="D6254" s="8">
        <v>-50</v>
      </c>
      <c r="E6254" s="8">
        <f>E6253+(0-50)</f>
        <v>8418855.7199995257</v>
      </c>
    </row>
    <row r="6255" spans="1:5" x14ac:dyDescent="0.25">
      <c r="A6255" s="2" t="s">
        <v>242</v>
      </c>
      <c r="B6255" s="6">
        <v>43896</v>
      </c>
      <c r="C6255" s="2" t="s">
        <v>16</v>
      </c>
      <c r="D6255" s="8">
        <v>-300</v>
      </c>
      <c r="E6255" s="8">
        <f>E6254+(0-300)</f>
        <v>8418555.7199995257</v>
      </c>
    </row>
    <row r="6256" spans="1:5" x14ac:dyDescent="0.25">
      <c r="A6256" s="2" t="s">
        <v>242</v>
      </c>
      <c r="B6256" s="6">
        <v>43896</v>
      </c>
      <c r="C6256" s="2" t="s">
        <v>17</v>
      </c>
      <c r="D6256" s="8">
        <v>-20</v>
      </c>
      <c r="E6256" s="8">
        <f>E6255+(0-20)</f>
        <v>8418535.7199995257</v>
      </c>
    </row>
    <row r="6257" spans="1:5" x14ac:dyDescent="0.25">
      <c r="A6257" s="2" t="s">
        <v>242</v>
      </c>
      <c r="B6257" s="6">
        <v>43898</v>
      </c>
      <c r="C6257" s="2" t="s">
        <v>17</v>
      </c>
      <c r="D6257" s="8">
        <v>-56</v>
      </c>
      <c r="E6257" s="8">
        <f>E6256+(0-56)</f>
        <v>8418479.7199995257</v>
      </c>
    </row>
    <row r="6258" spans="1:5" x14ac:dyDescent="0.25">
      <c r="A6258" s="2" t="s">
        <v>242</v>
      </c>
      <c r="B6258" s="6">
        <v>43899</v>
      </c>
      <c r="C6258" s="2" t="s">
        <v>17</v>
      </c>
      <c r="D6258" s="8">
        <v>-4</v>
      </c>
      <c r="E6258" s="8">
        <f>E6257+(0-4)</f>
        <v>8418475.7199995257</v>
      </c>
    </row>
    <row r="6259" spans="1:5" x14ac:dyDescent="0.25">
      <c r="A6259" s="2" t="s">
        <v>242</v>
      </c>
      <c r="B6259" s="6">
        <v>43899</v>
      </c>
      <c r="C6259" s="2" t="s">
        <v>297</v>
      </c>
      <c r="D6259" s="8">
        <v>-4</v>
      </c>
      <c r="E6259" s="8">
        <f>E6258+(0-4)</f>
        <v>8418471.7199995257</v>
      </c>
    </row>
    <row r="6260" spans="1:5" x14ac:dyDescent="0.25">
      <c r="A6260" s="2" t="s">
        <v>242</v>
      </c>
      <c r="B6260" s="6">
        <v>43899</v>
      </c>
      <c r="C6260" s="2" t="s">
        <v>16</v>
      </c>
      <c r="D6260" s="8">
        <v>-50</v>
      </c>
      <c r="E6260" s="8">
        <f>E6259+(0-50)</f>
        <v>8418421.7199995257</v>
      </c>
    </row>
    <row r="6261" spans="1:5" x14ac:dyDescent="0.25">
      <c r="A6261" s="2" t="s">
        <v>242</v>
      </c>
      <c r="B6261" s="6">
        <v>43899</v>
      </c>
      <c r="C6261" s="2" t="s">
        <v>24</v>
      </c>
      <c r="D6261" s="8">
        <v>-250</v>
      </c>
      <c r="E6261" s="8">
        <f>E6260+(0-250)</f>
        <v>8418171.7199995257</v>
      </c>
    </row>
    <row r="6262" spans="1:5" x14ac:dyDescent="0.25">
      <c r="A6262" s="2" t="s">
        <v>242</v>
      </c>
      <c r="B6262" s="6">
        <v>43900</v>
      </c>
      <c r="C6262" s="2" t="s">
        <v>16</v>
      </c>
      <c r="D6262" s="8">
        <v>-50</v>
      </c>
      <c r="E6262" s="8">
        <f>E6261+(0-50)</f>
        <v>8418121.7199995257</v>
      </c>
    </row>
    <row r="6263" spans="1:5" x14ac:dyDescent="0.25">
      <c r="A6263" s="2" t="s">
        <v>242</v>
      </c>
      <c r="B6263" s="6">
        <v>43900</v>
      </c>
      <c r="C6263" s="2" t="s">
        <v>16</v>
      </c>
      <c r="D6263" s="8">
        <v>-50</v>
      </c>
      <c r="E6263" s="8">
        <f>E6262+(0-50)</f>
        <v>8418071.7199995257</v>
      </c>
    </row>
    <row r="6264" spans="1:5" x14ac:dyDescent="0.25">
      <c r="A6264" s="2" t="s">
        <v>242</v>
      </c>
      <c r="B6264" s="6">
        <v>43900</v>
      </c>
      <c r="C6264" s="2" t="s">
        <v>16</v>
      </c>
      <c r="D6264" s="8">
        <v>-50</v>
      </c>
      <c r="E6264" s="8">
        <f>E6263+(0-50)</f>
        <v>8418021.7199995257</v>
      </c>
    </row>
    <row r="6265" spans="1:5" x14ac:dyDescent="0.25">
      <c r="A6265" s="2" t="s">
        <v>242</v>
      </c>
      <c r="B6265" s="6">
        <v>43900</v>
      </c>
      <c r="C6265" s="2" t="s">
        <v>16</v>
      </c>
      <c r="D6265" s="8">
        <v>-50</v>
      </c>
      <c r="E6265" s="8">
        <f>E6264+(0-50)</f>
        <v>8417971.7199995257</v>
      </c>
    </row>
    <row r="6266" spans="1:5" x14ac:dyDescent="0.25">
      <c r="A6266" s="2" t="s">
        <v>242</v>
      </c>
      <c r="B6266" s="6">
        <v>43900</v>
      </c>
      <c r="C6266" s="2" t="s">
        <v>19</v>
      </c>
      <c r="D6266" s="8">
        <v>-32</v>
      </c>
      <c r="E6266" s="8">
        <f>E6265+(0-32)</f>
        <v>8417939.7199995257</v>
      </c>
    </row>
    <row r="6267" spans="1:5" x14ac:dyDescent="0.25">
      <c r="A6267" s="2" t="s">
        <v>242</v>
      </c>
      <c r="B6267" s="6">
        <v>43901</v>
      </c>
      <c r="C6267" s="2" t="s">
        <v>19</v>
      </c>
      <c r="D6267" s="8">
        <v>-24</v>
      </c>
      <c r="E6267" s="8">
        <f>E6266+(0-24)</f>
        <v>8417915.7199995257</v>
      </c>
    </row>
    <row r="6268" spans="1:5" x14ac:dyDescent="0.25">
      <c r="A6268" s="2" t="s">
        <v>242</v>
      </c>
      <c r="B6268" s="6">
        <v>43901</v>
      </c>
      <c r="C6268" s="2" t="s">
        <v>298</v>
      </c>
      <c r="D6268" s="8">
        <v>-53.75</v>
      </c>
      <c r="E6268" s="8">
        <f>E6267+(0-53.75)</f>
        <v>8417861.9699995257</v>
      </c>
    </row>
    <row r="6269" spans="1:5" x14ac:dyDescent="0.25">
      <c r="A6269" s="2" t="s">
        <v>242</v>
      </c>
      <c r="B6269" s="6">
        <v>43901</v>
      </c>
      <c r="C6269" s="2" t="s">
        <v>16</v>
      </c>
      <c r="D6269" s="8">
        <v>-50</v>
      </c>
      <c r="E6269" s="8">
        <f>E6268+(0-50)</f>
        <v>8417811.9699995257</v>
      </c>
    </row>
    <row r="6270" spans="1:5" x14ac:dyDescent="0.25">
      <c r="A6270" s="2" t="s">
        <v>242</v>
      </c>
      <c r="B6270" s="6">
        <v>43901</v>
      </c>
      <c r="C6270" s="2" t="s">
        <v>16</v>
      </c>
      <c r="D6270" s="8">
        <v>-50</v>
      </c>
      <c r="E6270" s="8">
        <f>E6269+(0-50)</f>
        <v>8417761.9699995257</v>
      </c>
    </row>
    <row r="6271" spans="1:5" x14ac:dyDescent="0.25">
      <c r="A6271" s="2" t="s">
        <v>242</v>
      </c>
      <c r="B6271" s="6">
        <v>43901</v>
      </c>
      <c r="C6271" s="2" t="s">
        <v>16</v>
      </c>
      <c r="D6271" s="8">
        <v>-250</v>
      </c>
      <c r="E6271" s="8">
        <f>E6270+(0-250)</f>
        <v>8417511.9699995257</v>
      </c>
    </row>
    <row r="6272" spans="1:5" x14ac:dyDescent="0.25">
      <c r="A6272" s="2" t="s">
        <v>242</v>
      </c>
      <c r="B6272" s="6">
        <v>43901</v>
      </c>
      <c r="C6272" s="2" t="s">
        <v>19</v>
      </c>
      <c r="D6272" s="8">
        <v>-84</v>
      </c>
      <c r="E6272" s="8">
        <f>E6271+(0-84)</f>
        <v>8417427.9699995257</v>
      </c>
    </row>
    <row r="6273" spans="1:5" x14ac:dyDescent="0.25">
      <c r="A6273" s="2" t="s">
        <v>242</v>
      </c>
      <c r="B6273" s="6">
        <v>43902</v>
      </c>
      <c r="C6273" s="2" t="s">
        <v>16</v>
      </c>
      <c r="D6273" s="8">
        <v>-50</v>
      </c>
      <c r="E6273" s="8">
        <f>E6272+(0-50)</f>
        <v>8417377.9699995257</v>
      </c>
    </row>
    <row r="6274" spans="1:5" x14ac:dyDescent="0.25">
      <c r="A6274" s="2" t="s">
        <v>242</v>
      </c>
      <c r="B6274" s="6">
        <v>43902</v>
      </c>
      <c r="C6274" s="2" t="s">
        <v>16</v>
      </c>
      <c r="D6274" s="8">
        <v>-100</v>
      </c>
      <c r="E6274" s="8">
        <f>E6273+(0-100)</f>
        <v>8417277.9699995257</v>
      </c>
    </row>
    <row r="6275" spans="1:5" x14ac:dyDescent="0.25">
      <c r="A6275" s="2" t="s">
        <v>242</v>
      </c>
      <c r="B6275" s="6">
        <v>43903</v>
      </c>
      <c r="C6275" s="2" t="s">
        <v>17</v>
      </c>
      <c r="D6275" s="8">
        <v>-28</v>
      </c>
      <c r="E6275" s="8">
        <f>E6274+(0-28)</f>
        <v>8417249.9699995257</v>
      </c>
    </row>
    <row r="6276" spans="1:5" x14ac:dyDescent="0.25">
      <c r="A6276" s="2" t="s">
        <v>242</v>
      </c>
      <c r="B6276" s="6">
        <v>43903</v>
      </c>
      <c r="C6276" s="2" t="s">
        <v>16</v>
      </c>
      <c r="D6276" s="8">
        <v>-350</v>
      </c>
      <c r="E6276" s="8">
        <f>E6275+(0-350)</f>
        <v>8416899.9699995257</v>
      </c>
    </row>
    <row r="6277" spans="1:5" x14ac:dyDescent="0.25">
      <c r="A6277" s="2" t="s">
        <v>242</v>
      </c>
      <c r="B6277" s="6">
        <v>43906</v>
      </c>
      <c r="C6277" s="2" t="s">
        <v>17</v>
      </c>
      <c r="D6277" s="8">
        <v>-48</v>
      </c>
      <c r="E6277" s="8">
        <f>E6276+(0-48)</f>
        <v>8416851.9699995257</v>
      </c>
    </row>
    <row r="6278" spans="1:5" x14ac:dyDescent="0.25">
      <c r="A6278" s="2" t="s">
        <v>242</v>
      </c>
      <c r="B6278" s="6">
        <v>43906</v>
      </c>
      <c r="C6278" s="2" t="s">
        <v>24</v>
      </c>
      <c r="D6278" s="8">
        <v>-50</v>
      </c>
      <c r="E6278" s="8">
        <f>E6277+(0-50)</f>
        <v>8416801.9699995257</v>
      </c>
    </row>
    <row r="6279" spans="1:5" x14ac:dyDescent="0.25">
      <c r="A6279" s="2" t="s">
        <v>242</v>
      </c>
      <c r="B6279" s="6">
        <v>43906</v>
      </c>
      <c r="C6279" s="2" t="s">
        <v>16</v>
      </c>
      <c r="D6279" s="8">
        <v>-350</v>
      </c>
      <c r="E6279" s="8">
        <f>E6278+(0-350)</f>
        <v>8416451.9699995257</v>
      </c>
    </row>
    <row r="6280" spans="1:5" x14ac:dyDescent="0.25">
      <c r="A6280" s="2" t="s">
        <v>242</v>
      </c>
      <c r="B6280" s="6">
        <v>43907</v>
      </c>
      <c r="C6280" s="2" t="s">
        <v>19</v>
      </c>
      <c r="D6280" s="8">
        <v>-44</v>
      </c>
      <c r="E6280" s="8">
        <f>E6279+(0-44)</f>
        <v>8416407.9699995257</v>
      </c>
    </row>
    <row r="6281" spans="1:5" x14ac:dyDescent="0.25">
      <c r="A6281" s="2" t="s">
        <v>242</v>
      </c>
      <c r="B6281" s="6">
        <v>43908</v>
      </c>
      <c r="C6281" s="2" t="s">
        <v>299</v>
      </c>
      <c r="D6281" s="8">
        <v>-53.75</v>
      </c>
      <c r="E6281" s="8">
        <f>E6280+(0-53.75)</f>
        <v>8416354.2199995257</v>
      </c>
    </row>
    <row r="6282" spans="1:5" x14ac:dyDescent="0.25">
      <c r="A6282" s="2" t="s">
        <v>242</v>
      </c>
      <c r="B6282" s="6">
        <v>43909</v>
      </c>
      <c r="C6282" s="2" t="s">
        <v>17</v>
      </c>
      <c r="D6282" s="8">
        <v>-28</v>
      </c>
      <c r="E6282" s="8">
        <f>E6281+(0-28)</f>
        <v>8416326.2199995257</v>
      </c>
    </row>
    <row r="6283" spans="1:5" x14ac:dyDescent="0.25">
      <c r="A6283" s="2" t="s">
        <v>242</v>
      </c>
      <c r="B6283" s="6">
        <v>43909</v>
      </c>
      <c r="C6283" s="2" t="s">
        <v>16</v>
      </c>
      <c r="D6283" s="8">
        <v>-50</v>
      </c>
      <c r="E6283" s="8">
        <f>E6282+(0-50)</f>
        <v>8416276.2199995257</v>
      </c>
    </row>
    <row r="6284" spans="1:5" x14ac:dyDescent="0.25">
      <c r="A6284" s="2" t="s">
        <v>242</v>
      </c>
      <c r="B6284" s="6">
        <v>43909</v>
      </c>
      <c r="C6284" s="2" t="s">
        <v>17</v>
      </c>
      <c r="D6284" s="8">
        <v>-36</v>
      </c>
      <c r="E6284" s="8">
        <f>E6283+(0-36)</f>
        <v>8416240.2199995257</v>
      </c>
    </row>
    <row r="6285" spans="1:5" x14ac:dyDescent="0.25">
      <c r="A6285" s="2" t="s">
        <v>242</v>
      </c>
      <c r="B6285" s="6">
        <v>43910</v>
      </c>
      <c r="C6285" s="2" t="s">
        <v>299</v>
      </c>
      <c r="D6285" s="8">
        <v>-53.75</v>
      </c>
      <c r="E6285" s="8">
        <f>E6284+(0-53.75)</f>
        <v>8416186.4699995257</v>
      </c>
    </row>
    <row r="6286" spans="1:5" x14ac:dyDescent="0.25">
      <c r="A6286" s="2" t="s">
        <v>242</v>
      </c>
      <c r="B6286" s="6">
        <v>43910</v>
      </c>
      <c r="C6286" s="2" t="s">
        <v>16</v>
      </c>
      <c r="D6286" s="8">
        <v>-50</v>
      </c>
      <c r="E6286" s="8">
        <f>E6285+(0-50)</f>
        <v>8416136.4699995257</v>
      </c>
    </row>
    <row r="6287" spans="1:5" x14ac:dyDescent="0.25">
      <c r="A6287" s="2" t="s">
        <v>242</v>
      </c>
      <c r="B6287" s="6">
        <v>43910</v>
      </c>
      <c r="C6287" s="2" t="s">
        <v>16</v>
      </c>
      <c r="D6287" s="8">
        <v>-150</v>
      </c>
      <c r="E6287" s="8">
        <f>E6286+(0-150)</f>
        <v>8415986.4699995257</v>
      </c>
    </row>
    <row r="6288" spans="1:5" x14ac:dyDescent="0.25">
      <c r="A6288" s="2" t="s">
        <v>242</v>
      </c>
      <c r="B6288" s="6">
        <v>43910</v>
      </c>
      <c r="C6288" s="2" t="s">
        <v>16</v>
      </c>
      <c r="D6288" s="8">
        <v>-50</v>
      </c>
      <c r="E6288" s="8">
        <f>E6287+(0-50)</f>
        <v>8415936.4699995257</v>
      </c>
    </row>
    <row r="6289" spans="1:5" x14ac:dyDescent="0.25">
      <c r="A6289" s="2" t="s">
        <v>242</v>
      </c>
      <c r="B6289" s="6">
        <v>43910</v>
      </c>
      <c r="C6289" s="2" t="s">
        <v>300</v>
      </c>
      <c r="D6289" s="8">
        <v>-150</v>
      </c>
      <c r="E6289" s="8">
        <f>E6288+(0-150)</f>
        <v>8415786.4699995257</v>
      </c>
    </row>
    <row r="6290" spans="1:5" x14ac:dyDescent="0.25">
      <c r="A6290" s="2" t="s">
        <v>242</v>
      </c>
      <c r="B6290" s="6">
        <v>43910</v>
      </c>
      <c r="C6290" s="2" t="s">
        <v>16</v>
      </c>
      <c r="D6290" s="8">
        <v>-50</v>
      </c>
      <c r="E6290" s="8">
        <f>E6289+(0-50)</f>
        <v>8415736.4699995257</v>
      </c>
    </row>
    <row r="6291" spans="1:5" x14ac:dyDescent="0.25">
      <c r="A6291" s="2" t="s">
        <v>242</v>
      </c>
      <c r="B6291" s="6">
        <v>43910</v>
      </c>
      <c r="C6291" s="2" t="s">
        <v>16</v>
      </c>
      <c r="D6291" s="8">
        <v>-250</v>
      </c>
      <c r="E6291" s="8">
        <f>E6290+(0-250)</f>
        <v>8415486.4699995257</v>
      </c>
    </row>
    <row r="6292" spans="1:5" x14ac:dyDescent="0.25">
      <c r="A6292" s="2" t="s">
        <v>242</v>
      </c>
      <c r="B6292" s="6">
        <v>43910</v>
      </c>
      <c r="C6292" s="2" t="s">
        <v>16</v>
      </c>
      <c r="D6292" s="8">
        <v>-50</v>
      </c>
      <c r="E6292" s="8">
        <f>E6291+(0-50)</f>
        <v>8415436.4699995257</v>
      </c>
    </row>
    <row r="6293" spans="1:5" x14ac:dyDescent="0.25">
      <c r="A6293" s="2" t="s">
        <v>242</v>
      </c>
      <c r="B6293" s="6">
        <v>43912</v>
      </c>
      <c r="C6293" s="2" t="s">
        <v>16</v>
      </c>
      <c r="D6293" s="8">
        <v>-32</v>
      </c>
      <c r="E6293" s="8">
        <f>E6292+(0-32)</f>
        <v>8415404.4699995257</v>
      </c>
    </row>
    <row r="6294" spans="1:5" x14ac:dyDescent="0.25">
      <c r="A6294" s="2" t="s">
        <v>242</v>
      </c>
      <c r="B6294" s="6">
        <v>43912</v>
      </c>
      <c r="C6294" s="2" t="s">
        <v>16</v>
      </c>
      <c r="D6294" s="8">
        <v>-44</v>
      </c>
      <c r="E6294" s="8">
        <f>E6293+(0-44)</f>
        <v>8415360.4699995257</v>
      </c>
    </row>
    <row r="6295" spans="1:5" x14ac:dyDescent="0.25">
      <c r="A6295" s="2" t="s">
        <v>242</v>
      </c>
      <c r="B6295" s="6">
        <v>43912</v>
      </c>
      <c r="C6295" s="2" t="s">
        <v>17</v>
      </c>
      <c r="D6295" s="8">
        <v>-4</v>
      </c>
      <c r="E6295" s="8">
        <f>E6294+(0-4)</f>
        <v>8415356.4699995257</v>
      </c>
    </row>
    <row r="6296" spans="1:5" x14ac:dyDescent="0.25">
      <c r="A6296" s="2" t="s">
        <v>242</v>
      </c>
      <c r="B6296" s="6">
        <v>43912</v>
      </c>
      <c r="C6296" s="2" t="s">
        <v>19</v>
      </c>
      <c r="D6296" s="8">
        <v>-24</v>
      </c>
      <c r="E6296" s="8">
        <f>E6295+(0-24)</f>
        <v>8415332.4699995257</v>
      </c>
    </row>
    <row r="6297" spans="1:5" x14ac:dyDescent="0.25">
      <c r="A6297" s="2" t="s">
        <v>242</v>
      </c>
      <c r="B6297" s="6">
        <v>43915</v>
      </c>
      <c r="C6297" s="2" t="s">
        <v>301</v>
      </c>
      <c r="D6297" s="8">
        <v>-53.75</v>
      </c>
      <c r="E6297" s="8">
        <f>E6296+(0-53.75)</f>
        <v>8415278.7199995257</v>
      </c>
    </row>
    <row r="6298" spans="1:5" x14ac:dyDescent="0.25">
      <c r="A6298" s="2" t="s">
        <v>242</v>
      </c>
      <c r="B6298" s="6">
        <v>43915</v>
      </c>
      <c r="C6298" s="2" t="s">
        <v>302</v>
      </c>
      <c r="D6298" s="8">
        <v>-53.75</v>
      </c>
      <c r="E6298" s="8">
        <f>E6297+(0-53.75)</f>
        <v>8415224.9699995257</v>
      </c>
    </row>
    <row r="6299" spans="1:5" x14ac:dyDescent="0.25">
      <c r="A6299" s="2" t="s">
        <v>242</v>
      </c>
      <c r="B6299" s="6">
        <v>43915</v>
      </c>
      <c r="C6299" s="2" t="s">
        <v>100</v>
      </c>
      <c r="D6299" s="8">
        <v>-53.75</v>
      </c>
      <c r="E6299" s="8">
        <f>E6298+(0-53.75)</f>
        <v>8415171.2199995257</v>
      </c>
    </row>
    <row r="6300" spans="1:5" x14ac:dyDescent="0.25">
      <c r="A6300" s="2" t="s">
        <v>242</v>
      </c>
      <c r="B6300" s="6">
        <v>43915</v>
      </c>
      <c r="C6300" s="2" t="s">
        <v>32</v>
      </c>
      <c r="D6300" s="8">
        <v>-53.75</v>
      </c>
      <c r="E6300" s="8">
        <f>E6299+(0-53.75)</f>
        <v>8415117.4699995257</v>
      </c>
    </row>
    <row r="6301" spans="1:5" x14ac:dyDescent="0.25">
      <c r="A6301" s="2" t="s">
        <v>242</v>
      </c>
      <c r="B6301" s="6">
        <v>43915</v>
      </c>
      <c r="C6301" s="2" t="s">
        <v>303</v>
      </c>
      <c r="D6301" s="8">
        <v>-860</v>
      </c>
      <c r="E6301" s="8">
        <f>E6300+(0-860)</f>
        <v>8414257.4699995257</v>
      </c>
    </row>
    <row r="6302" spans="1:5" x14ac:dyDescent="0.25">
      <c r="A6302" s="2" t="s">
        <v>242</v>
      </c>
      <c r="B6302" s="6">
        <v>43916</v>
      </c>
      <c r="C6302" s="2" t="s">
        <v>19</v>
      </c>
      <c r="D6302" s="8">
        <v>-4</v>
      </c>
      <c r="E6302" s="8">
        <f>E6301+(0-4)</f>
        <v>8414253.4699995257</v>
      </c>
    </row>
    <row r="6303" spans="1:5" x14ac:dyDescent="0.25">
      <c r="A6303" s="2" t="s">
        <v>242</v>
      </c>
      <c r="B6303" s="6">
        <v>43916</v>
      </c>
      <c r="C6303" s="2" t="s">
        <v>304</v>
      </c>
      <c r="D6303" s="8">
        <v>-53.75</v>
      </c>
      <c r="E6303" s="8">
        <f>E6302+(0-53.75)</f>
        <v>8414199.7199995257</v>
      </c>
    </row>
    <row r="6304" spans="1:5" x14ac:dyDescent="0.25">
      <c r="A6304" s="2" t="s">
        <v>242</v>
      </c>
      <c r="B6304" s="6">
        <v>43916</v>
      </c>
      <c r="C6304" s="2" t="s">
        <v>19</v>
      </c>
      <c r="D6304" s="8">
        <v>-60</v>
      </c>
      <c r="E6304" s="8">
        <f>E6303+(0-60)</f>
        <v>8414139.7199995257</v>
      </c>
    </row>
    <row r="6305" spans="1:5" x14ac:dyDescent="0.25">
      <c r="A6305" s="2" t="s">
        <v>242</v>
      </c>
      <c r="B6305" s="6">
        <v>43916</v>
      </c>
      <c r="C6305" s="2" t="s">
        <v>16</v>
      </c>
      <c r="D6305" s="8">
        <v>-50</v>
      </c>
      <c r="E6305" s="8">
        <f>E6304+(0-50)</f>
        <v>8414089.7199995257</v>
      </c>
    </row>
    <row r="6306" spans="1:5" x14ac:dyDescent="0.25">
      <c r="A6306" s="2" t="s">
        <v>242</v>
      </c>
      <c r="B6306" s="6">
        <v>43918</v>
      </c>
      <c r="C6306" s="2" t="s">
        <v>17</v>
      </c>
      <c r="D6306" s="8">
        <v>-28</v>
      </c>
      <c r="E6306" s="8">
        <f>E6305+(0-28)</f>
        <v>8414061.7199995257</v>
      </c>
    </row>
    <row r="6307" spans="1:5" x14ac:dyDescent="0.25">
      <c r="A6307" s="2" t="s">
        <v>242</v>
      </c>
      <c r="B6307" s="6">
        <v>43918</v>
      </c>
      <c r="C6307" s="2" t="s">
        <v>17</v>
      </c>
      <c r="D6307" s="8">
        <v>-24</v>
      </c>
      <c r="E6307" s="8">
        <f>E6306+(0-24)</f>
        <v>8414037.7199995257</v>
      </c>
    </row>
    <row r="6308" spans="1:5" x14ac:dyDescent="0.25">
      <c r="A6308" s="2" t="s">
        <v>242</v>
      </c>
      <c r="B6308" s="6">
        <v>43921</v>
      </c>
      <c r="C6308" s="2" t="s">
        <v>17</v>
      </c>
      <c r="D6308" s="8">
        <v>-20</v>
      </c>
      <c r="E6308" s="8">
        <f>E6307+(0-20)</f>
        <v>8414017.7199995257</v>
      </c>
    </row>
    <row r="6309" spans="1:5" x14ac:dyDescent="0.25">
      <c r="A6309" s="2" t="s">
        <v>242</v>
      </c>
      <c r="B6309" s="6">
        <v>43922</v>
      </c>
      <c r="C6309" s="2" t="s">
        <v>305</v>
      </c>
      <c r="D6309" s="8">
        <v>-53.75</v>
      </c>
      <c r="E6309" s="8">
        <f>E6308+(0-53.75)</f>
        <v>8413963.9699995257</v>
      </c>
    </row>
    <row r="6310" spans="1:5" x14ac:dyDescent="0.25">
      <c r="A6310" s="2" t="s">
        <v>242</v>
      </c>
      <c r="B6310" s="6">
        <v>43923</v>
      </c>
      <c r="C6310" s="2" t="s">
        <v>17</v>
      </c>
      <c r="D6310" s="8">
        <v>-12</v>
      </c>
      <c r="E6310" s="8">
        <f>E6309+(0-12)</f>
        <v>8413951.9699995257</v>
      </c>
    </row>
    <row r="6311" spans="1:5" x14ac:dyDescent="0.25">
      <c r="A6311" s="2" t="s">
        <v>242</v>
      </c>
      <c r="B6311" s="6">
        <v>43923</v>
      </c>
      <c r="C6311" s="2" t="s">
        <v>305</v>
      </c>
      <c r="D6311" s="8">
        <v>-53.75</v>
      </c>
      <c r="E6311" s="8">
        <f>E6310+(0-53.75)</f>
        <v>8413898.2199995257</v>
      </c>
    </row>
    <row r="6312" spans="1:5" x14ac:dyDescent="0.25">
      <c r="A6312" s="2" t="s">
        <v>242</v>
      </c>
      <c r="B6312" s="6">
        <v>43926</v>
      </c>
      <c r="C6312" s="2" t="s">
        <v>17</v>
      </c>
      <c r="D6312" s="8">
        <v>-8</v>
      </c>
      <c r="E6312" s="8">
        <f>E6311+(0-8)</f>
        <v>8413890.2199995257</v>
      </c>
    </row>
    <row r="6313" spans="1:5" x14ac:dyDescent="0.25">
      <c r="A6313" s="2" t="s">
        <v>242</v>
      </c>
      <c r="B6313" s="6">
        <v>43928</v>
      </c>
      <c r="C6313" s="2" t="s">
        <v>17</v>
      </c>
      <c r="D6313" s="8">
        <v>-12</v>
      </c>
      <c r="E6313" s="8">
        <f>E6312+(0-12)</f>
        <v>8413878.2199995257</v>
      </c>
    </row>
    <row r="6314" spans="1:5" x14ac:dyDescent="0.25">
      <c r="A6314" s="2" t="s">
        <v>242</v>
      </c>
      <c r="B6314" s="6">
        <v>43930</v>
      </c>
      <c r="C6314" s="2" t="s">
        <v>17</v>
      </c>
      <c r="D6314" s="8">
        <v>-12</v>
      </c>
      <c r="E6314" s="8">
        <f>E6313+(0-12)</f>
        <v>8413866.2199995257</v>
      </c>
    </row>
    <row r="6315" spans="1:5" x14ac:dyDescent="0.25">
      <c r="A6315" s="2" t="s">
        <v>242</v>
      </c>
      <c r="B6315" s="6">
        <v>43930</v>
      </c>
      <c r="C6315" s="2" t="s">
        <v>17</v>
      </c>
      <c r="D6315" s="8">
        <v>-12</v>
      </c>
      <c r="E6315" s="8">
        <f>E6314+(0-12)</f>
        <v>8413854.2199995257</v>
      </c>
    </row>
    <row r="6316" spans="1:5" x14ac:dyDescent="0.25">
      <c r="A6316" s="2" t="s">
        <v>242</v>
      </c>
      <c r="B6316" s="6">
        <v>43930</v>
      </c>
      <c r="C6316" s="2" t="s">
        <v>306</v>
      </c>
      <c r="D6316" s="8">
        <v>-53.75</v>
      </c>
      <c r="E6316" s="8">
        <f>E6315+(0-53.75)</f>
        <v>8413800.4699995257</v>
      </c>
    </row>
    <row r="6317" spans="1:5" x14ac:dyDescent="0.25">
      <c r="A6317" s="2" t="s">
        <v>242</v>
      </c>
      <c r="B6317" s="6">
        <v>43930</v>
      </c>
      <c r="C6317" s="2" t="s">
        <v>78</v>
      </c>
      <c r="D6317" s="8">
        <v>-53.75</v>
      </c>
      <c r="E6317" s="8">
        <f>E6316+(0-53.75)</f>
        <v>8413746.7199995257</v>
      </c>
    </row>
    <row r="6318" spans="1:5" x14ac:dyDescent="0.25">
      <c r="A6318" s="2" t="s">
        <v>242</v>
      </c>
      <c r="B6318" s="6">
        <v>43931</v>
      </c>
      <c r="C6318" s="2" t="s">
        <v>17</v>
      </c>
      <c r="D6318" s="8">
        <v>-20</v>
      </c>
      <c r="E6318" s="8">
        <f>E6317+(0-20)</f>
        <v>8413726.7199995257</v>
      </c>
    </row>
    <row r="6319" spans="1:5" x14ac:dyDescent="0.25">
      <c r="A6319" s="2" t="s">
        <v>242</v>
      </c>
      <c r="B6319" s="6">
        <v>43932</v>
      </c>
      <c r="C6319" s="2" t="s">
        <v>17</v>
      </c>
      <c r="D6319" s="8">
        <v>-8</v>
      </c>
      <c r="E6319" s="8">
        <f>E6318+(0-8)</f>
        <v>8413718.7199995257</v>
      </c>
    </row>
    <row r="6320" spans="1:5" x14ac:dyDescent="0.25">
      <c r="A6320" s="2" t="s">
        <v>242</v>
      </c>
      <c r="B6320" s="6">
        <v>43932</v>
      </c>
      <c r="C6320" s="2" t="s">
        <v>307</v>
      </c>
      <c r="D6320" s="8">
        <v>-53.75</v>
      </c>
      <c r="E6320" s="8">
        <f>E6319+(0-53.75)</f>
        <v>8413664.9699995257</v>
      </c>
    </row>
    <row r="6321" spans="1:5" x14ac:dyDescent="0.25">
      <c r="A6321" s="2" t="s">
        <v>242</v>
      </c>
      <c r="B6321" s="6">
        <v>43932</v>
      </c>
      <c r="C6321" s="2" t="s">
        <v>308</v>
      </c>
      <c r="D6321" s="8">
        <v>-26.88</v>
      </c>
      <c r="E6321" s="8">
        <f>E6320+(0-26.88)</f>
        <v>8413638.0899995249</v>
      </c>
    </row>
    <row r="6322" spans="1:5" x14ac:dyDescent="0.25">
      <c r="A6322" s="2" t="s">
        <v>242</v>
      </c>
      <c r="B6322" s="6">
        <v>43933</v>
      </c>
      <c r="C6322" s="2" t="s">
        <v>17</v>
      </c>
      <c r="D6322" s="8">
        <v>-16</v>
      </c>
      <c r="E6322" s="8">
        <f>E6321+(0-16)</f>
        <v>8413622.0899995249</v>
      </c>
    </row>
    <row r="6323" spans="1:5" x14ac:dyDescent="0.25">
      <c r="A6323" s="2" t="s">
        <v>242</v>
      </c>
      <c r="B6323" s="6">
        <v>43933</v>
      </c>
      <c r="C6323" s="2" t="s">
        <v>309</v>
      </c>
      <c r="D6323" s="8">
        <v>-53.75</v>
      </c>
      <c r="E6323" s="8">
        <f>E6322+(0-53.75)</f>
        <v>8413568.3399995249</v>
      </c>
    </row>
    <row r="6324" spans="1:5" x14ac:dyDescent="0.25">
      <c r="A6324" s="2" t="s">
        <v>242</v>
      </c>
      <c r="B6324" s="6">
        <v>43935</v>
      </c>
      <c r="C6324" s="2" t="s">
        <v>305</v>
      </c>
      <c r="D6324" s="8">
        <v>-53.75</v>
      </c>
      <c r="E6324" s="8">
        <f>E6323+(0-53.75)</f>
        <v>8413514.5899995249</v>
      </c>
    </row>
    <row r="6325" spans="1:5" x14ac:dyDescent="0.25">
      <c r="A6325" s="2" t="s">
        <v>242</v>
      </c>
      <c r="B6325" s="6">
        <v>43935</v>
      </c>
      <c r="C6325" s="2" t="s">
        <v>16</v>
      </c>
      <c r="D6325" s="8">
        <v>-50</v>
      </c>
      <c r="E6325" s="8">
        <f>E6324+(0-50)</f>
        <v>8413464.5899995249</v>
      </c>
    </row>
    <row r="6326" spans="1:5" x14ac:dyDescent="0.25">
      <c r="A6326" s="2" t="s">
        <v>242</v>
      </c>
      <c r="B6326" s="6">
        <v>43935</v>
      </c>
      <c r="C6326" s="2" t="s">
        <v>16</v>
      </c>
      <c r="D6326" s="8">
        <v>-150</v>
      </c>
      <c r="E6326" s="8">
        <f>E6325+(0-150)</f>
        <v>8413314.5899995249</v>
      </c>
    </row>
    <row r="6327" spans="1:5" x14ac:dyDescent="0.25">
      <c r="A6327" s="2" t="s">
        <v>242</v>
      </c>
      <c r="B6327" s="6">
        <v>43935</v>
      </c>
      <c r="C6327" s="2" t="s">
        <v>16</v>
      </c>
      <c r="D6327" s="8">
        <v>-200</v>
      </c>
      <c r="E6327" s="8">
        <f>E6326+(0-200)</f>
        <v>8413114.5899995249</v>
      </c>
    </row>
    <row r="6328" spans="1:5" x14ac:dyDescent="0.25">
      <c r="A6328" s="2" t="s">
        <v>242</v>
      </c>
      <c r="B6328" s="6">
        <v>43935</v>
      </c>
      <c r="C6328" s="2" t="s">
        <v>16</v>
      </c>
      <c r="D6328" s="8">
        <v>-50</v>
      </c>
      <c r="E6328" s="8">
        <f>E6327+(0-50)</f>
        <v>8413064.5899995249</v>
      </c>
    </row>
    <row r="6329" spans="1:5" x14ac:dyDescent="0.25">
      <c r="A6329" s="2" t="s">
        <v>242</v>
      </c>
      <c r="B6329" s="6">
        <v>43935</v>
      </c>
      <c r="C6329" s="2" t="s">
        <v>16</v>
      </c>
      <c r="D6329" s="8">
        <v>-50</v>
      </c>
      <c r="E6329" s="8">
        <f>E6328+(0-50)</f>
        <v>8413014.5899995249</v>
      </c>
    </row>
    <row r="6330" spans="1:5" x14ac:dyDescent="0.25">
      <c r="A6330" s="2" t="s">
        <v>242</v>
      </c>
      <c r="B6330" s="6">
        <v>43935</v>
      </c>
      <c r="C6330" s="2" t="s">
        <v>16</v>
      </c>
      <c r="D6330" s="8">
        <v>-200</v>
      </c>
      <c r="E6330" s="8">
        <f>E6329+(0-200)</f>
        <v>8412814.5899995249</v>
      </c>
    </row>
    <row r="6331" spans="1:5" x14ac:dyDescent="0.25">
      <c r="A6331" s="2" t="s">
        <v>242</v>
      </c>
      <c r="B6331" s="6">
        <v>43935</v>
      </c>
      <c r="C6331" s="2" t="s">
        <v>16</v>
      </c>
      <c r="D6331" s="8">
        <v>-50</v>
      </c>
      <c r="E6331" s="8">
        <f>E6330+(0-50)</f>
        <v>8412764.5899995249</v>
      </c>
    </row>
    <row r="6332" spans="1:5" x14ac:dyDescent="0.25">
      <c r="A6332" s="2" t="s">
        <v>242</v>
      </c>
      <c r="B6332" s="6">
        <v>43935</v>
      </c>
      <c r="C6332" s="2" t="s">
        <v>16</v>
      </c>
      <c r="D6332" s="8">
        <v>-150</v>
      </c>
      <c r="E6332" s="8">
        <f>E6331+(0-150)</f>
        <v>8412614.5899995249</v>
      </c>
    </row>
    <row r="6333" spans="1:5" x14ac:dyDescent="0.25">
      <c r="A6333" s="2" t="s">
        <v>242</v>
      </c>
      <c r="B6333" s="6">
        <v>43935</v>
      </c>
      <c r="C6333" s="2" t="s">
        <v>16</v>
      </c>
      <c r="D6333" s="8">
        <v>-50</v>
      </c>
      <c r="E6333" s="8">
        <f>E6332+(0-50)</f>
        <v>8412564.5899995249</v>
      </c>
    </row>
    <row r="6334" spans="1:5" x14ac:dyDescent="0.25">
      <c r="A6334" s="2" t="s">
        <v>242</v>
      </c>
      <c r="B6334" s="6">
        <v>43935</v>
      </c>
      <c r="C6334" s="2" t="s">
        <v>16</v>
      </c>
      <c r="D6334" s="8">
        <v>-300</v>
      </c>
      <c r="E6334" s="8">
        <f>E6333+(0-300)</f>
        <v>8412264.5899995249</v>
      </c>
    </row>
    <row r="6335" spans="1:5" x14ac:dyDescent="0.25">
      <c r="A6335" s="2" t="s">
        <v>242</v>
      </c>
      <c r="B6335" s="6">
        <v>43935</v>
      </c>
      <c r="C6335" s="2" t="s">
        <v>16</v>
      </c>
      <c r="D6335" s="8">
        <v>-50</v>
      </c>
      <c r="E6335" s="8">
        <f>E6334+(0-50)</f>
        <v>8412214.5899995249</v>
      </c>
    </row>
    <row r="6336" spans="1:5" x14ac:dyDescent="0.25">
      <c r="A6336" s="2" t="s">
        <v>242</v>
      </c>
      <c r="B6336" s="6">
        <v>43935</v>
      </c>
      <c r="C6336" s="2" t="s">
        <v>16</v>
      </c>
      <c r="D6336" s="8">
        <v>-100</v>
      </c>
      <c r="E6336" s="8">
        <f>E6335+(0-100)</f>
        <v>8412114.5899995249</v>
      </c>
    </row>
    <row r="6337" spans="1:5" x14ac:dyDescent="0.25">
      <c r="A6337" s="2" t="s">
        <v>242</v>
      </c>
      <c r="B6337" s="6">
        <v>43935</v>
      </c>
      <c r="C6337" s="2" t="s">
        <v>16</v>
      </c>
      <c r="D6337" s="8">
        <v>-150</v>
      </c>
      <c r="E6337" s="8">
        <f>E6336+(0-150)</f>
        <v>8411964.5899995249</v>
      </c>
    </row>
    <row r="6338" spans="1:5" x14ac:dyDescent="0.25">
      <c r="A6338" s="2" t="s">
        <v>242</v>
      </c>
      <c r="B6338" s="6">
        <v>43935</v>
      </c>
      <c r="C6338" s="2" t="s">
        <v>17</v>
      </c>
      <c r="D6338" s="8">
        <v>-88</v>
      </c>
      <c r="E6338" s="8">
        <f>E6337+(0-88)</f>
        <v>8411876.5899995249</v>
      </c>
    </row>
    <row r="6339" spans="1:5" x14ac:dyDescent="0.25">
      <c r="A6339" s="2" t="s">
        <v>242</v>
      </c>
      <c r="B6339" s="6">
        <v>43936</v>
      </c>
      <c r="C6339" s="2" t="s">
        <v>16</v>
      </c>
      <c r="D6339" s="8">
        <v>-50</v>
      </c>
      <c r="E6339" s="8">
        <f>E6338+(0-50)</f>
        <v>8411826.5899995249</v>
      </c>
    </row>
    <row r="6340" spans="1:5" x14ac:dyDescent="0.25">
      <c r="A6340" s="2" t="s">
        <v>242</v>
      </c>
      <c r="B6340" s="6">
        <v>43937</v>
      </c>
      <c r="C6340" s="2" t="s">
        <v>17</v>
      </c>
      <c r="D6340" s="8">
        <v>-8</v>
      </c>
      <c r="E6340" s="8">
        <f>E6339+(0-8)</f>
        <v>8411818.5899995249</v>
      </c>
    </row>
    <row r="6341" spans="1:5" x14ac:dyDescent="0.25">
      <c r="A6341" s="2" t="s">
        <v>242</v>
      </c>
      <c r="B6341" s="6">
        <v>43937</v>
      </c>
      <c r="C6341" s="2" t="s">
        <v>16</v>
      </c>
      <c r="D6341" s="8">
        <v>-200</v>
      </c>
      <c r="E6341" s="8">
        <f>E6340+(0-200)</f>
        <v>8411618.5899995249</v>
      </c>
    </row>
    <row r="6342" spans="1:5" x14ac:dyDescent="0.25">
      <c r="A6342" s="2" t="s">
        <v>242</v>
      </c>
      <c r="B6342" s="6">
        <v>43938</v>
      </c>
      <c r="C6342" s="2" t="s">
        <v>17</v>
      </c>
      <c r="D6342" s="8">
        <v>-20</v>
      </c>
      <c r="E6342" s="8">
        <f>E6341+(0-20)</f>
        <v>8411598.5899995249</v>
      </c>
    </row>
    <row r="6343" spans="1:5" x14ac:dyDescent="0.25">
      <c r="A6343" s="2" t="s">
        <v>242</v>
      </c>
      <c r="B6343" s="6">
        <v>43938</v>
      </c>
      <c r="C6343" s="2" t="s">
        <v>16</v>
      </c>
      <c r="D6343" s="8">
        <v>-100</v>
      </c>
      <c r="E6343" s="8">
        <f>E6342+(0-100)</f>
        <v>8411498.5899995249</v>
      </c>
    </row>
    <row r="6344" spans="1:5" x14ac:dyDescent="0.25">
      <c r="A6344" s="2" t="s">
        <v>242</v>
      </c>
      <c r="B6344" s="6">
        <v>43940</v>
      </c>
      <c r="C6344" s="2" t="s">
        <v>17</v>
      </c>
      <c r="D6344" s="8">
        <v>-12</v>
      </c>
      <c r="E6344" s="8">
        <f>E6343+(0-12)</f>
        <v>8411486.5899995249</v>
      </c>
    </row>
    <row r="6345" spans="1:5" x14ac:dyDescent="0.25">
      <c r="A6345" s="2" t="s">
        <v>242</v>
      </c>
      <c r="B6345" s="6">
        <v>43941</v>
      </c>
      <c r="C6345" s="2" t="s">
        <v>16</v>
      </c>
      <c r="D6345" s="8">
        <v>-50</v>
      </c>
      <c r="E6345" s="8">
        <f>E6344+(0-50)</f>
        <v>8411436.5899995249</v>
      </c>
    </row>
    <row r="6346" spans="1:5" x14ac:dyDescent="0.25">
      <c r="A6346" s="2" t="s">
        <v>242</v>
      </c>
      <c r="B6346" s="6">
        <v>43941</v>
      </c>
      <c r="C6346" s="2" t="s">
        <v>16</v>
      </c>
      <c r="D6346" s="8">
        <v>-50</v>
      </c>
      <c r="E6346" s="8">
        <f>E6345+(0-50)</f>
        <v>8411386.5899995249</v>
      </c>
    </row>
    <row r="6347" spans="1:5" x14ac:dyDescent="0.25">
      <c r="A6347" s="2" t="s">
        <v>242</v>
      </c>
      <c r="B6347" s="6">
        <v>43942</v>
      </c>
      <c r="C6347" s="2" t="s">
        <v>17</v>
      </c>
      <c r="D6347" s="8">
        <v>-16</v>
      </c>
      <c r="E6347" s="8">
        <f>E6346+(0-16)</f>
        <v>8411370.5899995249</v>
      </c>
    </row>
    <row r="6348" spans="1:5" x14ac:dyDescent="0.25">
      <c r="A6348" s="2" t="s">
        <v>242</v>
      </c>
      <c r="B6348" s="6">
        <v>43942</v>
      </c>
      <c r="C6348" s="2" t="s">
        <v>16</v>
      </c>
      <c r="D6348" s="8">
        <v>-250</v>
      </c>
      <c r="E6348" s="8">
        <f>E6347+(0-250)</f>
        <v>8411120.5899995249</v>
      </c>
    </row>
    <row r="6349" spans="1:5" x14ac:dyDescent="0.25">
      <c r="A6349" s="2" t="s">
        <v>242</v>
      </c>
      <c r="B6349" s="6">
        <v>43943</v>
      </c>
      <c r="C6349" s="2" t="s">
        <v>16</v>
      </c>
      <c r="D6349" s="8">
        <v>-150</v>
      </c>
      <c r="E6349" s="8">
        <f>E6348+(0-150)</f>
        <v>8410970.5899995249</v>
      </c>
    </row>
    <row r="6350" spans="1:5" x14ac:dyDescent="0.25">
      <c r="A6350" s="2" t="s">
        <v>242</v>
      </c>
      <c r="B6350" s="6">
        <v>43944</v>
      </c>
      <c r="C6350" s="2" t="s">
        <v>17</v>
      </c>
      <c r="D6350" s="8">
        <v>-16</v>
      </c>
      <c r="E6350" s="8">
        <f>E6349+(0-16)</f>
        <v>8410954.5899995249</v>
      </c>
    </row>
    <row r="6351" spans="1:5" x14ac:dyDescent="0.25">
      <c r="A6351" s="2" t="s">
        <v>242</v>
      </c>
      <c r="B6351" s="6">
        <v>43944</v>
      </c>
      <c r="C6351" s="2" t="s">
        <v>310</v>
      </c>
      <c r="D6351" s="8">
        <v>-53.75</v>
      </c>
      <c r="E6351" s="8">
        <f>E6350+(0-53.75)</f>
        <v>8410900.8399995249</v>
      </c>
    </row>
    <row r="6352" spans="1:5" x14ac:dyDescent="0.25">
      <c r="A6352" s="2" t="s">
        <v>242</v>
      </c>
      <c r="B6352" s="6">
        <v>43944</v>
      </c>
      <c r="C6352" s="2" t="s">
        <v>311</v>
      </c>
      <c r="D6352" s="8">
        <v>-53.75</v>
      </c>
      <c r="E6352" s="8">
        <f>E6351+(0-53.75)</f>
        <v>8410847.0899995249</v>
      </c>
    </row>
    <row r="6353" spans="1:5" x14ac:dyDescent="0.25">
      <c r="A6353" s="2" t="s">
        <v>242</v>
      </c>
      <c r="B6353" s="6">
        <v>43944</v>
      </c>
      <c r="C6353" s="2" t="s">
        <v>16</v>
      </c>
      <c r="D6353" s="8">
        <v>-150</v>
      </c>
      <c r="E6353" s="8">
        <f>E6352+(0-150)</f>
        <v>8410697.0899995249</v>
      </c>
    </row>
    <row r="6354" spans="1:5" x14ac:dyDescent="0.25">
      <c r="A6354" s="2" t="s">
        <v>242</v>
      </c>
      <c r="B6354" s="6">
        <v>43944</v>
      </c>
      <c r="C6354" s="2" t="s">
        <v>16</v>
      </c>
      <c r="D6354" s="8">
        <v>-50</v>
      </c>
      <c r="E6354" s="8">
        <f>E6353+(0-50)</f>
        <v>8410647.0899995249</v>
      </c>
    </row>
    <row r="6355" spans="1:5" x14ac:dyDescent="0.25">
      <c r="A6355" s="2" t="s">
        <v>242</v>
      </c>
      <c r="B6355" s="6">
        <v>43945</v>
      </c>
      <c r="C6355" s="2" t="s">
        <v>16</v>
      </c>
      <c r="D6355" s="8">
        <v>-100</v>
      </c>
      <c r="E6355" s="8">
        <f>E6354+(0-100)</f>
        <v>8410547.0899995249</v>
      </c>
    </row>
    <row r="6356" spans="1:5" x14ac:dyDescent="0.25">
      <c r="A6356" s="2" t="s">
        <v>242</v>
      </c>
      <c r="B6356" s="6">
        <v>43948</v>
      </c>
      <c r="C6356" s="2" t="s">
        <v>17</v>
      </c>
      <c r="D6356" s="8">
        <v>-24</v>
      </c>
      <c r="E6356" s="8">
        <f>E6355+(0-24)</f>
        <v>8410523.0899995249</v>
      </c>
    </row>
    <row r="6357" spans="1:5" x14ac:dyDescent="0.25">
      <c r="A6357" s="2" t="s">
        <v>242</v>
      </c>
      <c r="B6357" s="6">
        <v>43948</v>
      </c>
      <c r="C6357" s="2" t="s">
        <v>17</v>
      </c>
      <c r="D6357" s="8">
        <v>-40</v>
      </c>
      <c r="E6357" s="8">
        <f>E6356+(0-40)</f>
        <v>8410483.0899995249</v>
      </c>
    </row>
    <row r="6358" spans="1:5" x14ac:dyDescent="0.25">
      <c r="A6358" s="2" t="s">
        <v>242</v>
      </c>
      <c r="B6358" s="6">
        <v>43948</v>
      </c>
      <c r="C6358" s="2" t="s">
        <v>17</v>
      </c>
      <c r="D6358" s="8">
        <v>-12</v>
      </c>
      <c r="E6358" s="8">
        <f>E6357+(0-12)</f>
        <v>8410471.0899995249</v>
      </c>
    </row>
    <row r="6359" spans="1:5" x14ac:dyDescent="0.25">
      <c r="A6359" s="2" t="s">
        <v>242</v>
      </c>
      <c r="B6359" s="6">
        <v>43948</v>
      </c>
      <c r="C6359" s="2" t="s">
        <v>24</v>
      </c>
      <c r="D6359" s="8">
        <v>-150</v>
      </c>
      <c r="E6359" s="8">
        <f>E6358+(0-150)</f>
        <v>8410321.0899995249</v>
      </c>
    </row>
    <row r="6360" spans="1:5" x14ac:dyDescent="0.25">
      <c r="A6360" s="2" t="s">
        <v>242</v>
      </c>
      <c r="B6360" s="6">
        <v>43948</v>
      </c>
      <c r="C6360" s="2" t="s">
        <v>16</v>
      </c>
      <c r="D6360" s="8">
        <v>-200</v>
      </c>
      <c r="E6360" s="8">
        <f>E6359+(0-200)</f>
        <v>8410121.0899995249</v>
      </c>
    </row>
    <row r="6361" spans="1:5" x14ac:dyDescent="0.25">
      <c r="A6361" s="2" t="s">
        <v>242</v>
      </c>
      <c r="B6361" s="6">
        <v>43948</v>
      </c>
      <c r="C6361" s="2" t="s">
        <v>17</v>
      </c>
      <c r="D6361" s="8">
        <v>-16</v>
      </c>
      <c r="E6361" s="8">
        <f>E6360+(0-16)</f>
        <v>8410105.0899995249</v>
      </c>
    </row>
    <row r="6362" spans="1:5" x14ac:dyDescent="0.25">
      <c r="A6362" s="2" t="s">
        <v>242</v>
      </c>
      <c r="B6362" s="6">
        <v>43948</v>
      </c>
      <c r="C6362" s="2" t="s">
        <v>17</v>
      </c>
      <c r="D6362" s="8">
        <v>-28</v>
      </c>
      <c r="E6362" s="8">
        <f>E6361+(0-28)</f>
        <v>8410077.0899995249</v>
      </c>
    </row>
    <row r="6363" spans="1:5" x14ac:dyDescent="0.25">
      <c r="A6363" s="2" t="s">
        <v>242</v>
      </c>
      <c r="B6363" s="6">
        <v>43949</v>
      </c>
      <c r="C6363" s="2" t="s">
        <v>310</v>
      </c>
      <c r="D6363" s="8">
        <v>-53.75</v>
      </c>
      <c r="E6363" s="8">
        <f>E6362+(0-53.75)</f>
        <v>8410023.3399995249</v>
      </c>
    </row>
    <row r="6364" spans="1:5" x14ac:dyDescent="0.25">
      <c r="A6364" s="2" t="s">
        <v>242</v>
      </c>
      <c r="B6364" s="6">
        <v>43949</v>
      </c>
      <c r="C6364" s="2" t="s">
        <v>312</v>
      </c>
      <c r="D6364" s="8">
        <v>-53.75</v>
      </c>
      <c r="E6364" s="8">
        <f>E6363+(0-53.75)</f>
        <v>8409969.5899995249</v>
      </c>
    </row>
    <row r="6365" spans="1:5" x14ac:dyDescent="0.25">
      <c r="A6365" s="2" t="s">
        <v>242</v>
      </c>
      <c r="B6365" s="6">
        <v>43949</v>
      </c>
      <c r="C6365" s="2" t="s">
        <v>313</v>
      </c>
      <c r="D6365" s="8">
        <v>-26.88</v>
      </c>
      <c r="E6365" s="8">
        <f>E6364+(0-26.88)</f>
        <v>8409942.7099995241</v>
      </c>
    </row>
    <row r="6366" spans="1:5" x14ac:dyDescent="0.25">
      <c r="A6366" s="2" t="s">
        <v>242</v>
      </c>
      <c r="B6366" s="6">
        <v>43949</v>
      </c>
      <c r="C6366" s="2" t="s">
        <v>314</v>
      </c>
      <c r="D6366" s="8">
        <v>-26.88</v>
      </c>
      <c r="E6366" s="8">
        <f>E6365+(0-26.88)</f>
        <v>8409915.8299995232</v>
      </c>
    </row>
    <row r="6367" spans="1:5" x14ac:dyDescent="0.25">
      <c r="A6367" s="2" t="s">
        <v>242</v>
      </c>
      <c r="B6367" s="6">
        <v>43949</v>
      </c>
      <c r="C6367" s="2" t="s">
        <v>315</v>
      </c>
      <c r="D6367" s="8">
        <v>-53.75</v>
      </c>
      <c r="E6367" s="8">
        <f>E6366+(0-53.75)</f>
        <v>8409862.0799995232</v>
      </c>
    </row>
    <row r="6368" spans="1:5" x14ac:dyDescent="0.25">
      <c r="A6368" s="2" t="s">
        <v>242</v>
      </c>
      <c r="B6368" s="6">
        <v>43949</v>
      </c>
      <c r="C6368" s="2" t="s">
        <v>16</v>
      </c>
      <c r="D6368" s="8">
        <v>-50</v>
      </c>
      <c r="E6368" s="8">
        <f>E6367+(0-50)</f>
        <v>8409812.0799995232</v>
      </c>
    </row>
    <row r="6369" spans="1:5" x14ac:dyDescent="0.25">
      <c r="A6369" s="2" t="s">
        <v>242</v>
      </c>
      <c r="B6369" s="6">
        <v>43950</v>
      </c>
      <c r="C6369" s="2" t="s">
        <v>17</v>
      </c>
      <c r="D6369" s="8">
        <v>-48</v>
      </c>
      <c r="E6369" s="8">
        <f>E6368+(0-48)</f>
        <v>8409764.0799995232</v>
      </c>
    </row>
    <row r="6370" spans="1:5" x14ac:dyDescent="0.25">
      <c r="A6370" s="2" t="s">
        <v>242</v>
      </c>
      <c r="B6370" s="6">
        <v>43950</v>
      </c>
      <c r="C6370" s="2" t="s">
        <v>316</v>
      </c>
      <c r="D6370" s="8">
        <v>-53.75</v>
      </c>
      <c r="E6370" s="8">
        <f>E6369+(0-53.75)</f>
        <v>8409710.3299995232</v>
      </c>
    </row>
    <row r="6371" spans="1:5" x14ac:dyDescent="0.25">
      <c r="A6371" s="2" t="s">
        <v>242</v>
      </c>
      <c r="B6371" s="6">
        <v>43950</v>
      </c>
      <c r="C6371" s="2" t="s">
        <v>317</v>
      </c>
      <c r="D6371" s="8">
        <v>-53.75</v>
      </c>
      <c r="E6371" s="8">
        <f>E6370+(0-53.75)</f>
        <v>8409656.5799995232</v>
      </c>
    </row>
    <row r="6372" spans="1:5" x14ac:dyDescent="0.25">
      <c r="A6372" s="2" t="s">
        <v>242</v>
      </c>
      <c r="B6372" s="6">
        <v>43950</v>
      </c>
      <c r="C6372" s="2" t="s">
        <v>16</v>
      </c>
      <c r="D6372" s="8">
        <v>-100</v>
      </c>
      <c r="E6372" s="8">
        <f>E6371+(0-100)</f>
        <v>8409556.5799995232</v>
      </c>
    </row>
    <row r="6373" spans="1:5" x14ac:dyDescent="0.25">
      <c r="A6373" s="2" t="s">
        <v>242</v>
      </c>
      <c r="B6373" s="6">
        <v>43951</v>
      </c>
      <c r="C6373" s="2" t="s">
        <v>318</v>
      </c>
      <c r="D6373" s="8">
        <v>-53.75</v>
      </c>
      <c r="E6373" s="8">
        <f>E6372+(0-53.75)</f>
        <v>8409502.8299995232</v>
      </c>
    </row>
    <row r="6374" spans="1:5" x14ac:dyDescent="0.25">
      <c r="A6374" s="2" t="s">
        <v>242</v>
      </c>
      <c r="B6374" s="6">
        <v>43951</v>
      </c>
      <c r="C6374" s="2" t="s">
        <v>17</v>
      </c>
      <c r="D6374" s="8">
        <v>-28</v>
      </c>
      <c r="E6374" s="8">
        <f>E6373+(0-28)</f>
        <v>8409474.8299995232</v>
      </c>
    </row>
    <row r="6375" spans="1:5" x14ac:dyDescent="0.25">
      <c r="A6375" s="2" t="s">
        <v>242</v>
      </c>
      <c r="B6375" s="6">
        <v>43951</v>
      </c>
      <c r="C6375" s="2" t="s">
        <v>16</v>
      </c>
      <c r="D6375" s="8">
        <v>-50</v>
      </c>
      <c r="E6375" s="8">
        <f>E6374+(0-50)</f>
        <v>8409424.8299995232</v>
      </c>
    </row>
    <row r="6376" spans="1:5" x14ac:dyDescent="0.25">
      <c r="A6376" s="2" t="s">
        <v>242</v>
      </c>
      <c r="B6376" s="6">
        <v>43952</v>
      </c>
      <c r="C6376" s="2" t="s">
        <v>17</v>
      </c>
      <c r="D6376" s="8">
        <v>-16</v>
      </c>
      <c r="E6376" s="8">
        <f>E6375+(0-16)</f>
        <v>8409408.8299995232</v>
      </c>
    </row>
    <row r="6377" spans="1:5" x14ac:dyDescent="0.25">
      <c r="A6377" s="2" t="s">
        <v>242</v>
      </c>
      <c r="B6377" s="6">
        <v>43953</v>
      </c>
      <c r="C6377" s="2" t="s">
        <v>17</v>
      </c>
      <c r="D6377" s="8">
        <v>-8</v>
      </c>
      <c r="E6377" s="8">
        <f>E6376+(0-8)</f>
        <v>8409400.8299995232</v>
      </c>
    </row>
    <row r="6378" spans="1:5" x14ac:dyDescent="0.25">
      <c r="A6378" s="2" t="s">
        <v>242</v>
      </c>
      <c r="B6378" s="6">
        <v>43955</v>
      </c>
      <c r="C6378" s="2" t="s">
        <v>24</v>
      </c>
      <c r="D6378" s="8">
        <v>-50</v>
      </c>
      <c r="E6378" s="8">
        <f>E6377+(0-50)</f>
        <v>8409350.8299995232</v>
      </c>
    </row>
    <row r="6379" spans="1:5" x14ac:dyDescent="0.25">
      <c r="A6379" s="2" t="s">
        <v>242</v>
      </c>
      <c r="B6379" s="6">
        <v>43955</v>
      </c>
      <c r="C6379" s="2" t="s">
        <v>16</v>
      </c>
      <c r="D6379" s="8">
        <v>-50</v>
      </c>
      <c r="E6379" s="8">
        <f>E6378+(0-50)</f>
        <v>8409300.8299995232</v>
      </c>
    </row>
    <row r="6380" spans="1:5" x14ac:dyDescent="0.25">
      <c r="A6380" s="2" t="s">
        <v>242</v>
      </c>
      <c r="B6380" s="6">
        <v>43955</v>
      </c>
      <c r="C6380" s="2" t="s">
        <v>24</v>
      </c>
      <c r="D6380" s="8">
        <v>-50</v>
      </c>
      <c r="E6380" s="8">
        <f>E6379+(0-50)</f>
        <v>8409250.8299995232</v>
      </c>
    </row>
    <row r="6381" spans="1:5" x14ac:dyDescent="0.25">
      <c r="A6381" s="2" t="s">
        <v>242</v>
      </c>
      <c r="B6381" s="6">
        <v>43955</v>
      </c>
      <c r="C6381" s="2" t="s">
        <v>24</v>
      </c>
      <c r="D6381" s="8">
        <v>-450</v>
      </c>
      <c r="E6381" s="8">
        <f>E6380+(0-450)</f>
        <v>8408800.8299995232</v>
      </c>
    </row>
    <row r="6382" spans="1:5" x14ac:dyDescent="0.25">
      <c r="A6382" s="2" t="s">
        <v>242</v>
      </c>
      <c r="B6382" s="6">
        <v>43955</v>
      </c>
      <c r="C6382" s="2" t="s">
        <v>16</v>
      </c>
      <c r="D6382" s="8">
        <v>-50</v>
      </c>
      <c r="E6382" s="8">
        <f>E6381+(0-50)</f>
        <v>8408750.8299995232</v>
      </c>
    </row>
    <row r="6383" spans="1:5" x14ac:dyDescent="0.25">
      <c r="A6383" s="2" t="s">
        <v>242</v>
      </c>
      <c r="B6383" s="6">
        <v>43956</v>
      </c>
      <c r="C6383" s="2" t="s">
        <v>17</v>
      </c>
      <c r="D6383" s="8">
        <v>-80</v>
      </c>
      <c r="E6383" s="8">
        <f>E6382+(0-80)</f>
        <v>8408670.8299995232</v>
      </c>
    </row>
    <row r="6384" spans="1:5" x14ac:dyDescent="0.25">
      <c r="A6384" s="2" t="s">
        <v>242</v>
      </c>
      <c r="B6384" s="6">
        <v>43956</v>
      </c>
      <c r="C6384" s="2" t="s">
        <v>16</v>
      </c>
      <c r="D6384" s="8">
        <v>-250</v>
      </c>
      <c r="E6384" s="8">
        <f>E6383+(0-250)</f>
        <v>8408420.8299995232</v>
      </c>
    </row>
    <row r="6385" spans="1:5" x14ac:dyDescent="0.25">
      <c r="A6385" s="2" t="s">
        <v>242</v>
      </c>
      <c r="B6385" s="6">
        <v>43957</v>
      </c>
      <c r="C6385" s="2" t="s">
        <v>17</v>
      </c>
      <c r="D6385" s="8">
        <v>-84</v>
      </c>
      <c r="E6385" s="8">
        <f>E6384+(0-84)</f>
        <v>8408336.8299995232</v>
      </c>
    </row>
    <row r="6386" spans="1:5" x14ac:dyDescent="0.25">
      <c r="A6386" s="2" t="s">
        <v>242</v>
      </c>
      <c r="B6386" s="6">
        <v>43958</v>
      </c>
      <c r="C6386" s="2" t="s">
        <v>24</v>
      </c>
      <c r="D6386" s="8">
        <v>-100</v>
      </c>
      <c r="E6386" s="8">
        <f>E6385+(0-100)</f>
        <v>8408236.8299995232</v>
      </c>
    </row>
    <row r="6387" spans="1:5" x14ac:dyDescent="0.25">
      <c r="A6387" s="2" t="s">
        <v>242</v>
      </c>
      <c r="B6387" s="6">
        <v>43958</v>
      </c>
      <c r="C6387" s="2" t="s">
        <v>19</v>
      </c>
      <c r="D6387" s="8">
        <v>-24</v>
      </c>
      <c r="E6387" s="8">
        <f>E6386+(0-24)</f>
        <v>8408212.8299995232</v>
      </c>
    </row>
    <row r="6388" spans="1:5" x14ac:dyDescent="0.25">
      <c r="A6388" s="2" t="s">
        <v>242</v>
      </c>
      <c r="B6388" s="6">
        <v>43958</v>
      </c>
      <c r="C6388" s="2" t="s">
        <v>16</v>
      </c>
      <c r="D6388" s="8">
        <v>-50</v>
      </c>
      <c r="E6388" s="8">
        <f>E6387+(0-50)</f>
        <v>8408162.8299995232</v>
      </c>
    </row>
    <row r="6389" spans="1:5" x14ac:dyDescent="0.25">
      <c r="A6389" s="2" t="s">
        <v>242</v>
      </c>
      <c r="B6389" s="6">
        <v>43958</v>
      </c>
      <c r="C6389" s="2" t="s">
        <v>24</v>
      </c>
      <c r="D6389" s="8">
        <v>-50</v>
      </c>
      <c r="E6389" s="8">
        <f>E6388+(0-50)</f>
        <v>8408112.8299995232</v>
      </c>
    </row>
    <row r="6390" spans="1:5" x14ac:dyDescent="0.25">
      <c r="A6390" s="2" t="s">
        <v>242</v>
      </c>
      <c r="B6390" s="6">
        <v>43958</v>
      </c>
      <c r="C6390" s="2" t="s">
        <v>24</v>
      </c>
      <c r="D6390" s="8">
        <v>-200</v>
      </c>
      <c r="E6390" s="8">
        <f>E6389+(0-200)</f>
        <v>8407912.8299995232</v>
      </c>
    </row>
    <row r="6391" spans="1:5" x14ac:dyDescent="0.25">
      <c r="A6391" s="2" t="s">
        <v>242</v>
      </c>
      <c r="B6391" s="6">
        <v>43959</v>
      </c>
      <c r="C6391" s="2" t="s">
        <v>319</v>
      </c>
      <c r="D6391" s="8">
        <v>-53.75</v>
      </c>
      <c r="E6391" s="8">
        <f>E6390+(0-53.75)</f>
        <v>8407859.0799995232</v>
      </c>
    </row>
    <row r="6392" spans="1:5" x14ac:dyDescent="0.25">
      <c r="A6392" s="2" t="s">
        <v>242</v>
      </c>
      <c r="B6392" s="6">
        <v>43959</v>
      </c>
      <c r="C6392" s="2" t="s">
        <v>319</v>
      </c>
      <c r="D6392" s="8">
        <v>-53.75</v>
      </c>
      <c r="E6392" s="8">
        <f>E6391+(0-53.75)</f>
        <v>8407805.3299995232</v>
      </c>
    </row>
    <row r="6393" spans="1:5" x14ac:dyDescent="0.25">
      <c r="A6393" s="2" t="s">
        <v>242</v>
      </c>
      <c r="B6393" s="6">
        <v>43959</v>
      </c>
      <c r="C6393" s="2" t="s">
        <v>17</v>
      </c>
      <c r="D6393" s="8">
        <v>-44</v>
      </c>
      <c r="E6393" s="8">
        <f>E6392+(0-44)</f>
        <v>8407761.3299995232</v>
      </c>
    </row>
    <row r="6394" spans="1:5" x14ac:dyDescent="0.25">
      <c r="A6394" s="2" t="s">
        <v>242</v>
      </c>
      <c r="B6394" s="6">
        <v>43959</v>
      </c>
      <c r="C6394" s="2" t="s">
        <v>24</v>
      </c>
      <c r="D6394" s="8">
        <v>-200</v>
      </c>
      <c r="E6394" s="8">
        <f>E6393+(0-200)</f>
        <v>8407561.3299995232</v>
      </c>
    </row>
    <row r="6395" spans="1:5" x14ac:dyDescent="0.25">
      <c r="A6395" s="2" t="s">
        <v>242</v>
      </c>
      <c r="B6395" s="6">
        <v>43960</v>
      </c>
      <c r="C6395" s="2" t="s">
        <v>17</v>
      </c>
      <c r="D6395" s="8">
        <v>-104</v>
      </c>
      <c r="E6395" s="8">
        <f>E6394+(0-104)</f>
        <v>8407457.3299995232</v>
      </c>
    </row>
    <row r="6396" spans="1:5" x14ac:dyDescent="0.25">
      <c r="A6396" s="2" t="s">
        <v>242</v>
      </c>
      <c r="B6396" s="6">
        <v>43962</v>
      </c>
      <c r="C6396" s="2" t="s">
        <v>16</v>
      </c>
      <c r="D6396" s="8">
        <v>-100</v>
      </c>
      <c r="E6396" s="8">
        <f>E6395+(0-100)</f>
        <v>8407357.3299995232</v>
      </c>
    </row>
    <row r="6397" spans="1:5" x14ac:dyDescent="0.25">
      <c r="A6397" s="2" t="s">
        <v>242</v>
      </c>
      <c r="B6397" s="6">
        <v>43963</v>
      </c>
      <c r="C6397" s="2" t="s">
        <v>17</v>
      </c>
      <c r="D6397" s="8">
        <v>-24</v>
      </c>
      <c r="E6397" s="8">
        <f>E6396+(0-24)</f>
        <v>8407333.3299995232</v>
      </c>
    </row>
    <row r="6398" spans="1:5" x14ac:dyDescent="0.25">
      <c r="A6398" s="2" t="s">
        <v>242</v>
      </c>
      <c r="B6398" s="6">
        <v>43963</v>
      </c>
      <c r="C6398" s="2" t="s">
        <v>16</v>
      </c>
      <c r="D6398" s="8">
        <v>-50</v>
      </c>
      <c r="E6398" s="8">
        <f>E6397+(0-50)</f>
        <v>8407283.3299995232</v>
      </c>
    </row>
    <row r="6399" spans="1:5" x14ac:dyDescent="0.25">
      <c r="A6399" s="2" t="s">
        <v>242</v>
      </c>
      <c r="B6399" s="6">
        <v>43963</v>
      </c>
      <c r="C6399" s="2" t="s">
        <v>16</v>
      </c>
      <c r="D6399" s="8">
        <v>-50</v>
      </c>
      <c r="E6399" s="8">
        <f>E6398+(0-50)</f>
        <v>8407233.3299995232</v>
      </c>
    </row>
    <row r="6400" spans="1:5" x14ac:dyDescent="0.25">
      <c r="A6400" s="2" t="s">
        <v>242</v>
      </c>
      <c r="B6400" s="6">
        <v>43963</v>
      </c>
      <c r="C6400" s="2" t="s">
        <v>16</v>
      </c>
      <c r="D6400" s="8">
        <v>-200</v>
      </c>
      <c r="E6400" s="8">
        <f>E6399+(0-200)</f>
        <v>8407033.3299995232</v>
      </c>
    </row>
    <row r="6401" spans="1:5" x14ac:dyDescent="0.25">
      <c r="A6401" s="2" t="s">
        <v>242</v>
      </c>
      <c r="B6401" s="6">
        <v>43963</v>
      </c>
      <c r="C6401" s="2" t="s">
        <v>16</v>
      </c>
      <c r="D6401" s="8">
        <v>-50</v>
      </c>
      <c r="E6401" s="8">
        <f>E6400+(0-50)</f>
        <v>8406983.3299995232</v>
      </c>
    </row>
    <row r="6402" spans="1:5" x14ac:dyDescent="0.25">
      <c r="A6402" s="2" t="s">
        <v>242</v>
      </c>
      <c r="B6402" s="6">
        <v>43964</v>
      </c>
      <c r="C6402" s="2" t="s">
        <v>78</v>
      </c>
      <c r="D6402" s="8">
        <v>-53.75</v>
      </c>
      <c r="E6402" s="8">
        <f>E6401+(0-53.75)</f>
        <v>8406929.5799995232</v>
      </c>
    </row>
    <row r="6403" spans="1:5" x14ac:dyDescent="0.25">
      <c r="A6403" s="2" t="s">
        <v>242</v>
      </c>
      <c r="B6403" s="6">
        <v>43964</v>
      </c>
      <c r="C6403" s="2" t="s">
        <v>16</v>
      </c>
      <c r="D6403" s="8">
        <v>-53.75</v>
      </c>
      <c r="E6403" s="8">
        <f>E6402+(0-53.75)</f>
        <v>8406875.8299995232</v>
      </c>
    </row>
    <row r="6404" spans="1:5" x14ac:dyDescent="0.25">
      <c r="A6404" s="2" t="s">
        <v>242</v>
      </c>
      <c r="B6404" s="6">
        <v>43964</v>
      </c>
      <c r="C6404" s="2" t="s">
        <v>320</v>
      </c>
      <c r="D6404" s="8">
        <v>-53.75</v>
      </c>
      <c r="E6404" s="8">
        <f>E6403+(0-53.75)</f>
        <v>8406822.0799995232</v>
      </c>
    </row>
    <row r="6405" spans="1:5" x14ac:dyDescent="0.25">
      <c r="A6405" s="2" t="s">
        <v>242</v>
      </c>
      <c r="B6405" s="6">
        <v>43964</v>
      </c>
      <c r="C6405" s="2" t="s">
        <v>17</v>
      </c>
      <c r="D6405" s="8">
        <v>-40</v>
      </c>
      <c r="E6405" s="8">
        <f>E6404+(0-40)</f>
        <v>8406782.0799995232</v>
      </c>
    </row>
    <row r="6406" spans="1:5" x14ac:dyDescent="0.25">
      <c r="A6406" s="2" t="s">
        <v>242</v>
      </c>
      <c r="B6406" s="6">
        <v>43964</v>
      </c>
      <c r="C6406" s="2" t="s">
        <v>16</v>
      </c>
      <c r="D6406" s="8">
        <v>-300</v>
      </c>
      <c r="E6406" s="8">
        <f>E6405+(0-300)</f>
        <v>8406482.0799995232</v>
      </c>
    </row>
    <row r="6407" spans="1:5" x14ac:dyDescent="0.25">
      <c r="A6407" s="2" t="s">
        <v>242</v>
      </c>
      <c r="B6407" s="6">
        <v>43965</v>
      </c>
      <c r="C6407" s="2" t="s">
        <v>78</v>
      </c>
      <c r="D6407" s="8">
        <v>-53.75</v>
      </c>
      <c r="E6407" s="8">
        <f>E6406+(0-53.75)</f>
        <v>8406428.3299995232</v>
      </c>
    </row>
    <row r="6408" spans="1:5" x14ac:dyDescent="0.25">
      <c r="A6408" s="2" t="s">
        <v>242</v>
      </c>
      <c r="B6408" s="6">
        <v>43965</v>
      </c>
      <c r="C6408" s="2" t="s">
        <v>78</v>
      </c>
      <c r="D6408" s="8">
        <v>-53.75</v>
      </c>
      <c r="E6408" s="8">
        <f>E6407+(0-53.75)</f>
        <v>8406374.5799995232</v>
      </c>
    </row>
    <row r="6409" spans="1:5" x14ac:dyDescent="0.25">
      <c r="A6409" s="2" t="s">
        <v>242</v>
      </c>
      <c r="B6409" s="6">
        <v>43965</v>
      </c>
      <c r="C6409" s="2" t="s">
        <v>17</v>
      </c>
      <c r="D6409" s="8">
        <v>-92</v>
      </c>
      <c r="E6409" s="8">
        <f>E6408+(0-92)</f>
        <v>8406282.5799995232</v>
      </c>
    </row>
    <row r="6410" spans="1:5" x14ac:dyDescent="0.25">
      <c r="A6410" s="2" t="s">
        <v>242</v>
      </c>
      <c r="B6410" s="6">
        <v>43965</v>
      </c>
      <c r="C6410" s="2" t="s">
        <v>16</v>
      </c>
      <c r="D6410" s="8">
        <v>-100</v>
      </c>
      <c r="E6410" s="8">
        <f>E6409+(0-100)</f>
        <v>8406182.5799995232</v>
      </c>
    </row>
    <row r="6411" spans="1:5" x14ac:dyDescent="0.25">
      <c r="A6411" s="2" t="s">
        <v>242</v>
      </c>
      <c r="B6411" s="6">
        <v>43966</v>
      </c>
      <c r="C6411" s="2" t="s">
        <v>78</v>
      </c>
      <c r="D6411" s="8">
        <v>-53.75</v>
      </c>
      <c r="E6411" s="8">
        <f>E6410+(0-53.75)</f>
        <v>8406128.8299995232</v>
      </c>
    </row>
    <row r="6412" spans="1:5" x14ac:dyDescent="0.25">
      <c r="A6412" s="2" t="s">
        <v>242</v>
      </c>
      <c r="B6412" s="6">
        <v>43966</v>
      </c>
      <c r="C6412" s="2" t="s">
        <v>78</v>
      </c>
      <c r="D6412" s="8">
        <v>-53.75</v>
      </c>
      <c r="E6412" s="8">
        <f>E6411+(0-53.75)</f>
        <v>8406075.0799995232</v>
      </c>
    </row>
    <row r="6413" spans="1:5" x14ac:dyDescent="0.25">
      <c r="A6413" s="2" t="s">
        <v>242</v>
      </c>
      <c r="B6413" s="6">
        <v>43966</v>
      </c>
      <c r="C6413" s="2" t="s">
        <v>17</v>
      </c>
      <c r="D6413" s="8">
        <v>-32</v>
      </c>
      <c r="E6413" s="8">
        <f>E6412+(0-32)</f>
        <v>8406043.0799995232</v>
      </c>
    </row>
    <row r="6414" spans="1:5" x14ac:dyDescent="0.25">
      <c r="A6414" s="2" t="s">
        <v>242</v>
      </c>
      <c r="B6414" s="6">
        <v>43966</v>
      </c>
      <c r="C6414" s="2" t="s">
        <v>24</v>
      </c>
      <c r="D6414" s="8">
        <v>-50</v>
      </c>
      <c r="E6414" s="8">
        <f>E6413+(0-50)</f>
        <v>8405993.0799995232</v>
      </c>
    </row>
    <row r="6415" spans="1:5" x14ac:dyDescent="0.25">
      <c r="A6415" s="2" t="s">
        <v>242</v>
      </c>
      <c r="B6415" s="6">
        <v>43967</v>
      </c>
      <c r="C6415" s="2" t="s">
        <v>17</v>
      </c>
      <c r="D6415" s="8">
        <v>-60</v>
      </c>
      <c r="E6415" s="8">
        <f>E6414+(0-60)</f>
        <v>8405933.0799995232</v>
      </c>
    </row>
    <row r="6416" spans="1:5" x14ac:dyDescent="0.25">
      <c r="A6416" s="2" t="s">
        <v>242</v>
      </c>
      <c r="B6416" s="6">
        <v>43969</v>
      </c>
      <c r="C6416" s="2" t="s">
        <v>24</v>
      </c>
      <c r="D6416" s="8">
        <v>-100</v>
      </c>
      <c r="E6416" s="8">
        <f>E6415+(0-100)</f>
        <v>8405833.0799995232</v>
      </c>
    </row>
    <row r="6417" spans="1:5" x14ac:dyDescent="0.25">
      <c r="A6417" s="2" t="s">
        <v>242</v>
      </c>
      <c r="B6417" s="6">
        <v>43969</v>
      </c>
      <c r="C6417" s="2" t="s">
        <v>24</v>
      </c>
      <c r="D6417" s="8">
        <v>-150</v>
      </c>
      <c r="E6417" s="8">
        <f>E6416+(0-150)</f>
        <v>8405683.0799995232</v>
      </c>
    </row>
    <row r="6418" spans="1:5" x14ac:dyDescent="0.25">
      <c r="A6418" s="2" t="s">
        <v>242</v>
      </c>
      <c r="B6418" s="6">
        <v>43969</v>
      </c>
      <c r="C6418" s="2" t="s">
        <v>24</v>
      </c>
      <c r="D6418" s="8">
        <v>-150</v>
      </c>
      <c r="E6418" s="8">
        <f>E6417+(0-150)</f>
        <v>8405533.0799995232</v>
      </c>
    </row>
    <row r="6419" spans="1:5" x14ac:dyDescent="0.25">
      <c r="A6419" s="2" t="s">
        <v>242</v>
      </c>
      <c r="B6419" s="6">
        <v>43970</v>
      </c>
      <c r="C6419" s="2" t="s">
        <v>17</v>
      </c>
      <c r="D6419" s="8">
        <v>-4</v>
      </c>
      <c r="E6419" s="8">
        <f>E6418+(0-4)</f>
        <v>8405529.0799995232</v>
      </c>
    </row>
    <row r="6420" spans="1:5" x14ac:dyDescent="0.25">
      <c r="A6420" s="2" t="s">
        <v>242</v>
      </c>
      <c r="B6420" s="6">
        <v>43970</v>
      </c>
      <c r="C6420" s="2" t="s">
        <v>17</v>
      </c>
      <c r="D6420" s="8">
        <v>-28</v>
      </c>
      <c r="E6420" s="8">
        <f>E6419+(0-28)</f>
        <v>8405501.0799995232</v>
      </c>
    </row>
    <row r="6421" spans="1:5" x14ac:dyDescent="0.25">
      <c r="A6421" s="2" t="s">
        <v>242</v>
      </c>
      <c r="B6421" s="6">
        <v>43970</v>
      </c>
      <c r="C6421" s="2" t="s">
        <v>24</v>
      </c>
      <c r="D6421" s="8">
        <v>-100</v>
      </c>
      <c r="E6421" s="8">
        <f>E6420+(0-100)</f>
        <v>8405401.0799995232</v>
      </c>
    </row>
    <row r="6422" spans="1:5" x14ac:dyDescent="0.25">
      <c r="A6422" s="2" t="s">
        <v>242</v>
      </c>
      <c r="B6422" s="6">
        <v>43971</v>
      </c>
      <c r="C6422" s="2" t="s">
        <v>17</v>
      </c>
      <c r="D6422" s="8">
        <v>-12</v>
      </c>
      <c r="E6422" s="8">
        <f>E6421+(0-12)</f>
        <v>8405389.0799995232</v>
      </c>
    </row>
    <row r="6423" spans="1:5" x14ac:dyDescent="0.25">
      <c r="A6423" s="2" t="s">
        <v>242</v>
      </c>
      <c r="B6423" s="6">
        <v>43971</v>
      </c>
      <c r="C6423" s="2" t="s">
        <v>24</v>
      </c>
      <c r="D6423" s="8">
        <v>-50</v>
      </c>
      <c r="E6423" s="8">
        <f>E6422+(0-50)</f>
        <v>8405339.0799995232</v>
      </c>
    </row>
    <row r="6424" spans="1:5" x14ac:dyDescent="0.25">
      <c r="A6424" s="2" t="s">
        <v>242</v>
      </c>
      <c r="B6424" s="6">
        <v>43971</v>
      </c>
      <c r="C6424" s="2" t="s">
        <v>24</v>
      </c>
      <c r="D6424" s="8">
        <v>-50</v>
      </c>
      <c r="E6424" s="8">
        <f>E6423+(0-50)</f>
        <v>8405289.0799995232</v>
      </c>
    </row>
    <row r="6425" spans="1:5" x14ac:dyDescent="0.25">
      <c r="A6425" s="2" t="s">
        <v>242</v>
      </c>
      <c r="B6425" s="6">
        <v>43971</v>
      </c>
      <c r="C6425" s="2" t="s">
        <v>24</v>
      </c>
      <c r="D6425" s="8">
        <v>-50</v>
      </c>
      <c r="E6425" s="8">
        <f>E6424+(0-50)</f>
        <v>8405239.0799995232</v>
      </c>
    </row>
    <row r="6426" spans="1:5" x14ac:dyDescent="0.25">
      <c r="A6426" s="2" t="s">
        <v>242</v>
      </c>
      <c r="B6426" s="6">
        <v>43971</v>
      </c>
      <c r="C6426" s="2" t="s">
        <v>24</v>
      </c>
      <c r="D6426" s="8">
        <v>-50</v>
      </c>
      <c r="E6426" s="8">
        <f>E6425+(0-50)</f>
        <v>8405189.0799995232</v>
      </c>
    </row>
    <row r="6427" spans="1:5" x14ac:dyDescent="0.25">
      <c r="A6427" s="2" t="s">
        <v>242</v>
      </c>
      <c r="B6427" s="6">
        <v>43971</v>
      </c>
      <c r="C6427" s="2" t="s">
        <v>24</v>
      </c>
      <c r="D6427" s="8">
        <v>-250</v>
      </c>
      <c r="E6427" s="8">
        <f>E6426+(0-250)</f>
        <v>8404939.0799995232</v>
      </c>
    </row>
    <row r="6428" spans="1:5" x14ac:dyDescent="0.25">
      <c r="A6428" s="2" t="s">
        <v>242</v>
      </c>
      <c r="B6428" s="6">
        <v>43972</v>
      </c>
      <c r="C6428" s="2" t="s">
        <v>17</v>
      </c>
      <c r="D6428" s="8">
        <v>-52</v>
      </c>
      <c r="E6428" s="8">
        <f>E6427+(0-52)</f>
        <v>8404887.0799995232</v>
      </c>
    </row>
    <row r="6429" spans="1:5" x14ac:dyDescent="0.25">
      <c r="A6429" s="2" t="s">
        <v>242</v>
      </c>
      <c r="B6429" s="6">
        <v>43972</v>
      </c>
      <c r="C6429" s="2" t="s">
        <v>24</v>
      </c>
      <c r="D6429" s="8">
        <v>-50</v>
      </c>
      <c r="E6429" s="8">
        <f>E6428+(0-50)</f>
        <v>8404837.0799995232</v>
      </c>
    </row>
    <row r="6430" spans="1:5" x14ac:dyDescent="0.25">
      <c r="A6430" s="2" t="s">
        <v>242</v>
      </c>
      <c r="B6430" s="6">
        <v>43972</v>
      </c>
      <c r="C6430" s="2" t="s">
        <v>24</v>
      </c>
      <c r="D6430" s="8">
        <v>-150</v>
      </c>
      <c r="E6430" s="8">
        <f>E6429+(0-150)</f>
        <v>8404687.0799995232</v>
      </c>
    </row>
    <row r="6431" spans="1:5" x14ac:dyDescent="0.25">
      <c r="A6431" s="2" t="s">
        <v>242</v>
      </c>
      <c r="B6431" s="6">
        <v>43973</v>
      </c>
      <c r="C6431" s="2" t="s">
        <v>17</v>
      </c>
      <c r="D6431" s="8">
        <v>-96</v>
      </c>
      <c r="E6431" s="8">
        <f>E6430+(0-96)</f>
        <v>8404591.0799995232</v>
      </c>
    </row>
    <row r="6432" spans="1:5" x14ac:dyDescent="0.25">
      <c r="A6432" s="2" t="s">
        <v>242</v>
      </c>
      <c r="B6432" s="6">
        <v>43973</v>
      </c>
      <c r="C6432" s="2" t="s">
        <v>16</v>
      </c>
      <c r="D6432" s="8">
        <v>-200</v>
      </c>
      <c r="E6432" s="8">
        <f>E6431+(0-200)</f>
        <v>8404391.0799995232</v>
      </c>
    </row>
    <row r="6433" spans="1:5" x14ac:dyDescent="0.25">
      <c r="A6433" s="2" t="s">
        <v>242</v>
      </c>
      <c r="B6433" s="6">
        <v>43976</v>
      </c>
      <c r="C6433" s="2" t="s">
        <v>19</v>
      </c>
      <c r="D6433" s="8">
        <v>-24</v>
      </c>
      <c r="E6433" s="8">
        <f>E6432+(0-24)</f>
        <v>8404367.0799995232</v>
      </c>
    </row>
    <row r="6434" spans="1:5" x14ac:dyDescent="0.25">
      <c r="A6434" s="2" t="s">
        <v>242</v>
      </c>
      <c r="B6434" s="6">
        <v>43977</v>
      </c>
      <c r="C6434" s="2" t="s">
        <v>17</v>
      </c>
      <c r="D6434" s="8">
        <v>-4</v>
      </c>
      <c r="E6434" s="8">
        <f>E6433+(0-4)</f>
        <v>8404363.0799995232</v>
      </c>
    </row>
    <row r="6435" spans="1:5" x14ac:dyDescent="0.25">
      <c r="A6435" s="2" t="s">
        <v>242</v>
      </c>
      <c r="B6435" s="6">
        <v>43978</v>
      </c>
      <c r="C6435" s="2" t="s">
        <v>24</v>
      </c>
      <c r="D6435" s="8">
        <v>-50</v>
      </c>
      <c r="E6435" s="8">
        <f>E6434+(0-50)</f>
        <v>8404313.0799995232</v>
      </c>
    </row>
    <row r="6436" spans="1:5" x14ac:dyDescent="0.25">
      <c r="A6436" s="2" t="s">
        <v>242</v>
      </c>
      <c r="B6436" s="6">
        <v>43978</v>
      </c>
      <c r="C6436" s="2" t="s">
        <v>24</v>
      </c>
      <c r="D6436" s="8">
        <v>-50</v>
      </c>
      <c r="E6436" s="8">
        <f>E6435+(0-50)</f>
        <v>8404263.0799995232</v>
      </c>
    </row>
    <row r="6437" spans="1:5" x14ac:dyDescent="0.25">
      <c r="A6437" s="2" t="s">
        <v>242</v>
      </c>
      <c r="B6437" s="6">
        <v>43978</v>
      </c>
      <c r="C6437" s="2" t="s">
        <v>24</v>
      </c>
      <c r="D6437" s="8">
        <v>-250</v>
      </c>
      <c r="E6437" s="8">
        <f>E6436+(0-250)</f>
        <v>8404013.0799995232</v>
      </c>
    </row>
    <row r="6438" spans="1:5" x14ac:dyDescent="0.25">
      <c r="A6438" s="2" t="s">
        <v>242</v>
      </c>
      <c r="B6438" s="6">
        <v>43979</v>
      </c>
      <c r="C6438" s="2" t="s">
        <v>17</v>
      </c>
      <c r="D6438" s="8">
        <v>-8</v>
      </c>
      <c r="E6438" s="8">
        <f>E6437+(0-8)</f>
        <v>8404005.0799995232</v>
      </c>
    </row>
    <row r="6439" spans="1:5" x14ac:dyDescent="0.25">
      <c r="A6439" s="2" t="s">
        <v>242</v>
      </c>
      <c r="B6439" s="6">
        <v>43979</v>
      </c>
      <c r="C6439" s="2" t="s">
        <v>17</v>
      </c>
      <c r="D6439" s="8">
        <v>-44</v>
      </c>
      <c r="E6439" s="8">
        <f>E6438+(0-44)</f>
        <v>8403961.0799995232</v>
      </c>
    </row>
    <row r="6440" spans="1:5" x14ac:dyDescent="0.25">
      <c r="A6440" s="2" t="s">
        <v>242</v>
      </c>
      <c r="B6440" s="6">
        <v>43979</v>
      </c>
      <c r="C6440" s="2" t="s">
        <v>16</v>
      </c>
      <c r="D6440" s="8">
        <v>-200</v>
      </c>
      <c r="E6440" s="8">
        <f>E6439+(0-200)</f>
        <v>8403761.0799995232</v>
      </c>
    </row>
    <row r="6441" spans="1:5" x14ac:dyDescent="0.25">
      <c r="A6441" s="2" t="s">
        <v>242</v>
      </c>
      <c r="B6441" s="6">
        <v>43979</v>
      </c>
      <c r="C6441" s="2" t="s">
        <v>16</v>
      </c>
      <c r="D6441" s="8">
        <v>-50</v>
      </c>
      <c r="E6441" s="8">
        <f>E6440+(0-50)</f>
        <v>8403711.0799995232</v>
      </c>
    </row>
    <row r="6442" spans="1:5" x14ac:dyDescent="0.25">
      <c r="A6442" s="2" t="s">
        <v>242</v>
      </c>
      <c r="B6442" s="6">
        <v>43980</v>
      </c>
      <c r="C6442" s="2" t="s">
        <v>17</v>
      </c>
      <c r="D6442" s="8">
        <v>-64</v>
      </c>
      <c r="E6442" s="8">
        <f>E6441+(0-64)</f>
        <v>8403647.0799995232</v>
      </c>
    </row>
    <row r="6443" spans="1:5" x14ac:dyDescent="0.25">
      <c r="A6443" s="2" t="s">
        <v>242</v>
      </c>
      <c r="B6443" s="6">
        <v>43980</v>
      </c>
      <c r="C6443" s="2" t="s">
        <v>321</v>
      </c>
      <c r="D6443" s="8">
        <v>-53.75</v>
      </c>
      <c r="E6443" s="8">
        <f>E6442+(0-53.75)</f>
        <v>8403593.3299995232</v>
      </c>
    </row>
    <row r="6444" spans="1:5" x14ac:dyDescent="0.25">
      <c r="A6444" s="2" t="s">
        <v>242</v>
      </c>
      <c r="B6444" s="6">
        <v>43980</v>
      </c>
      <c r="C6444" s="2" t="s">
        <v>16</v>
      </c>
      <c r="D6444" s="8">
        <v>-200</v>
      </c>
      <c r="E6444" s="8">
        <f>E6443+(0-200)</f>
        <v>8403393.3299995232</v>
      </c>
    </row>
    <row r="6445" spans="1:5" x14ac:dyDescent="0.25">
      <c r="A6445" s="2" t="s">
        <v>242</v>
      </c>
      <c r="B6445" s="6">
        <v>43982</v>
      </c>
      <c r="C6445" s="2" t="s">
        <v>17</v>
      </c>
      <c r="D6445" s="8">
        <v>-40</v>
      </c>
      <c r="E6445" s="8">
        <f>E6444+(0-40)</f>
        <v>8403353.3299995232</v>
      </c>
    </row>
    <row r="6446" spans="1:5" x14ac:dyDescent="0.25">
      <c r="A6446" s="2" t="s">
        <v>242</v>
      </c>
      <c r="B6446" s="6">
        <v>43982</v>
      </c>
      <c r="C6446" s="2" t="s">
        <v>17</v>
      </c>
      <c r="D6446" s="8">
        <v>-12</v>
      </c>
      <c r="E6446" s="8">
        <f>E6445+(0-12)</f>
        <v>8403341.3299995232</v>
      </c>
    </row>
    <row r="6447" spans="1:5" x14ac:dyDescent="0.25">
      <c r="A6447" s="2" t="s">
        <v>242</v>
      </c>
      <c r="B6447" s="6">
        <v>43984</v>
      </c>
      <c r="C6447" s="2" t="s">
        <v>81</v>
      </c>
      <c r="D6447" s="8">
        <v>-26.88</v>
      </c>
      <c r="E6447" s="8">
        <f>E6446+(0-26.88)</f>
        <v>8403314.4499995224</v>
      </c>
    </row>
    <row r="6448" spans="1:5" x14ac:dyDescent="0.25">
      <c r="A6448" s="2" t="s">
        <v>242</v>
      </c>
      <c r="B6448" s="6">
        <v>43986</v>
      </c>
      <c r="C6448" s="2" t="s">
        <v>16</v>
      </c>
      <c r="D6448" s="8">
        <v>-50</v>
      </c>
      <c r="E6448" s="8">
        <f>E6447+(0-50)</f>
        <v>8403264.4499995224</v>
      </c>
    </row>
    <row r="6449" spans="1:5" x14ac:dyDescent="0.25">
      <c r="A6449" s="2" t="s">
        <v>242</v>
      </c>
      <c r="B6449" s="6">
        <v>43986</v>
      </c>
      <c r="C6449" s="2" t="s">
        <v>16</v>
      </c>
      <c r="D6449" s="8">
        <v>-50</v>
      </c>
      <c r="E6449" s="8">
        <f>E6448+(0-50)</f>
        <v>8403214.4499995224</v>
      </c>
    </row>
    <row r="6450" spans="1:5" x14ac:dyDescent="0.25">
      <c r="A6450" s="2" t="s">
        <v>242</v>
      </c>
      <c r="B6450" s="6">
        <v>43986</v>
      </c>
      <c r="C6450" s="2" t="s">
        <v>16</v>
      </c>
      <c r="D6450" s="8">
        <v>-200</v>
      </c>
      <c r="E6450" s="8">
        <f>E6449+(0-200)</f>
        <v>8403014.4499995224</v>
      </c>
    </row>
    <row r="6451" spans="1:5" x14ac:dyDescent="0.25">
      <c r="A6451" s="2" t="s">
        <v>242</v>
      </c>
      <c r="B6451" s="6">
        <v>43987</v>
      </c>
      <c r="C6451" s="2" t="s">
        <v>17</v>
      </c>
      <c r="D6451" s="8">
        <v>-60</v>
      </c>
      <c r="E6451" s="8">
        <f>E6450+(0-60)</f>
        <v>8402954.4499995224</v>
      </c>
    </row>
    <row r="6452" spans="1:5" x14ac:dyDescent="0.25">
      <c r="A6452" s="2" t="s">
        <v>242</v>
      </c>
      <c r="B6452" s="6">
        <v>43987</v>
      </c>
      <c r="C6452" s="2" t="s">
        <v>24</v>
      </c>
      <c r="D6452" s="8">
        <v>-50</v>
      </c>
      <c r="E6452" s="8">
        <f>E6451+(0-50)</f>
        <v>8402904.4499995224</v>
      </c>
    </row>
    <row r="6453" spans="1:5" x14ac:dyDescent="0.25">
      <c r="A6453" s="2" t="s">
        <v>242</v>
      </c>
      <c r="B6453" s="6">
        <v>43988</v>
      </c>
      <c r="C6453" s="2" t="s">
        <v>16</v>
      </c>
      <c r="D6453" s="8">
        <v>-350</v>
      </c>
      <c r="E6453" s="8">
        <f>E6452+(0-350)</f>
        <v>8402554.4499995224</v>
      </c>
    </row>
    <row r="6454" spans="1:5" x14ac:dyDescent="0.25">
      <c r="A6454" s="2" t="s">
        <v>242</v>
      </c>
      <c r="B6454" s="6">
        <v>43988</v>
      </c>
      <c r="C6454" s="2" t="s">
        <v>17</v>
      </c>
      <c r="D6454" s="8">
        <v>-48</v>
      </c>
      <c r="E6454" s="8">
        <f>E6453+(0-48)</f>
        <v>8402506.4499995224</v>
      </c>
    </row>
    <row r="6455" spans="1:5" x14ac:dyDescent="0.25">
      <c r="A6455" s="2" t="s">
        <v>242</v>
      </c>
      <c r="B6455" s="6">
        <v>43990</v>
      </c>
      <c r="C6455" s="2" t="s">
        <v>17</v>
      </c>
      <c r="D6455" s="8">
        <v>-8</v>
      </c>
      <c r="E6455" s="8">
        <f>E6454+(0-8)</f>
        <v>8402498.4499995224</v>
      </c>
    </row>
    <row r="6456" spans="1:5" x14ac:dyDescent="0.25">
      <c r="A6456" s="2" t="s">
        <v>242</v>
      </c>
      <c r="B6456" s="6">
        <v>43990</v>
      </c>
      <c r="C6456" s="2" t="s">
        <v>17</v>
      </c>
      <c r="D6456" s="8">
        <v>-8</v>
      </c>
      <c r="E6456" s="8">
        <f>E6455+(0-8)</f>
        <v>8402490.4499995224</v>
      </c>
    </row>
    <row r="6457" spans="1:5" x14ac:dyDescent="0.25">
      <c r="A6457" s="2" t="s">
        <v>242</v>
      </c>
      <c r="B6457" s="6">
        <v>43990</v>
      </c>
      <c r="C6457" s="2" t="s">
        <v>16</v>
      </c>
      <c r="D6457" s="8">
        <v>-300</v>
      </c>
      <c r="E6457" s="8">
        <f>E6456+(0-300)</f>
        <v>8402190.4499995224</v>
      </c>
    </row>
    <row r="6458" spans="1:5" x14ac:dyDescent="0.25">
      <c r="A6458" s="2" t="s">
        <v>242</v>
      </c>
      <c r="B6458" s="6">
        <v>43991</v>
      </c>
      <c r="C6458" s="2" t="s">
        <v>17</v>
      </c>
      <c r="D6458" s="8">
        <v>-44</v>
      </c>
      <c r="E6458" s="8">
        <f>E6457+(0-44)</f>
        <v>8402146.4499995224</v>
      </c>
    </row>
    <row r="6459" spans="1:5" x14ac:dyDescent="0.25">
      <c r="A6459" s="2" t="s">
        <v>242</v>
      </c>
      <c r="B6459" s="6">
        <v>43991</v>
      </c>
      <c r="C6459" s="2" t="s">
        <v>24</v>
      </c>
      <c r="D6459" s="8">
        <v>-200</v>
      </c>
      <c r="E6459" s="8">
        <f>E6458+(0-200)</f>
        <v>8401946.4499995224</v>
      </c>
    </row>
    <row r="6460" spans="1:5" x14ac:dyDescent="0.25">
      <c r="A6460" s="2" t="s">
        <v>242</v>
      </c>
      <c r="B6460" s="6">
        <v>43991</v>
      </c>
      <c r="C6460" s="2" t="s">
        <v>16</v>
      </c>
      <c r="D6460" s="8">
        <v>-250</v>
      </c>
      <c r="E6460" s="8">
        <f>E6459+(0-250)</f>
        <v>8401696.4499995224</v>
      </c>
    </row>
    <row r="6461" spans="1:5" x14ac:dyDescent="0.25">
      <c r="A6461" s="2" t="s">
        <v>242</v>
      </c>
      <c r="B6461" s="6">
        <v>43991</v>
      </c>
      <c r="C6461" s="2" t="s">
        <v>322</v>
      </c>
      <c r="D6461" s="8">
        <v>-53.75</v>
      </c>
      <c r="E6461" s="8">
        <f>E6460+(0-53.75)</f>
        <v>8401642.6999995224</v>
      </c>
    </row>
    <row r="6462" spans="1:5" x14ac:dyDescent="0.25">
      <c r="A6462" s="2" t="s">
        <v>242</v>
      </c>
      <c r="B6462" s="6">
        <v>43992</v>
      </c>
      <c r="C6462" s="2" t="s">
        <v>16</v>
      </c>
      <c r="D6462" s="8">
        <v>-100</v>
      </c>
      <c r="E6462" s="8">
        <f>E6461+(0-100)</f>
        <v>8401542.6999995224</v>
      </c>
    </row>
    <row r="6463" spans="1:5" x14ac:dyDescent="0.25">
      <c r="A6463" s="2" t="s">
        <v>242</v>
      </c>
      <c r="B6463" s="6">
        <v>43992</v>
      </c>
      <c r="C6463" s="2" t="s">
        <v>16</v>
      </c>
      <c r="D6463" s="8">
        <v>-50</v>
      </c>
      <c r="E6463" s="8">
        <f>E6462+(0-50)</f>
        <v>8401492.6999995224</v>
      </c>
    </row>
    <row r="6464" spans="1:5" x14ac:dyDescent="0.25">
      <c r="A6464" s="2" t="s">
        <v>242</v>
      </c>
      <c r="B6464" s="6">
        <v>43993</v>
      </c>
      <c r="C6464" s="2" t="s">
        <v>17</v>
      </c>
      <c r="D6464" s="8">
        <v>-44</v>
      </c>
      <c r="E6464" s="8">
        <f>E6463+(0-44)</f>
        <v>8401448.6999995224</v>
      </c>
    </row>
    <row r="6465" spans="1:5" x14ac:dyDescent="0.25">
      <c r="A6465" s="2" t="s">
        <v>242</v>
      </c>
      <c r="B6465" s="6">
        <v>43993</v>
      </c>
      <c r="C6465" s="2" t="s">
        <v>17</v>
      </c>
      <c r="D6465" s="8">
        <v>-48</v>
      </c>
      <c r="E6465" s="8">
        <f>E6464+(0-48)</f>
        <v>8401400.6999995224</v>
      </c>
    </row>
    <row r="6466" spans="1:5" x14ac:dyDescent="0.25">
      <c r="A6466" s="2" t="s">
        <v>242</v>
      </c>
      <c r="B6466" s="6">
        <v>43993</v>
      </c>
      <c r="C6466" s="2" t="s">
        <v>16</v>
      </c>
      <c r="D6466" s="8">
        <v>-50</v>
      </c>
      <c r="E6466" s="8">
        <f>E6465+(0-50)</f>
        <v>8401350.6999995224</v>
      </c>
    </row>
    <row r="6467" spans="1:5" x14ac:dyDescent="0.25">
      <c r="A6467" s="2" t="s">
        <v>242</v>
      </c>
      <c r="B6467" s="6">
        <v>43997</v>
      </c>
      <c r="C6467" s="2" t="s">
        <v>91</v>
      </c>
      <c r="D6467" s="8">
        <v>-50</v>
      </c>
      <c r="E6467" s="8">
        <f>E6466+(0-50)</f>
        <v>8401300.6999995224</v>
      </c>
    </row>
    <row r="6468" spans="1:5" x14ac:dyDescent="0.25">
      <c r="A6468" s="2" t="s">
        <v>242</v>
      </c>
      <c r="B6468" s="6">
        <v>43997</v>
      </c>
      <c r="C6468" s="2" t="s">
        <v>16</v>
      </c>
      <c r="D6468" s="8">
        <v>-50</v>
      </c>
      <c r="E6468" s="8">
        <f>E6467+(0-50)</f>
        <v>8401250.6999995224</v>
      </c>
    </row>
    <row r="6469" spans="1:5" x14ac:dyDescent="0.25">
      <c r="A6469" s="2" t="s">
        <v>242</v>
      </c>
      <c r="B6469" s="6">
        <v>43997</v>
      </c>
      <c r="C6469" s="2" t="s">
        <v>16</v>
      </c>
      <c r="D6469" s="8">
        <v>-50</v>
      </c>
      <c r="E6469" s="8">
        <f>E6468+(0-50)</f>
        <v>8401200.6999995224</v>
      </c>
    </row>
    <row r="6470" spans="1:5" x14ac:dyDescent="0.25">
      <c r="A6470" s="2" t="s">
        <v>242</v>
      </c>
      <c r="B6470" s="6">
        <v>43997</v>
      </c>
      <c r="C6470" s="2" t="s">
        <v>16</v>
      </c>
      <c r="D6470" s="8">
        <v>-250</v>
      </c>
      <c r="E6470" s="8">
        <f>E6469+(0-250)</f>
        <v>8400950.6999995224</v>
      </c>
    </row>
    <row r="6471" spans="1:5" x14ac:dyDescent="0.25">
      <c r="A6471" s="2" t="s">
        <v>242</v>
      </c>
      <c r="B6471" s="6">
        <v>43997</v>
      </c>
      <c r="C6471" s="2" t="s">
        <v>24</v>
      </c>
      <c r="D6471" s="8">
        <v>-50</v>
      </c>
      <c r="E6471" s="8">
        <f>E6470+(0-50)</f>
        <v>8400900.6999995224</v>
      </c>
    </row>
    <row r="6472" spans="1:5" x14ac:dyDescent="0.25">
      <c r="A6472" s="2" t="s">
        <v>242</v>
      </c>
      <c r="B6472" s="6">
        <v>43998</v>
      </c>
      <c r="C6472" s="2" t="s">
        <v>16</v>
      </c>
      <c r="D6472" s="8">
        <v>-350</v>
      </c>
      <c r="E6472" s="8">
        <f>E6471+(0-350)</f>
        <v>8400550.6999995224</v>
      </c>
    </row>
    <row r="6473" spans="1:5" x14ac:dyDescent="0.25">
      <c r="A6473" s="2" t="s">
        <v>242</v>
      </c>
      <c r="B6473" s="6">
        <v>43998</v>
      </c>
      <c r="C6473" s="2" t="s">
        <v>16</v>
      </c>
      <c r="D6473" s="8">
        <v>-50</v>
      </c>
      <c r="E6473" s="8">
        <f>E6472+(0-50)</f>
        <v>8400500.6999995224</v>
      </c>
    </row>
    <row r="6474" spans="1:5" x14ac:dyDescent="0.25">
      <c r="A6474" s="2" t="s">
        <v>242</v>
      </c>
      <c r="B6474" s="6">
        <v>43998</v>
      </c>
      <c r="C6474" s="2" t="s">
        <v>17</v>
      </c>
      <c r="D6474" s="8">
        <v>-76</v>
      </c>
      <c r="E6474" s="8">
        <f>E6473+(0-76)</f>
        <v>8400424.6999995224</v>
      </c>
    </row>
    <row r="6475" spans="1:5" x14ac:dyDescent="0.25">
      <c r="A6475" s="2" t="s">
        <v>242</v>
      </c>
      <c r="B6475" s="6">
        <v>43999</v>
      </c>
      <c r="C6475" s="2" t="s">
        <v>16</v>
      </c>
      <c r="D6475" s="8">
        <v>-50</v>
      </c>
      <c r="E6475" s="8">
        <f>E6474+(0-50)</f>
        <v>8400374.6999995224</v>
      </c>
    </row>
    <row r="6476" spans="1:5" x14ac:dyDescent="0.25">
      <c r="A6476" s="2" t="s">
        <v>242</v>
      </c>
      <c r="B6476" s="6">
        <v>43999</v>
      </c>
      <c r="C6476" s="2" t="s">
        <v>16</v>
      </c>
      <c r="D6476" s="8">
        <v>-50</v>
      </c>
      <c r="E6476" s="8">
        <f>E6475+(0-50)</f>
        <v>8400324.6999995224</v>
      </c>
    </row>
    <row r="6477" spans="1:5" x14ac:dyDescent="0.25">
      <c r="A6477" s="2" t="s">
        <v>242</v>
      </c>
      <c r="B6477" s="6">
        <v>43999</v>
      </c>
      <c r="C6477" s="2" t="s">
        <v>16</v>
      </c>
      <c r="D6477" s="8">
        <v>-100</v>
      </c>
      <c r="E6477" s="8">
        <f>E6476+(0-100)</f>
        <v>8400224.6999995224</v>
      </c>
    </row>
    <row r="6478" spans="1:5" x14ac:dyDescent="0.25">
      <c r="A6478" s="2" t="s">
        <v>242</v>
      </c>
      <c r="B6478" s="6">
        <v>44000</v>
      </c>
      <c r="C6478" s="2" t="s">
        <v>16</v>
      </c>
      <c r="D6478" s="8">
        <v>-50</v>
      </c>
      <c r="E6478" s="8">
        <f>E6477+(0-50)</f>
        <v>8400174.6999995224</v>
      </c>
    </row>
    <row r="6479" spans="1:5" x14ac:dyDescent="0.25">
      <c r="A6479" s="2" t="s">
        <v>242</v>
      </c>
      <c r="B6479" s="6">
        <v>44000</v>
      </c>
      <c r="C6479" s="2" t="s">
        <v>16</v>
      </c>
      <c r="D6479" s="8">
        <v>-200</v>
      </c>
      <c r="E6479" s="8">
        <f>E6478+(0-200)</f>
        <v>8399974.6999995224</v>
      </c>
    </row>
    <row r="6480" spans="1:5" x14ac:dyDescent="0.25">
      <c r="A6480" s="2" t="s">
        <v>242</v>
      </c>
      <c r="B6480" s="6">
        <v>44001</v>
      </c>
      <c r="C6480" s="2" t="s">
        <v>17</v>
      </c>
      <c r="D6480" s="8">
        <v>-60</v>
      </c>
      <c r="E6480" s="8">
        <f>E6479+(0-60)</f>
        <v>8399914.6999995224</v>
      </c>
    </row>
    <row r="6481" spans="1:5" x14ac:dyDescent="0.25">
      <c r="A6481" s="2" t="s">
        <v>242</v>
      </c>
      <c r="B6481" s="6">
        <v>44001</v>
      </c>
      <c r="C6481" s="2" t="s">
        <v>17</v>
      </c>
      <c r="D6481" s="8">
        <v>-36</v>
      </c>
      <c r="E6481" s="8">
        <f>E6480+(0-36)</f>
        <v>8399878.6999995224</v>
      </c>
    </row>
    <row r="6482" spans="1:5" x14ac:dyDescent="0.25">
      <c r="A6482" s="2" t="s">
        <v>242</v>
      </c>
      <c r="B6482" s="6">
        <v>44001</v>
      </c>
      <c r="C6482" s="2" t="s">
        <v>16</v>
      </c>
      <c r="D6482" s="8">
        <v>-50</v>
      </c>
      <c r="E6482" s="8">
        <f>E6481+(0-50)</f>
        <v>8399828.6999995224</v>
      </c>
    </row>
    <row r="6483" spans="1:5" x14ac:dyDescent="0.25">
      <c r="A6483" s="2" t="s">
        <v>242</v>
      </c>
      <c r="B6483" s="6">
        <v>44001</v>
      </c>
      <c r="C6483" s="2" t="s">
        <v>17</v>
      </c>
      <c r="D6483" s="8">
        <v>-112</v>
      </c>
      <c r="E6483" s="8">
        <f>E6482+(0-112)</f>
        <v>8399716.6999995224</v>
      </c>
    </row>
    <row r="6484" spans="1:5" x14ac:dyDescent="0.25">
      <c r="A6484" s="2" t="s">
        <v>242</v>
      </c>
      <c r="B6484" s="6">
        <v>44001</v>
      </c>
      <c r="C6484" s="2" t="s">
        <v>16</v>
      </c>
      <c r="D6484" s="8">
        <v>-50</v>
      </c>
      <c r="E6484" s="8">
        <f>E6483+(0-50)</f>
        <v>8399666.6999995224</v>
      </c>
    </row>
    <row r="6485" spans="1:5" x14ac:dyDescent="0.25">
      <c r="A6485" s="2" t="s">
        <v>242</v>
      </c>
      <c r="B6485" s="6">
        <v>44001</v>
      </c>
      <c r="C6485" s="2" t="s">
        <v>16</v>
      </c>
      <c r="D6485" s="8">
        <v>-300</v>
      </c>
      <c r="E6485" s="8">
        <f>E6484+(0-300)</f>
        <v>8399366.6999995224</v>
      </c>
    </row>
    <row r="6486" spans="1:5" x14ac:dyDescent="0.25">
      <c r="A6486" s="2" t="s">
        <v>242</v>
      </c>
      <c r="B6486" s="6">
        <v>44002</v>
      </c>
      <c r="C6486" s="2" t="s">
        <v>17</v>
      </c>
      <c r="D6486" s="8">
        <v>-72</v>
      </c>
      <c r="E6486" s="8">
        <f>E6485+(0-72)</f>
        <v>8399294.6999995224</v>
      </c>
    </row>
    <row r="6487" spans="1:5" x14ac:dyDescent="0.25">
      <c r="A6487" s="2" t="s">
        <v>242</v>
      </c>
      <c r="B6487" s="6">
        <v>44004</v>
      </c>
      <c r="C6487" s="2" t="s">
        <v>16</v>
      </c>
      <c r="D6487" s="8">
        <v>-100</v>
      </c>
      <c r="E6487" s="8">
        <f>E6486+(0-100)</f>
        <v>8399194.6999995224</v>
      </c>
    </row>
    <row r="6488" spans="1:5" x14ac:dyDescent="0.25">
      <c r="A6488" s="2" t="s">
        <v>242</v>
      </c>
      <c r="B6488" s="6">
        <v>44004</v>
      </c>
      <c r="C6488" s="2" t="s">
        <v>16</v>
      </c>
      <c r="D6488" s="8">
        <v>-50</v>
      </c>
      <c r="E6488" s="8">
        <f>E6487+(0-50)</f>
        <v>8399144.6999995224</v>
      </c>
    </row>
    <row r="6489" spans="1:5" x14ac:dyDescent="0.25">
      <c r="A6489" s="2" t="s">
        <v>242</v>
      </c>
      <c r="B6489" s="6">
        <v>44004</v>
      </c>
      <c r="C6489" s="2" t="s">
        <v>16</v>
      </c>
      <c r="D6489" s="8">
        <v>-50</v>
      </c>
      <c r="E6489" s="8">
        <f>E6488+(0-50)</f>
        <v>8399094.6999995224</v>
      </c>
    </row>
    <row r="6490" spans="1:5" x14ac:dyDescent="0.25">
      <c r="A6490" s="2" t="s">
        <v>242</v>
      </c>
      <c r="B6490" s="6">
        <v>44005</v>
      </c>
      <c r="C6490" s="2" t="s">
        <v>16</v>
      </c>
      <c r="D6490" s="8">
        <v>-50</v>
      </c>
      <c r="E6490" s="8">
        <f>E6489+(0-50)</f>
        <v>8399044.6999995224</v>
      </c>
    </row>
    <row r="6491" spans="1:5" x14ac:dyDescent="0.25">
      <c r="A6491" s="2" t="s">
        <v>242</v>
      </c>
      <c r="B6491" s="6">
        <v>44005</v>
      </c>
      <c r="C6491" s="2" t="s">
        <v>16</v>
      </c>
      <c r="D6491" s="8">
        <v>-100</v>
      </c>
      <c r="E6491" s="8">
        <f>E6490+(0-100)</f>
        <v>8398944.6999995224</v>
      </c>
    </row>
    <row r="6492" spans="1:5" x14ac:dyDescent="0.25">
      <c r="A6492" s="2" t="s">
        <v>242</v>
      </c>
      <c r="B6492" s="6">
        <v>44005</v>
      </c>
      <c r="C6492" s="2" t="s">
        <v>16</v>
      </c>
      <c r="D6492" s="8">
        <v>-50</v>
      </c>
      <c r="E6492" s="8">
        <f>E6491+(0-50)</f>
        <v>8398894.6999995224</v>
      </c>
    </row>
    <row r="6493" spans="1:5" x14ac:dyDescent="0.25">
      <c r="A6493" s="2" t="s">
        <v>242</v>
      </c>
      <c r="B6493" s="6">
        <v>44006</v>
      </c>
      <c r="C6493" s="2" t="s">
        <v>16</v>
      </c>
      <c r="D6493" s="8">
        <v>-50</v>
      </c>
      <c r="E6493" s="8">
        <f>E6492+(0-50)</f>
        <v>8398844.6999995224</v>
      </c>
    </row>
    <row r="6494" spans="1:5" x14ac:dyDescent="0.25">
      <c r="A6494" s="2" t="s">
        <v>242</v>
      </c>
      <c r="B6494" s="6">
        <v>44006</v>
      </c>
      <c r="C6494" s="2" t="s">
        <v>17</v>
      </c>
      <c r="D6494" s="8">
        <v>-32</v>
      </c>
      <c r="E6494" s="8">
        <f>E6493+(0-32)</f>
        <v>8398812.6999995224</v>
      </c>
    </row>
    <row r="6495" spans="1:5" x14ac:dyDescent="0.25">
      <c r="A6495" s="2" t="s">
        <v>242</v>
      </c>
      <c r="B6495" s="6">
        <v>44006</v>
      </c>
      <c r="C6495" s="2" t="s">
        <v>17</v>
      </c>
      <c r="D6495" s="8">
        <v>-60</v>
      </c>
      <c r="E6495" s="8">
        <f>E6494+(0-60)</f>
        <v>8398752.6999995224</v>
      </c>
    </row>
    <row r="6496" spans="1:5" x14ac:dyDescent="0.25">
      <c r="A6496" s="2" t="s">
        <v>242</v>
      </c>
      <c r="B6496" s="6">
        <v>44007</v>
      </c>
      <c r="C6496" s="2" t="s">
        <v>16</v>
      </c>
      <c r="D6496" s="8">
        <v>-250</v>
      </c>
      <c r="E6496" s="8">
        <f>E6495+(0-250)</f>
        <v>8398502.6999995224</v>
      </c>
    </row>
    <row r="6497" spans="1:5" x14ac:dyDescent="0.25">
      <c r="A6497" s="2" t="s">
        <v>242</v>
      </c>
      <c r="B6497" s="6">
        <v>44007</v>
      </c>
      <c r="C6497" s="2" t="s">
        <v>17</v>
      </c>
      <c r="D6497" s="8">
        <v>-36</v>
      </c>
      <c r="E6497" s="8">
        <f>E6496+(0-36)</f>
        <v>8398466.6999995224</v>
      </c>
    </row>
    <row r="6498" spans="1:5" x14ac:dyDescent="0.25">
      <c r="A6498" s="2" t="s">
        <v>242</v>
      </c>
      <c r="B6498" s="6">
        <v>44008</v>
      </c>
      <c r="C6498" s="2" t="s">
        <v>323</v>
      </c>
      <c r="D6498" s="8">
        <v>-53.75</v>
      </c>
      <c r="E6498" s="8">
        <f>E6497+(0-53.75)</f>
        <v>8398412.9499995224</v>
      </c>
    </row>
    <row r="6499" spans="1:5" x14ac:dyDescent="0.25">
      <c r="A6499" s="2" t="s">
        <v>242</v>
      </c>
      <c r="B6499" s="6">
        <v>44008</v>
      </c>
      <c r="C6499" s="2" t="s">
        <v>16</v>
      </c>
      <c r="D6499" s="8">
        <v>-100</v>
      </c>
      <c r="E6499" s="8">
        <f>E6498+(0-100)</f>
        <v>8398312.9499995224</v>
      </c>
    </row>
    <row r="6500" spans="1:5" x14ac:dyDescent="0.25">
      <c r="A6500" s="2" t="s">
        <v>242</v>
      </c>
      <c r="B6500" s="6">
        <v>44009</v>
      </c>
      <c r="C6500" s="2" t="s">
        <v>17</v>
      </c>
      <c r="D6500" s="8">
        <v>-56</v>
      </c>
      <c r="E6500" s="8">
        <f>E6499+(0-56)</f>
        <v>8398256.9499995224</v>
      </c>
    </row>
    <row r="6501" spans="1:5" x14ac:dyDescent="0.25">
      <c r="A6501" s="2" t="s">
        <v>242</v>
      </c>
      <c r="B6501" s="6">
        <v>44009</v>
      </c>
      <c r="C6501" s="2" t="s">
        <v>297</v>
      </c>
      <c r="D6501" s="8">
        <v>-36</v>
      </c>
      <c r="E6501" s="8">
        <f>E6500+(0-36)</f>
        <v>8398220.9499995224</v>
      </c>
    </row>
    <row r="6502" spans="1:5" x14ac:dyDescent="0.25">
      <c r="A6502" s="2" t="s">
        <v>242</v>
      </c>
      <c r="B6502" s="6">
        <v>44011</v>
      </c>
      <c r="C6502" s="2" t="s">
        <v>17</v>
      </c>
      <c r="D6502" s="8">
        <v>-4</v>
      </c>
      <c r="E6502" s="8">
        <f>E6501+(0-4)</f>
        <v>8398216.9499995224</v>
      </c>
    </row>
    <row r="6503" spans="1:5" x14ac:dyDescent="0.25">
      <c r="A6503" s="2" t="s">
        <v>242</v>
      </c>
      <c r="B6503" s="6">
        <v>44011</v>
      </c>
      <c r="C6503" s="2" t="s">
        <v>17</v>
      </c>
      <c r="D6503" s="8">
        <v>-12</v>
      </c>
      <c r="E6503" s="8">
        <f>E6502+(0-12)</f>
        <v>8398204.9499995224</v>
      </c>
    </row>
    <row r="6504" spans="1:5" x14ac:dyDescent="0.25">
      <c r="A6504" s="2" t="s">
        <v>242</v>
      </c>
      <c r="B6504" s="6">
        <v>44011</v>
      </c>
      <c r="C6504" s="2" t="s">
        <v>16</v>
      </c>
      <c r="D6504" s="8">
        <v>-350</v>
      </c>
      <c r="E6504" s="8">
        <f>E6503+(0-350)</f>
        <v>8397854.9499995224</v>
      </c>
    </row>
    <row r="6505" spans="1:5" x14ac:dyDescent="0.25">
      <c r="A6505" s="2" t="s">
        <v>242</v>
      </c>
      <c r="B6505" s="6">
        <v>44011</v>
      </c>
      <c r="C6505" s="2" t="s">
        <v>24</v>
      </c>
      <c r="D6505" s="8">
        <v>-50</v>
      </c>
      <c r="E6505" s="8">
        <f>E6504+(0-50)</f>
        <v>8397804.9499995224</v>
      </c>
    </row>
    <row r="6506" spans="1:5" x14ac:dyDescent="0.25">
      <c r="A6506" s="2" t="s">
        <v>242</v>
      </c>
      <c r="B6506" s="6">
        <v>44011</v>
      </c>
      <c r="C6506" s="2" t="s">
        <v>16</v>
      </c>
      <c r="D6506" s="8">
        <v>-100</v>
      </c>
      <c r="E6506" s="8">
        <f>E6505+(0-100)</f>
        <v>8397704.9499995224</v>
      </c>
    </row>
    <row r="6507" spans="1:5" x14ac:dyDescent="0.25">
      <c r="A6507" s="2" t="s">
        <v>242</v>
      </c>
      <c r="B6507" s="6">
        <v>44011</v>
      </c>
      <c r="C6507" s="2" t="s">
        <v>324</v>
      </c>
      <c r="D6507" s="8">
        <v>-53.75</v>
      </c>
      <c r="E6507" s="8">
        <f>E6506+(0-53.75)</f>
        <v>8397651.1999995224</v>
      </c>
    </row>
    <row r="6508" spans="1:5" x14ac:dyDescent="0.25">
      <c r="A6508" s="2" t="s">
        <v>242</v>
      </c>
      <c r="B6508" s="6">
        <v>44011</v>
      </c>
      <c r="C6508" s="2" t="s">
        <v>325</v>
      </c>
      <c r="D6508" s="8">
        <v>-26.88</v>
      </c>
      <c r="E6508" s="8">
        <f>E6507+(0-26.88)</f>
        <v>8397624.3199995216</v>
      </c>
    </row>
    <row r="6509" spans="1:5" x14ac:dyDescent="0.25">
      <c r="A6509" s="2" t="s">
        <v>242</v>
      </c>
      <c r="B6509" s="6">
        <v>44011</v>
      </c>
      <c r="C6509" s="2" t="s">
        <v>326</v>
      </c>
      <c r="D6509" s="8">
        <v>-53.75</v>
      </c>
      <c r="E6509" s="8">
        <f>E6508+(0-53.75)</f>
        <v>8397570.5699995216</v>
      </c>
    </row>
    <row r="6510" spans="1:5" x14ac:dyDescent="0.25">
      <c r="A6510" s="2" t="s">
        <v>242</v>
      </c>
      <c r="B6510" s="6">
        <v>44011</v>
      </c>
      <c r="C6510" s="2" t="s">
        <v>34</v>
      </c>
      <c r="D6510" s="8">
        <v>-26.88</v>
      </c>
      <c r="E6510" s="8">
        <f>E6509+(0-26.88)</f>
        <v>8397543.6899995208</v>
      </c>
    </row>
    <row r="6511" spans="1:5" x14ac:dyDescent="0.25">
      <c r="A6511" s="2" t="s">
        <v>242</v>
      </c>
      <c r="B6511" s="6">
        <v>44014</v>
      </c>
      <c r="C6511" s="2" t="s">
        <v>24</v>
      </c>
      <c r="D6511" s="8">
        <v>-350</v>
      </c>
      <c r="E6511" s="8">
        <f>E6510+(0-350)</f>
        <v>8397193.6899995208</v>
      </c>
    </row>
    <row r="6512" spans="1:5" x14ac:dyDescent="0.25">
      <c r="A6512" s="2" t="s">
        <v>242</v>
      </c>
      <c r="B6512" s="6">
        <v>44015</v>
      </c>
      <c r="C6512" s="2" t="s">
        <v>17</v>
      </c>
      <c r="D6512" s="8">
        <v>-44</v>
      </c>
      <c r="E6512" s="8">
        <f>E6511+(0-44)</f>
        <v>8397149.6899995208</v>
      </c>
    </row>
    <row r="6513" spans="1:5" x14ac:dyDescent="0.25">
      <c r="A6513" s="2" t="s">
        <v>242</v>
      </c>
      <c r="B6513" s="6">
        <v>44015</v>
      </c>
      <c r="C6513" s="2" t="s">
        <v>17</v>
      </c>
      <c r="D6513" s="8">
        <v>-44</v>
      </c>
      <c r="E6513" s="8">
        <f>E6512+(0-44)</f>
        <v>8397105.6899995208</v>
      </c>
    </row>
    <row r="6514" spans="1:5" x14ac:dyDescent="0.25">
      <c r="A6514" s="2" t="s">
        <v>242</v>
      </c>
      <c r="B6514" s="6">
        <v>44015</v>
      </c>
      <c r="C6514" s="2" t="s">
        <v>319</v>
      </c>
      <c r="D6514" s="8">
        <v>-53.75</v>
      </c>
      <c r="E6514" s="8">
        <f>E6513+(0-53.75)</f>
        <v>8397051.9399995208</v>
      </c>
    </row>
    <row r="6515" spans="1:5" x14ac:dyDescent="0.25">
      <c r="A6515" s="2" t="s">
        <v>242</v>
      </c>
      <c r="B6515" s="6">
        <v>44015</v>
      </c>
      <c r="C6515" s="2" t="s">
        <v>16</v>
      </c>
      <c r="D6515" s="8">
        <v>-50</v>
      </c>
      <c r="E6515" s="8">
        <f>E6514+(0-50)</f>
        <v>8397001.9399995208</v>
      </c>
    </row>
    <row r="6516" spans="1:5" x14ac:dyDescent="0.25">
      <c r="A6516" s="2" t="s">
        <v>242</v>
      </c>
      <c r="B6516" s="6">
        <v>44015</v>
      </c>
      <c r="C6516" s="2" t="s">
        <v>16</v>
      </c>
      <c r="D6516" s="8">
        <v>-250</v>
      </c>
      <c r="E6516" s="8">
        <f>E6515+(0-250)</f>
        <v>8396751.9399995208</v>
      </c>
    </row>
    <row r="6517" spans="1:5" x14ac:dyDescent="0.25">
      <c r="A6517" s="2" t="s">
        <v>242</v>
      </c>
      <c r="B6517" s="6">
        <v>44018</v>
      </c>
      <c r="C6517" s="2" t="s">
        <v>327</v>
      </c>
      <c r="D6517" s="8">
        <v>-53.75</v>
      </c>
      <c r="E6517" s="8">
        <f>E6516+(0-53.75)</f>
        <v>8396698.1899995208</v>
      </c>
    </row>
    <row r="6518" spans="1:5" x14ac:dyDescent="0.25">
      <c r="A6518" s="2" t="s">
        <v>242</v>
      </c>
      <c r="B6518" s="6">
        <v>44018</v>
      </c>
      <c r="C6518" s="2" t="s">
        <v>81</v>
      </c>
      <c r="D6518" s="8">
        <v>-26.88</v>
      </c>
      <c r="E6518" s="8">
        <f>E6517+(0-26.88)</f>
        <v>8396671.30999952</v>
      </c>
    </row>
    <row r="6519" spans="1:5" x14ac:dyDescent="0.25">
      <c r="A6519" s="2" t="s">
        <v>242</v>
      </c>
      <c r="B6519" s="6">
        <v>44018</v>
      </c>
      <c r="C6519" s="2" t="s">
        <v>16</v>
      </c>
      <c r="D6519" s="8">
        <v>-100</v>
      </c>
      <c r="E6519" s="8">
        <f>E6518+(0-100)</f>
        <v>8396571.30999952</v>
      </c>
    </row>
    <row r="6520" spans="1:5" x14ac:dyDescent="0.25">
      <c r="A6520" s="2" t="s">
        <v>242</v>
      </c>
      <c r="B6520" s="6">
        <v>44018</v>
      </c>
      <c r="C6520" s="2" t="s">
        <v>16</v>
      </c>
      <c r="D6520" s="8">
        <v>-300</v>
      </c>
      <c r="E6520" s="8">
        <f>E6519+(0-300)</f>
        <v>8396271.30999952</v>
      </c>
    </row>
    <row r="6521" spans="1:5" x14ac:dyDescent="0.25">
      <c r="A6521" s="2" t="s">
        <v>242</v>
      </c>
      <c r="B6521" s="6">
        <v>44018</v>
      </c>
      <c r="C6521" s="2" t="s">
        <v>16</v>
      </c>
      <c r="D6521" s="8">
        <v>-50</v>
      </c>
      <c r="E6521" s="8">
        <f>E6520+(0-50)</f>
        <v>8396221.30999952</v>
      </c>
    </row>
    <row r="6522" spans="1:5" x14ac:dyDescent="0.25">
      <c r="A6522" s="2" t="s">
        <v>242</v>
      </c>
      <c r="B6522" s="6">
        <v>44018</v>
      </c>
      <c r="C6522" s="2" t="s">
        <v>17</v>
      </c>
      <c r="D6522" s="8">
        <v>-48</v>
      </c>
      <c r="E6522" s="8">
        <f>E6521+(0-48)</f>
        <v>8396173.30999952</v>
      </c>
    </row>
    <row r="6523" spans="1:5" x14ac:dyDescent="0.25">
      <c r="A6523" s="2" t="s">
        <v>242</v>
      </c>
      <c r="B6523" s="6">
        <v>44019</v>
      </c>
      <c r="C6523" s="2" t="s">
        <v>17</v>
      </c>
      <c r="D6523" s="8">
        <v>-4</v>
      </c>
      <c r="E6523" s="8">
        <f>E6522+(0-4)</f>
        <v>8396169.30999952</v>
      </c>
    </row>
    <row r="6524" spans="1:5" x14ac:dyDescent="0.25">
      <c r="A6524" s="2" t="s">
        <v>242</v>
      </c>
      <c r="B6524" s="6">
        <v>44019</v>
      </c>
      <c r="C6524" s="2" t="s">
        <v>328</v>
      </c>
      <c r="D6524" s="8">
        <v>-53.75</v>
      </c>
      <c r="E6524" s="8">
        <f>E6523+(0-53.75)</f>
        <v>8396115.55999952</v>
      </c>
    </row>
    <row r="6525" spans="1:5" x14ac:dyDescent="0.25">
      <c r="A6525" s="2" t="s">
        <v>242</v>
      </c>
      <c r="B6525" s="6">
        <v>44019</v>
      </c>
      <c r="C6525" s="2" t="s">
        <v>16</v>
      </c>
      <c r="D6525" s="8">
        <v>-50</v>
      </c>
      <c r="E6525" s="8">
        <f>E6524+(0-50)</f>
        <v>8396065.55999952</v>
      </c>
    </row>
    <row r="6526" spans="1:5" x14ac:dyDescent="0.25">
      <c r="A6526" s="2" t="s">
        <v>242</v>
      </c>
      <c r="B6526" s="6">
        <v>44019</v>
      </c>
      <c r="C6526" s="2" t="s">
        <v>24</v>
      </c>
      <c r="D6526" s="8">
        <v>-50</v>
      </c>
      <c r="E6526" s="8">
        <f>E6525+(0-50)</f>
        <v>8396015.55999952</v>
      </c>
    </row>
    <row r="6527" spans="1:5" x14ac:dyDescent="0.25">
      <c r="A6527" s="2" t="s">
        <v>242</v>
      </c>
      <c r="B6527" s="6">
        <v>44020</v>
      </c>
      <c r="C6527" s="2" t="s">
        <v>16</v>
      </c>
      <c r="D6527" s="8">
        <v>-350</v>
      </c>
      <c r="E6527" s="8">
        <f>E6526+(0-350)</f>
        <v>8395665.55999952</v>
      </c>
    </row>
    <row r="6528" spans="1:5" x14ac:dyDescent="0.25">
      <c r="A6528" s="2" t="s">
        <v>242</v>
      </c>
      <c r="B6528" s="6">
        <v>44020</v>
      </c>
      <c r="C6528" s="2" t="s">
        <v>16</v>
      </c>
      <c r="D6528" s="8">
        <v>-50</v>
      </c>
      <c r="E6528" s="8">
        <f>E6527+(0-50)</f>
        <v>8395615.55999952</v>
      </c>
    </row>
    <row r="6529" spans="1:5" x14ac:dyDescent="0.25">
      <c r="A6529" s="2" t="s">
        <v>242</v>
      </c>
      <c r="B6529" s="6">
        <v>44020</v>
      </c>
      <c r="C6529" s="2" t="s">
        <v>16</v>
      </c>
      <c r="D6529" s="8">
        <v>-50</v>
      </c>
      <c r="E6529" s="8">
        <f>E6528+(0-50)</f>
        <v>8395565.55999952</v>
      </c>
    </row>
    <row r="6530" spans="1:5" x14ac:dyDescent="0.25">
      <c r="A6530" s="2" t="s">
        <v>242</v>
      </c>
      <c r="B6530" s="6">
        <v>44020</v>
      </c>
      <c r="C6530" s="2" t="s">
        <v>16</v>
      </c>
      <c r="D6530" s="8">
        <v>-300</v>
      </c>
      <c r="E6530" s="8">
        <f>E6529+(0-300)</f>
        <v>8395265.55999952</v>
      </c>
    </row>
    <row r="6531" spans="1:5" x14ac:dyDescent="0.25">
      <c r="A6531" s="2" t="s">
        <v>242</v>
      </c>
      <c r="B6531" s="6">
        <v>44021</v>
      </c>
      <c r="C6531" s="2" t="s">
        <v>17</v>
      </c>
      <c r="D6531" s="8">
        <v>-76</v>
      </c>
      <c r="E6531" s="8">
        <f>E6530+(0-76)</f>
        <v>8395189.55999952</v>
      </c>
    </row>
    <row r="6532" spans="1:5" x14ac:dyDescent="0.25">
      <c r="A6532" s="2" t="s">
        <v>242</v>
      </c>
      <c r="B6532" s="6">
        <v>44021</v>
      </c>
      <c r="C6532" s="2" t="s">
        <v>17</v>
      </c>
      <c r="D6532" s="8">
        <v>-72</v>
      </c>
      <c r="E6532" s="8">
        <f>E6531+(0-72)</f>
        <v>8395117.55999952</v>
      </c>
    </row>
    <row r="6533" spans="1:5" x14ac:dyDescent="0.25">
      <c r="A6533" s="2" t="s">
        <v>242</v>
      </c>
      <c r="B6533" s="6">
        <v>44021</v>
      </c>
      <c r="C6533" s="2" t="s">
        <v>17</v>
      </c>
      <c r="D6533" s="8">
        <v>-80</v>
      </c>
      <c r="E6533" s="8">
        <f>E6532+(0-80)</f>
        <v>8395037.55999952</v>
      </c>
    </row>
    <row r="6534" spans="1:5" x14ac:dyDescent="0.25">
      <c r="A6534" s="2" t="s">
        <v>242</v>
      </c>
      <c r="B6534" s="6">
        <v>44021</v>
      </c>
      <c r="C6534" s="2" t="s">
        <v>16</v>
      </c>
      <c r="D6534" s="8">
        <v>-100</v>
      </c>
      <c r="E6534" s="8">
        <f>E6533+(0-100)</f>
        <v>8394937.55999952</v>
      </c>
    </row>
    <row r="6535" spans="1:5" x14ac:dyDescent="0.25">
      <c r="A6535" s="2" t="s">
        <v>242</v>
      </c>
      <c r="B6535" s="6">
        <v>44022</v>
      </c>
      <c r="C6535" s="2" t="s">
        <v>24</v>
      </c>
      <c r="D6535" s="8">
        <v>-200</v>
      </c>
      <c r="E6535" s="8">
        <f>E6534+(0-200)</f>
        <v>8394737.55999952</v>
      </c>
    </row>
    <row r="6536" spans="1:5" x14ac:dyDescent="0.25">
      <c r="A6536" s="2" t="s">
        <v>242</v>
      </c>
      <c r="B6536" s="6">
        <v>44022</v>
      </c>
      <c r="C6536" s="2" t="s">
        <v>322</v>
      </c>
      <c r="D6536" s="8">
        <v>-53.75</v>
      </c>
      <c r="E6536" s="8">
        <f>E6535+(0-53.75)</f>
        <v>8394683.80999952</v>
      </c>
    </row>
    <row r="6537" spans="1:5" x14ac:dyDescent="0.25">
      <c r="A6537" s="2" t="s">
        <v>242</v>
      </c>
      <c r="B6537" s="6">
        <v>44022</v>
      </c>
      <c r="C6537" s="2" t="s">
        <v>322</v>
      </c>
      <c r="D6537" s="8">
        <v>-53.75</v>
      </c>
      <c r="E6537" s="8">
        <f>E6536+(0-53.75)</f>
        <v>8394630.05999952</v>
      </c>
    </row>
    <row r="6538" spans="1:5" x14ac:dyDescent="0.25">
      <c r="A6538" s="2" t="s">
        <v>242</v>
      </c>
      <c r="B6538" s="6">
        <v>44024</v>
      </c>
      <c r="C6538" s="2" t="s">
        <v>17</v>
      </c>
      <c r="D6538" s="8">
        <v>-20</v>
      </c>
      <c r="E6538" s="8">
        <f>E6537+(0-20)</f>
        <v>8394610.05999952</v>
      </c>
    </row>
    <row r="6539" spans="1:5" x14ac:dyDescent="0.25">
      <c r="A6539" s="2" t="s">
        <v>242</v>
      </c>
      <c r="B6539" s="6">
        <v>44025</v>
      </c>
      <c r="C6539" s="2" t="s">
        <v>16</v>
      </c>
      <c r="D6539" s="8">
        <v>-200</v>
      </c>
      <c r="E6539" s="8">
        <f>E6538+(0-200)</f>
        <v>8394410.05999952</v>
      </c>
    </row>
    <row r="6540" spans="1:5" x14ac:dyDescent="0.25">
      <c r="A6540" s="2" t="s">
        <v>242</v>
      </c>
      <c r="B6540" s="6">
        <v>44025</v>
      </c>
      <c r="C6540" s="2" t="s">
        <v>17</v>
      </c>
      <c r="D6540" s="8">
        <v>-72</v>
      </c>
      <c r="E6540" s="8">
        <f>E6539+(0-72)</f>
        <v>8394338.05999952</v>
      </c>
    </row>
    <row r="6541" spans="1:5" x14ac:dyDescent="0.25">
      <c r="A6541" s="2" t="s">
        <v>242</v>
      </c>
      <c r="B6541" s="6">
        <v>44026</v>
      </c>
      <c r="C6541" s="2" t="s">
        <v>16</v>
      </c>
      <c r="D6541" s="8">
        <v>-50</v>
      </c>
      <c r="E6541" s="8">
        <f>E6540+(0-50)</f>
        <v>8394288.05999952</v>
      </c>
    </row>
    <row r="6542" spans="1:5" x14ac:dyDescent="0.25">
      <c r="A6542" s="2" t="s">
        <v>242</v>
      </c>
      <c r="B6542" s="6">
        <v>44026</v>
      </c>
      <c r="C6542" s="2" t="s">
        <v>16</v>
      </c>
      <c r="D6542" s="8">
        <v>-50</v>
      </c>
      <c r="E6542" s="8">
        <f>E6541+(0-50)</f>
        <v>8394238.05999952</v>
      </c>
    </row>
    <row r="6543" spans="1:5" x14ac:dyDescent="0.25">
      <c r="A6543" s="2" t="s">
        <v>242</v>
      </c>
      <c r="B6543" s="6">
        <v>44026</v>
      </c>
      <c r="C6543" s="2" t="s">
        <v>17</v>
      </c>
      <c r="D6543" s="8">
        <v>-12</v>
      </c>
      <c r="E6543" s="8">
        <f>E6542+(0-12)</f>
        <v>8394226.05999952</v>
      </c>
    </row>
    <row r="6544" spans="1:5" x14ac:dyDescent="0.25">
      <c r="A6544" s="2" t="s">
        <v>242</v>
      </c>
      <c r="B6544" s="6">
        <v>44026</v>
      </c>
      <c r="C6544" s="2" t="s">
        <v>16</v>
      </c>
      <c r="D6544" s="8">
        <v>-100</v>
      </c>
      <c r="E6544" s="8">
        <f>E6543+(0-100)</f>
        <v>8394126.05999952</v>
      </c>
    </row>
    <row r="6545" spans="1:5" x14ac:dyDescent="0.25">
      <c r="A6545" s="2" t="s">
        <v>242</v>
      </c>
      <c r="B6545" s="6">
        <v>44026</v>
      </c>
      <c r="C6545" s="2" t="s">
        <v>16</v>
      </c>
      <c r="D6545" s="8">
        <v>-50</v>
      </c>
      <c r="E6545" s="8">
        <f>E6544+(0-50)</f>
        <v>8394076.05999952</v>
      </c>
    </row>
    <row r="6546" spans="1:5" x14ac:dyDescent="0.25">
      <c r="A6546" s="2" t="s">
        <v>242</v>
      </c>
      <c r="B6546" s="6">
        <v>44026</v>
      </c>
      <c r="C6546" s="2" t="s">
        <v>17</v>
      </c>
      <c r="D6546" s="8">
        <v>-24</v>
      </c>
      <c r="E6546" s="8">
        <f>E6545+(0-24)</f>
        <v>8394052.05999952</v>
      </c>
    </row>
    <row r="6547" spans="1:5" x14ac:dyDescent="0.25">
      <c r="A6547" s="2" t="s">
        <v>242</v>
      </c>
      <c r="B6547" s="6">
        <v>44027</v>
      </c>
      <c r="C6547" s="2" t="s">
        <v>17</v>
      </c>
      <c r="D6547" s="8">
        <v>-48</v>
      </c>
      <c r="E6547" s="8">
        <f>E6546+(0-48)</f>
        <v>8394004.05999952</v>
      </c>
    </row>
    <row r="6548" spans="1:5" x14ac:dyDescent="0.25">
      <c r="A6548" s="2" t="s">
        <v>242</v>
      </c>
      <c r="B6548" s="6">
        <v>44027</v>
      </c>
      <c r="C6548" s="2" t="s">
        <v>16</v>
      </c>
      <c r="D6548" s="8">
        <v>-50</v>
      </c>
      <c r="E6548" s="8">
        <f>E6547+(0-50)</f>
        <v>8393954.05999952</v>
      </c>
    </row>
    <row r="6549" spans="1:5" x14ac:dyDescent="0.25">
      <c r="A6549" s="2" t="s">
        <v>242</v>
      </c>
      <c r="B6549" s="6">
        <v>44027</v>
      </c>
      <c r="C6549" s="2" t="s">
        <v>16</v>
      </c>
      <c r="D6549" s="8">
        <v>-50</v>
      </c>
      <c r="E6549" s="8">
        <f>E6548+(0-50)</f>
        <v>8393904.05999952</v>
      </c>
    </row>
    <row r="6550" spans="1:5" x14ac:dyDescent="0.25">
      <c r="A6550" s="2" t="s">
        <v>242</v>
      </c>
      <c r="B6550" s="6">
        <v>44027</v>
      </c>
      <c r="C6550" s="2" t="s">
        <v>24</v>
      </c>
      <c r="D6550" s="8">
        <v>-250</v>
      </c>
      <c r="E6550" s="8">
        <f>E6549+(0-250)</f>
        <v>8393654.05999952</v>
      </c>
    </row>
    <row r="6551" spans="1:5" x14ac:dyDescent="0.25">
      <c r="A6551" s="2" t="s">
        <v>242</v>
      </c>
      <c r="B6551" s="6">
        <v>44028</v>
      </c>
      <c r="C6551" s="2" t="s">
        <v>17</v>
      </c>
      <c r="D6551" s="8">
        <v>-60</v>
      </c>
      <c r="E6551" s="8">
        <f>E6550+(0-60)</f>
        <v>8393594.05999952</v>
      </c>
    </row>
    <row r="6552" spans="1:5" x14ac:dyDescent="0.25">
      <c r="A6552" s="2" t="s">
        <v>242</v>
      </c>
      <c r="B6552" s="6">
        <v>44028</v>
      </c>
      <c r="C6552" s="2" t="s">
        <v>16</v>
      </c>
      <c r="D6552" s="8">
        <v>-100</v>
      </c>
      <c r="E6552" s="8">
        <f>E6551+(0-100)</f>
        <v>8393494.05999952</v>
      </c>
    </row>
    <row r="6553" spans="1:5" x14ac:dyDescent="0.25">
      <c r="A6553" s="2" t="s">
        <v>242</v>
      </c>
      <c r="B6553" s="6">
        <v>44028</v>
      </c>
      <c r="C6553" s="2" t="s">
        <v>16</v>
      </c>
      <c r="D6553" s="8">
        <v>-250</v>
      </c>
      <c r="E6553" s="8">
        <f>E6552+(0-250)</f>
        <v>8393244.05999952</v>
      </c>
    </row>
    <row r="6554" spans="1:5" x14ac:dyDescent="0.25">
      <c r="A6554" s="2" t="s">
        <v>242</v>
      </c>
      <c r="B6554" s="6">
        <v>44029</v>
      </c>
      <c r="C6554" s="2" t="s">
        <v>329</v>
      </c>
      <c r="D6554" s="8">
        <v>-26.88</v>
      </c>
      <c r="E6554" s="8">
        <f>E6553+(0-26.88)</f>
        <v>8393217.1799995191</v>
      </c>
    </row>
    <row r="6555" spans="1:5" x14ac:dyDescent="0.25">
      <c r="A6555" s="2" t="s">
        <v>242</v>
      </c>
      <c r="B6555" s="6">
        <v>44029</v>
      </c>
      <c r="C6555" s="2" t="s">
        <v>16</v>
      </c>
      <c r="D6555" s="8">
        <v>-50</v>
      </c>
      <c r="E6555" s="8">
        <f>E6554+(0-50)</f>
        <v>8393167.1799995191</v>
      </c>
    </row>
    <row r="6556" spans="1:5" x14ac:dyDescent="0.25">
      <c r="A6556" s="2" t="s">
        <v>242</v>
      </c>
      <c r="B6556" s="6">
        <v>44032</v>
      </c>
      <c r="C6556" s="2" t="s">
        <v>16</v>
      </c>
      <c r="D6556" s="8">
        <v>-50</v>
      </c>
      <c r="E6556" s="8">
        <f>E6555+(0-50)</f>
        <v>8393117.1799995191</v>
      </c>
    </row>
    <row r="6557" spans="1:5" x14ac:dyDescent="0.25">
      <c r="A6557" s="2" t="s">
        <v>242</v>
      </c>
      <c r="B6557" s="6">
        <v>44032</v>
      </c>
      <c r="C6557" s="2" t="s">
        <v>16</v>
      </c>
      <c r="D6557" s="8">
        <v>-300</v>
      </c>
      <c r="E6557" s="8">
        <f>E6556+(0-300)</f>
        <v>8392817.1799995191</v>
      </c>
    </row>
    <row r="6558" spans="1:5" x14ac:dyDescent="0.25">
      <c r="A6558" s="2" t="s">
        <v>242</v>
      </c>
      <c r="B6558" s="6">
        <v>44033</v>
      </c>
      <c r="C6558" s="2" t="s">
        <v>330</v>
      </c>
      <c r="D6558" s="8">
        <v>-26.88</v>
      </c>
      <c r="E6558" s="8">
        <f>E6557+(0-26.88)</f>
        <v>8392790.2999995183</v>
      </c>
    </row>
    <row r="6559" spans="1:5" x14ac:dyDescent="0.25">
      <c r="A6559" s="2" t="s">
        <v>242</v>
      </c>
      <c r="B6559" s="6">
        <v>44033</v>
      </c>
      <c r="C6559" s="2" t="s">
        <v>17</v>
      </c>
      <c r="D6559" s="8">
        <v>-64</v>
      </c>
      <c r="E6559" s="8">
        <f>E6558+(0-64)</f>
        <v>8392726.2999995183</v>
      </c>
    </row>
    <row r="6560" spans="1:5" x14ac:dyDescent="0.25">
      <c r="A6560" s="2" t="s">
        <v>242</v>
      </c>
      <c r="B6560" s="6">
        <v>44033</v>
      </c>
      <c r="C6560" s="2" t="s">
        <v>16</v>
      </c>
      <c r="D6560" s="8">
        <v>-50</v>
      </c>
      <c r="E6560" s="8">
        <f>E6559+(0-50)</f>
        <v>8392676.2999995183</v>
      </c>
    </row>
    <row r="6561" spans="1:5" x14ac:dyDescent="0.25">
      <c r="A6561" s="2" t="s">
        <v>242</v>
      </c>
      <c r="B6561" s="6">
        <v>44033</v>
      </c>
      <c r="C6561" s="2" t="s">
        <v>16</v>
      </c>
      <c r="D6561" s="8">
        <v>-100</v>
      </c>
      <c r="E6561" s="8">
        <f>E6560+(0-100)</f>
        <v>8392576.2999995183</v>
      </c>
    </row>
    <row r="6562" spans="1:5" x14ac:dyDescent="0.25">
      <c r="A6562" s="2" t="s">
        <v>242</v>
      </c>
      <c r="B6562" s="6">
        <v>44033</v>
      </c>
      <c r="C6562" s="2" t="s">
        <v>17</v>
      </c>
      <c r="D6562" s="8">
        <v>-48</v>
      </c>
      <c r="E6562" s="8">
        <f>E6561+(0-48)</f>
        <v>8392528.2999995183</v>
      </c>
    </row>
    <row r="6563" spans="1:5" x14ac:dyDescent="0.25">
      <c r="A6563" s="2" t="s">
        <v>242</v>
      </c>
      <c r="B6563" s="6">
        <v>44034</v>
      </c>
      <c r="C6563" s="2" t="s">
        <v>17</v>
      </c>
      <c r="D6563" s="8">
        <v>-12</v>
      </c>
      <c r="E6563" s="8">
        <f>E6562+(0-12)</f>
        <v>8392516.2999995183</v>
      </c>
    </row>
    <row r="6564" spans="1:5" x14ac:dyDescent="0.25">
      <c r="A6564" s="2" t="s">
        <v>242</v>
      </c>
      <c r="B6564" s="6">
        <v>44034</v>
      </c>
      <c r="C6564" s="2" t="s">
        <v>17</v>
      </c>
      <c r="D6564" s="8">
        <v>-40</v>
      </c>
      <c r="E6564" s="8">
        <f>E6563+(0-40)</f>
        <v>8392476.2999995183</v>
      </c>
    </row>
    <row r="6565" spans="1:5" x14ac:dyDescent="0.25">
      <c r="A6565" s="2" t="s">
        <v>242</v>
      </c>
      <c r="B6565" s="6">
        <v>44034</v>
      </c>
      <c r="C6565" s="2" t="s">
        <v>16</v>
      </c>
      <c r="D6565" s="8">
        <v>-200</v>
      </c>
      <c r="E6565" s="8">
        <f>E6564+(0-200)</f>
        <v>8392276.2999995183</v>
      </c>
    </row>
    <row r="6566" spans="1:5" x14ac:dyDescent="0.25">
      <c r="A6566" s="2" t="s">
        <v>242</v>
      </c>
      <c r="B6566" s="6">
        <v>44035</v>
      </c>
      <c r="C6566" s="2" t="s">
        <v>24</v>
      </c>
      <c r="D6566" s="8">
        <v>-50</v>
      </c>
      <c r="E6566" s="8">
        <f>E6565+(0-50)</f>
        <v>8392226.2999995183</v>
      </c>
    </row>
    <row r="6567" spans="1:5" x14ac:dyDescent="0.25">
      <c r="A6567" s="2" t="s">
        <v>242</v>
      </c>
      <c r="B6567" s="6">
        <v>44035</v>
      </c>
      <c r="C6567" s="2" t="s">
        <v>17</v>
      </c>
      <c r="D6567" s="8">
        <v>-52</v>
      </c>
      <c r="E6567" s="8">
        <f>E6566+(0-52)</f>
        <v>8392174.2999995183</v>
      </c>
    </row>
    <row r="6568" spans="1:5" x14ac:dyDescent="0.25">
      <c r="A6568" s="2" t="s">
        <v>242</v>
      </c>
      <c r="B6568" s="6">
        <v>44035</v>
      </c>
      <c r="C6568" s="2" t="s">
        <v>16</v>
      </c>
      <c r="D6568" s="8">
        <v>-50</v>
      </c>
      <c r="E6568" s="8">
        <f>E6567+(0-50)</f>
        <v>8392124.2999995183</v>
      </c>
    </row>
    <row r="6569" spans="1:5" x14ac:dyDescent="0.25">
      <c r="A6569" s="2" t="s">
        <v>242</v>
      </c>
      <c r="B6569" s="6">
        <v>44035</v>
      </c>
      <c r="C6569" s="2" t="s">
        <v>16</v>
      </c>
      <c r="D6569" s="8">
        <v>-100</v>
      </c>
      <c r="E6569" s="8">
        <f>E6568+(0-100)</f>
        <v>8392024.2999995183</v>
      </c>
    </row>
    <row r="6570" spans="1:5" x14ac:dyDescent="0.25">
      <c r="A6570" s="2" t="s">
        <v>242</v>
      </c>
      <c r="B6570" s="6">
        <v>44036</v>
      </c>
      <c r="C6570" s="2" t="s">
        <v>331</v>
      </c>
      <c r="D6570" s="8">
        <v>-53.75</v>
      </c>
      <c r="E6570" s="8">
        <f>E6569+(0-53.75)</f>
        <v>8391970.5499995183</v>
      </c>
    </row>
    <row r="6571" spans="1:5" x14ac:dyDescent="0.25">
      <c r="A6571" s="2" t="s">
        <v>242</v>
      </c>
      <c r="B6571" s="6">
        <v>44036</v>
      </c>
      <c r="C6571" s="2" t="s">
        <v>71</v>
      </c>
      <c r="D6571" s="8">
        <v>-26.88</v>
      </c>
      <c r="E6571" s="8">
        <f>E6570+(0-26.88)</f>
        <v>8391943.6699995175</v>
      </c>
    </row>
    <row r="6572" spans="1:5" x14ac:dyDescent="0.25">
      <c r="A6572" s="2" t="s">
        <v>242</v>
      </c>
      <c r="B6572" s="6">
        <v>44036</v>
      </c>
      <c r="C6572" s="2" t="s">
        <v>24</v>
      </c>
      <c r="D6572" s="8">
        <v>-200</v>
      </c>
      <c r="E6572" s="8">
        <f>E6571+(0-200)</f>
        <v>8391743.6699995175</v>
      </c>
    </row>
    <row r="6573" spans="1:5" x14ac:dyDescent="0.25">
      <c r="A6573" s="2" t="s">
        <v>242</v>
      </c>
      <c r="B6573" s="6">
        <v>44039</v>
      </c>
      <c r="C6573" s="2" t="s">
        <v>332</v>
      </c>
      <c r="D6573" s="8">
        <v>-53.75</v>
      </c>
      <c r="E6573" s="8">
        <f>E6572+(0-53.75)</f>
        <v>8391689.9199995175</v>
      </c>
    </row>
    <row r="6574" spans="1:5" x14ac:dyDescent="0.25">
      <c r="A6574" s="2" t="s">
        <v>242</v>
      </c>
      <c r="B6574" s="6">
        <v>44039</v>
      </c>
      <c r="C6574" s="2" t="s">
        <v>17</v>
      </c>
      <c r="D6574" s="8">
        <v>-40</v>
      </c>
      <c r="E6574" s="8">
        <f>E6573+(0-40)</f>
        <v>8391649.9199995175</v>
      </c>
    </row>
    <row r="6575" spans="1:5" x14ac:dyDescent="0.25">
      <c r="A6575" s="2" t="s">
        <v>242</v>
      </c>
      <c r="B6575" s="6">
        <v>44039</v>
      </c>
      <c r="C6575" s="2" t="s">
        <v>17</v>
      </c>
      <c r="D6575" s="8">
        <v>-60</v>
      </c>
      <c r="E6575" s="8">
        <f>E6574+(0-60)</f>
        <v>8391589.9199995175</v>
      </c>
    </row>
    <row r="6576" spans="1:5" x14ac:dyDescent="0.25">
      <c r="A6576" s="2" t="s">
        <v>242</v>
      </c>
      <c r="B6576" s="6">
        <v>44039</v>
      </c>
      <c r="C6576" s="2" t="s">
        <v>17</v>
      </c>
      <c r="D6576" s="8">
        <v>-52</v>
      </c>
      <c r="E6576" s="8">
        <f>E6575+(0-52)</f>
        <v>8391537.9199995175</v>
      </c>
    </row>
    <row r="6577" spans="1:5" x14ac:dyDescent="0.25">
      <c r="A6577" s="2" t="s">
        <v>242</v>
      </c>
      <c r="B6577" s="6">
        <v>44039</v>
      </c>
      <c r="C6577" s="2" t="s">
        <v>17</v>
      </c>
      <c r="D6577" s="8">
        <v>-20</v>
      </c>
      <c r="E6577" s="8">
        <f>E6576+(0-20)</f>
        <v>8391517.9199995175</v>
      </c>
    </row>
    <row r="6578" spans="1:5" x14ac:dyDescent="0.25">
      <c r="A6578" s="2" t="s">
        <v>242</v>
      </c>
      <c r="B6578" s="6">
        <v>44039</v>
      </c>
      <c r="C6578" s="2" t="s">
        <v>24</v>
      </c>
      <c r="D6578" s="8">
        <v>-300</v>
      </c>
      <c r="E6578" s="8">
        <f>E6577+(0-300)</f>
        <v>8391217.9199995175</v>
      </c>
    </row>
    <row r="6579" spans="1:5" x14ac:dyDescent="0.25">
      <c r="A6579" s="2" t="s">
        <v>242</v>
      </c>
      <c r="B6579" s="6">
        <v>44039</v>
      </c>
      <c r="C6579" s="2" t="s">
        <v>17</v>
      </c>
      <c r="D6579" s="8">
        <v>-8</v>
      </c>
      <c r="E6579" s="8">
        <f>E6578+(0-8)</f>
        <v>8391209.9199995175</v>
      </c>
    </row>
    <row r="6580" spans="1:5" x14ac:dyDescent="0.25">
      <c r="A6580" s="2" t="s">
        <v>242</v>
      </c>
      <c r="B6580" s="6">
        <v>44040</v>
      </c>
      <c r="C6580" s="2" t="s">
        <v>333</v>
      </c>
      <c r="D6580" s="8">
        <v>-53.75</v>
      </c>
      <c r="E6580" s="8">
        <f>E6579+(0-53.75)</f>
        <v>8391156.1699995175</v>
      </c>
    </row>
    <row r="6581" spans="1:5" x14ac:dyDescent="0.25">
      <c r="A6581" s="2" t="s">
        <v>242</v>
      </c>
      <c r="B6581" s="6">
        <v>44040</v>
      </c>
      <c r="C6581" s="2" t="s">
        <v>334</v>
      </c>
      <c r="D6581" s="8">
        <v>-165</v>
      </c>
      <c r="E6581" s="8">
        <f>E6580+(0-165)</f>
        <v>8390991.1699995175</v>
      </c>
    </row>
    <row r="6582" spans="1:5" x14ac:dyDescent="0.25">
      <c r="A6582" s="2" t="s">
        <v>242</v>
      </c>
      <c r="B6582" s="6">
        <v>44040</v>
      </c>
      <c r="C6582" s="2" t="s">
        <v>335</v>
      </c>
      <c r="D6582" s="8">
        <v>-12.37</v>
      </c>
      <c r="E6582" s="8">
        <f>E6581+(0-12.37)</f>
        <v>8390978.7999995183</v>
      </c>
    </row>
    <row r="6583" spans="1:5" x14ac:dyDescent="0.25">
      <c r="A6583" s="2" t="s">
        <v>242</v>
      </c>
      <c r="B6583" s="6">
        <v>44040</v>
      </c>
      <c r="C6583" s="2" t="s">
        <v>16</v>
      </c>
      <c r="D6583" s="8">
        <v>-400</v>
      </c>
      <c r="E6583" s="8">
        <f>E6582+(0-400)</f>
        <v>8390578.7999995183</v>
      </c>
    </row>
    <row r="6584" spans="1:5" x14ac:dyDescent="0.25">
      <c r="A6584" s="2" t="s">
        <v>242</v>
      </c>
      <c r="B6584" s="6">
        <v>44040</v>
      </c>
      <c r="C6584" s="2" t="s">
        <v>17</v>
      </c>
      <c r="D6584" s="8">
        <v>-48</v>
      </c>
      <c r="E6584" s="8">
        <f>E6583+(0-48)</f>
        <v>8390530.7999995183</v>
      </c>
    </row>
    <row r="6585" spans="1:5" x14ac:dyDescent="0.25">
      <c r="A6585" s="2" t="s">
        <v>242</v>
      </c>
      <c r="B6585" s="6">
        <v>44040</v>
      </c>
      <c r="C6585" s="2" t="s">
        <v>324</v>
      </c>
      <c r="D6585" s="8">
        <v>-53.75</v>
      </c>
      <c r="E6585" s="8">
        <f>E6584+(0-53.75)</f>
        <v>8390477.0499995183</v>
      </c>
    </row>
    <row r="6586" spans="1:5" x14ac:dyDescent="0.25">
      <c r="A6586" s="2" t="s">
        <v>242</v>
      </c>
      <c r="B6586" s="6">
        <v>44041</v>
      </c>
      <c r="C6586" s="2" t="s">
        <v>84</v>
      </c>
      <c r="D6586" s="8">
        <v>-53.75</v>
      </c>
      <c r="E6586" s="8">
        <f>E6585+(0-53.75)</f>
        <v>8390423.2999995183</v>
      </c>
    </row>
    <row r="6587" spans="1:5" x14ac:dyDescent="0.25">
      <c r="A6587" s="2" t="s">
        <v>242</v>
      </c>
      <c r="B6587" s="6">
        <v>44041</v>
      </c>
      <c r="C6587" s="2" t="s">
        <v>16</v>
      </c>
      <c r="D6587" s="8">
        <v>-50</v>
      </c>
      <c r="E6587" s="8">
        <f>E6586+(0-50)</f>
        <v>8390373.2999995183</v>
      </c>
    </row>
    <row r="6588" spans="1:5" x14ac:dyDescent="0.25">
      <c r="A6588" s="2" t="s">
        <v>242</v>
      </c>
      <c r="B6588" s="6">
        <v>44041</v>
      </c>
      <c r="C6588" s="2" t="s">
        <v>17</v>
      </c>
      <c r="D6588" s="8">
        <v>-100</v>
      </c>
      <c r="E6588" s="8">
        <f>E6587+(0-100)</f>
        <v>8390273.2999995183</v>
      </c>
    </row>
    <row r="6589" spans="1:5" x14ac:dyDescent="0.25">
      <c r="A6589" s="2" t="s">
        <v>242</v>
      </c>
      <c r="B6589" s="6">
        <v>44041</v>
      </c>
      <c r="C6589" s="2" t="s">
        <v>16</v>
      </c>
      <c r="D6589" s="8">
        <v>-150</v>
      </c>
      <c r="E6589" s="8">
        <f>E6588+(0-150)</f>
        <v>8390123.2999995183</v>
      </c>
    </row>
    <row r="6590" spans="1:5" x14ac:dyDescent="0.25">
      <c r="A6590" s="2" t="s">
        <v>242</v>
      </c>
      <c r="B6590" s="6">
        <v>44041</v>
      </c>
      <c r="C6590" s="2" t="s">
        <v>17</v>
      </c>
      <c r="D6590" s="8">
        <v>-76</v>
      </c>
      <c r="E6590" s="8">
        <f>E6589+(0-76)</f>
        <v>8390047.2999995183</v>
      </c>
    </row>
    <row r="6591" spans="1:5" x14ac:dyDescent="0.25">
      <c r="A6591" s="2" t="s">
        <v>242</v>
      </c>
      <c r="B6591" s="6">
        <v>44043</v>
      </c>
      <c r="C6591" s="2" t="s">
        <v>17</v>
      </c>
      <c r="D6591" s="8">
        <v>-8</v>
      </c>
      <c r="E6591" s="8">
        <f>E6590+(0-8)</f>
        <v>8390039.2999995183</v>
      </c>
    </row>
    <row r="6592" spans="1:5" x14ac:dyDescent="0.25">
      <c r="A6592" s="2" t="s">
        <v>242</v>
      </c>
      <c r="B6592" s="6">
        <v>44056</v>
      </c>
      <c r="C6592" s="2" t="s">
        <v>85</v>
      </c>
      <c r="D6592" s="8">
        <v>-53.75</v>
      </c>
      <c r="E6592" s="8">
        <f>E6591+(0-53.75)</f>
        <v>8389985.5499995183</v>
      </c>
    </row>
    <row r="6593" spans="1:5" x14ac:dyDescent="0.25">
      <c r="A6593" s="2" t="s">
        <v>242</v>
      </c>
      <c r="B6593" s="6">
        <v>44056</v>
      </c>
      <c r="C6593" s="2" t="s">
        <v>17</v>
      </c>
      <c r="D6593" s="8">
        <v>-112</v>
      </c>
      <c r="E6593" s="8">
        <f>E6592+(0-112)</f>
        <v>8389873.5499995183</v>
      </c>
    </row>
    <row r="6594" spans="1:5" x14ac:dyDescent="0.25">
      <c r="A6594" s="2" t="s">
        <v>242</v>
      </c>
      <c r="B6594" s="6">
        <v>44056</v>
      </c>
      <c r="C6594" s="2" t="s">
        <v>24</v>
      </c>
      <c r="D6594" s="8">
        <v>-50</v>
      </c>
      <c r="E6594" s="8">
        <f>E6593+(0-50)</f>
        <v>8389823.5499995183</v>
      </c>
    </row>
    <row r="6595" spans="1:5" x14ac:dyDescent="0.25">
      <c r="A6595" s="2" t="s">
        <v>242</v>
      </c>
      <c r="B6595" s="6">
        <v>44056</v>
      </c>
      <c r="C6595" s="2" t="s">
        <v>24</v>
      </c>
      <c r="D6595" s="8">
        <v>-50</v>
      </c>
      <c r="E6595" s="8">
        <f>E6594+(0-50)</f>
        <v>8389773.5499995183</v>
      </c>
    </row>
    <row r="6596" spans="1:5" x14ac:dyDescent="0.25">
      <c r="A6596" s="2" t="s">
        <v>242</v>
      </c>
      <c r="B6596" s="6">
        <v>44056</v>
      </c>
      <c r="C6596" s="2" t="s">
        <v>24</v>
      </c>
      <c r="D6596" s="8">
        <v>-200</v>
      </c>
      <c r="E6596" s="8">
        <f>E6595+(0-200)</f>
        <v>8389573.5499995183</v>
      </c>
    </row>
    <row r="6597" spans="1:5" x14ac:dyDescent="0.25">
      <c r="A6597" s="2" t="s">
        <v>242</v>
      </c>
      <c r="B6597" s="6">
        <v>44057</v>
      </c>
      <c r="C6597" s="2" t="s">
        <v>24</v>
      </c>
      <c r="D6597" s="8">
        <v>-150</v>
      </c>
      <c r="E6597" s="8">
        <f>E6596+(0-150)</f>
        <v>8389423.5499995183</v>
      </c>
    </row>
    <row r="6598" spans="1:5" x14ac:dyDescent="0.25">
      <c r="A6598" s="2" t="s">
        <v>242</v>
      </c>
      <c r="B6598" s="6">
        <v>44057</v>
      </c>
      <c r="C6598" s="2" t="s">
        <v>336</v>
      </c>
      <c r="D6598" s="8">
        <v>-53.75</v>
      </c>
      <c r="E6598" s="8">
        <f>E6597+(0-53.75)</f>
        <v>8389369.7999995183</v>
      </c>
    </row>
    <row r="6599" spans="1:5" x14ac:dyDescent="0.25">
      <c r="A6599" s="2" t="s">
        <v>242</v>
      </c>
      <c r="B6599" s="6">
        <v>44058</v>
      </c>
      <c r="C6599" s="2" t="s">
        <v>17</v>
      </c>
      <c r="D6599" s="8">
        <v>-92</v>
      </c>
      <c r="E6599" s="8">
        <f>E6598+(0-92)</f>
        <v>8389277.7999995183</v>
      </c>
    </row>
    <row r="6600" spans="1:5" x14ac:dyDescent="0.25">
      <c r="A6600" s="2" t="s">
        <v>242</v>
      </c>
      <c r="B6600" s="6">
        <v>44058</v>
      </c>
      <c r="C6600" s="2" t="s">
        <v>337</v>
      </c>
      <c r="D6600" s="8">
        <v>-60</v>
      </c>
      <c r="E6600" s="8">
        <f>E6599+(0-60)</f>
        <v>8389217.7999995183</v>
      </c>
    </row>
    <row r="6601" spans="1:5" x14ac:dyDescent="0.25">
      <c r="A6601" s="2" t="s">
        <v>242</v>
      </c>
      <c r="B6601" s="6">
        <v>44059</v>
      </c>
      <c r="C6601" s="2" t="s">
        <v>17</v>
      </c>
      <c r="D6601" s="8">
        <v>-4</v>
      </c>
      <c r="E6601" s="8">
        <f>E6600+(0-4)</f>
        <v>8389213.7999995183</v>
      </c>
    </row>
    <row r="6602" spans="1:5" x14ac:dyDescent="0.25">
      <c r="A6602" s="2" t="s">
        <v>242</v>
      </c>
      <c r="B6602" s="6">
        <v>44060</v>
      </c>
      <c r="C6602" s="2" t="s">
        <v>24</v>
      </c>
      <c r="D6602" s="8">
        <v>-250</v>
      </c>
      <c r="E6602" s="8">
        <f>E6601+(0-250)</f>
        <v>8388963.7999995183</v>
      </c>
    </row>
    <row r="6603" spans="1:5" x14ac:dyDescent="0.25">
      <c r="A6603" s="2" t="s">
        <v>242</v>
      </c>
      <c r="B6603" s="6">
        <v>44061</v>
      </c>
      <c r="C6603" s="2" t="s">
        <v>24</v>
      </c>
      <c r="D6603" s="8">
        <v>-50</v>
      </c>
      <c r="E6603" s="8">
        <f>E6602+(0-50)</f>
        <v>8388913.7999995183</v>
      </c>
    </row>
    <row r="6604" spans="1:5" x14ac:dyDescent="0.25">
      <c r="A6604" s="2" t="s">
        <v>242</v>
      </c>
      <c r="B6604" s="6">
        <v>44061</v>
      </c>
      <c r="C6604" s="2" t="s">
        <v>24</v>
      </c>
      <c r="D6604" s="8">
        <v>-50</v>
      </c>
      <c r="E6604" s="8">
        <f>E6603+(0-50)</f>
        <v>8388863.7999995183</v>
      </c>
    </row>
    <row r="6605" spans="1:5" x14ac:dyDescent="0.25">
      <c r="A6605" s="2" t="s">
        <v>242</v>
      </c>
      <c r="B6605" s="6">
        <v>44061</v>
      </c>
      <c r="C6605" s="2" t="s">
        <v>24</v>
      </c>
      <c r="D6605" s="8">
        <v>-450</v>
      </c>
      <c r="E6605" s="8">
        <f>E6604+(0-450)</f>
        <v>8388413.7999995183</v>
      </c>
    </row>
    <row r="6606" spans="1:5" x14ac:dyDescent="0.25">
      <c r="A6606" s="2" t="s">
        <v>242</v>
      </c>
      <c r="B6606" s="6">
        <v>44061</v>
      </c>
      <c r="C6606" s="2" t="s">
        <v>17</v>
      </c>
      <c r="D6606" s="8">
        <v>-28</v>
      </c>
      <c r="E6606" s="8">
        <f>E6605+(0-28)</f>
        <v>8388385.7999995183</v>
      </c>
    </row>
    <row r="6607" spans="1:5" x14ac:dyDescent="0.25">
      <c r="A6607" s="2" t="s">
        <v>242</v>
      </c>
      <c r="B6607" s="6">
        <v>44062</v>
      </c>
      <c r="C6607" s="2" t="s">
        <v>24</v>
      </c>
      <c r="D6607" s="8">
        <v>-100</v>
      </c>
      <c r="E6607" s="8">
        <f>E6606+(0-100)</f>
        <v>8388285.7999995183</v>
      </c>
    </row>
    <row r="6608" spans="1:5" x14ac:dyDescent="0.25">
      <c r="A6608" s="2" t="s">
        <v>242</v>
      </c>
      <c r="B6608" s="6">
        <v>44062</v>
      </c>
      <c r="C6608" s="2" t="s">
        <v>24</v>
      </c>
      <c r="D6608" s="8">
        <v>-250</v>
      </c>
      <c r="E6608" s="8">
        <f>E6607+(0-250)</f>
        <v>8388035.7999995183</v>
      </c>
    </row>
    <row r="6609" spans="1:5" x14ac:dyDescent="0.25">
      <c r="A6609" s="2" t="s">
        <v>242</v>
      </c>
      <c r="B6609" s="6">
        <v>44062</v>
      </c>
      <c r="C6609" s="2" t="s">
        <v>24</v>
      </c>
      <c r="D6609" s="8">
        <v>-50</v>
      </c>
      <c r="E6609" s="8">
        <f>E6608+(0-50)</f>
        <v>8387985.7999995183</v>
      </c>
    </row>
    <row r="6610" spans="1:5" x14ac:dyDescent="0.25">
      <c r="A6610" s="2" t="s">
        <v>242</v>
      </c>
      <c r="B6610" s="6">
        <v>44063</v>
      </c>
      <c r="C6610" s="2" t="s">
        <v>24</v>
      </c>
      <c r="D6610" s="8">
        <v>-50</v>
      </c>
      <c r="E6610" s="8">
        <f>E6609+(0-50)</f>
        <v>8387935.7999995183</v>
      </c>
    </row>
    <row r="6611" spans="1:5" x14ac:dyDescent="0.25">
      <c r="A6611" s="2" t="s">
        <v>242</v>
      </c>
      <c r="B6611" s="6">
        <v>44063</v>
      </c>
      <c r="C6611" s="2" t="s">
        <v>24</v>
      </c>
      <c r="D6611" s="8">
        <v>-100</v>
      </c>
      <c r="E6611" s="8">
        <f>E6610+(0-100)</f>
        <v>8387835.7999995183</v>
      </c>
    </row>
    <row r="6612" spans="1:5" x14ac:dyDescent="0.25">
      <c r="A6612" s="2" t="s">
        <v>242</v>
      </c>
      <c r="B6612" s="6">
        <v>44064</v>
      </c>
      <c r="C6612" s="2" t="s">
        <v>24</v>
      </c>
      <c r="D6612" s="8">
        <v>-150</v>
      </c>
      <c r="E6612" s="8">
        <f>E6611+(0-150)</f>
        <v>8387685.7999995183</v>
      </c>
    </row>
    <row r="6613" spans="1:5" x14ac:dyDescent="0.25">
      <c r="A6613" s="2" t="s">
        <v>242</v>
      </c>
      <c r="B6613" s="6">
        <v>44064</v>
      </c>
      <c r="C6613" s="2" t="s">
        <v>78</v>
      </c>
      <c r="D6613" s="8">
        <v>-53.75</v>
      </c>
      <c r="E6613" s="8">
        <f>E6612+(0-53.75)</f>
        <v>8387632.0499995183</v>
      </c>
    </row>
    <row r="6614" spans="1:5" x14ac:dyDescent="0.25">
      <c r="A6614" s="2" t="s">
        <v>242</v>
      </c>
      <c r="B6614" s="6">
        <v>44065</v>
      </c>
      <c r="C6614" s="2" t="s">
        <v>17</v>
      </c>
      <c r="D6614" s="8">
        <v>-96</v>
      </c>
      <c r="E6614" s="8">
        <f>E6613+(0-96)</f>
        <v>8387536.0499995183</v>
      </c>
    </row>
    <row r="6615" spans="1:5" x14ac:dyDescent="0.25">
      <c r="A6615" s="2" t="s">
        <v>242</v>
      </c>
      <c r="B6615" s="6">
        <v>44065</v>
      </c>
      <c r="C6615" s="2" t="s">
        <v>17</v>
      </c>
      <c r="D6615" s="8">
        <v>-60</v>
      </c>
      <c r="E6615" s="8">
        <f>E6614+(0-60)</f>
        <v>8387476.0499995183</v>
      </c>
    </row>
    <row r="6616" spans="1:5" x14ac:dyDescent="0.25">
      <c r="A6616" s="2" t="s">
        <v>242</v>
      </c>
      <c r="B6616" s="6">
        <v>44065</v>
      </c>
      <c r="C6616" s="2" t="s">
        <v>17</v>
      </c>
      <c r="D6616" s="8">
        <v>-52</v>
      </c>
      <c r="E6616" s="8">
        <f>E6615+(0-52)</f>
        <v>8387424.0499995183</v>
      </c>
    </row>
    <row r="6617" spans="1:5" x14ac:dyDescent="0.25">
      <c r="A6617" s="2" t="s">
        <v>242</v>
      </c>
      <c r="B6617" s="6">
        <v>44067</v>
      </c>
      <c r="C6617" s="2" t="s">
        <v>24</v>
      </c>
      <c r="D6617" s="8">
        <v>-300</v>
      </c>
      <c r="E6617" s="8">
        <f>E6616+(0-300)</f>
        <v>8387124.0499995183</v>
      </c>
    </row>
    <row r="6618" spans="1:5" x14ac:dyDescent="0.25">
      <c r="A6618" s="2" t="s">
        <v>242</v>
      </c>
      <c r="B6618" s="6">
        <v>44067</v>
      </c>
      <c r="C6618" s="2" t="s">
        <v>338</v>
      </c>
      <c r="D6618" s="8">
        <v>-53.75</v>
      </c>
      <c r="E6618" s="8">
        <f>E6617+(0-53.75)</f>
        <v>8387070.2999995183</v>
      </c>
    </row>
    <row r="6619" spans="1:5" x14ac:dyDescent="0.25">
      <c r="A6619" s="2" t="s">
        <v>242</v>
      </c>
      <c r="B6619" s="6">
        <v>44068</v>
      </c>
      <c r="C6619" s="2" t="s">
        <v>24</v>
      </c>
      <c r="D6619" s="8">
        <v>-350</v>
      </c>
      <c r="E6619" s="8">
        <f>E6618+(0-350)</f>
        <v>8386720.2999995183</v>
      </c>
    </row>
    <row r="6620" spans="1:5" x14ac:dyDescent="0.25">
      <c r="A6620" s="2" t="s">
        <v>242</v>
      </c>
      <c r="B6620" s="6">
        <v>44068</v>
      </c>
      <c r="C6620" s="2" t="s">
        <v>339</v>
      </c>
      <c r="D6620" s="8">
        <v>-53.75</v>
      </c>
      <c r="E6620" s="8">
        <f>E6619+(0-53.75)</f>
        <v>8386666.5499995183</v>
      </c>
    </row>
    <row r="6621" spans="1:5" x14ac:dyDescent="0.25">
      <c r="A6621" s="2" t="s">
        <v>242</v>
      </c>
      <c r="B6621" s="6">
        <v>44068</v>
      </c>
      <c r="C6621" s="2" t="s">
        <v>340</v>
      </c>
      <c r="D6621" s="8">
        <v>-26.88</v>
      </c>
      <c r="E6621" s="8">
        <f>E6620+(0-26.88)</f>
        <v>8386639.6699995184</v>
      </c>
    </row>
    <row r="6622" spans="1:5" x14ac:dyDescent="0.25">
      <c r="A6622" s="2" t="s">
        <v>242</v>
      </c>
      <c r="B6622" s="6">
        <v>44069</v>
      </c>
      <c r="C6622" s="2" t="s">
        <v>24</v>
      </c>
      <c r="D6622" s="8">
        <v>-150</v>
      </c>
      <c r="E6622" s="8">
        <f>E6621+(0-150)</f>
        <v>8386489.6699995184</v>
      </c>
    </row>
    <row r="6623" spans="1:5" x14ac:dyDescent="0.25">
      <c r="A6623" s="2" t="s">
        <v>242</v>
      </c>
      <c r="B6623" s="6">
        <v>44070</v>
      </c>
      <c r="C6623" s="2" t="s">
        <v>24</v>
      </c>
      <c r="D6623" s="8">
        <v>-32</v>
      </c>
      <c r="E6623" s="8">
        <f>E6622+(0-32)</f>
        <v>8386457.6699995184</v>
      </c>
    </row>
    <row r="6624" spans="1:5" x14ac:dyDescent="0.25">
      <c r="A6624" s="2" t="s">
        <v>242</v>
      </c>
      <c r="B6624" s="6">
        <v>44070</v>
      </c>
      <c r="C6624" s="2" t="s">
        <v>17</v>
      </c>
      <c r="D6624" s="8">
        <v>-4</v>
      </c>
      <c r="E6624" s="8">
        <f>E6623+(0-4)</f>
        <v>8386453.6699995184</v>
      </c>
    </row>
    <row r="6625" spans="1:5" x14ac:dyDescent="0.25">
      <c r="A6625" s="2" t="s">
        <v>242</v>
      </c>
      <c r="B6625" s="6">
        <v>44070</v>
      </c>
      <c r="C6625" s="2" t="s">
        <v>17</v>
      </c>
      <c r="D6625" s="8">
        <v>-4</v>
      </c>
      <c r="E6625" s="8">
        <f>E6624+(0-4)</f>
        <v>8386449.6699995184</v>
      </c>
    </row>
    <row r="6626" spans="1:5" x14ac:dyDescent="0.25">
      <c r="A6626" s="2" t="s">
        <v>242</v>
      </c>
      <c r="B6626" s="6">
        <v>44070</v>
      </c>
      <c r="C6626" s="2" t="s">
        <v>24</v>
      </c>
      <c r="D6626" s="8">
        <v>-50</v>
      </c>
      <c r="E6626" s="8">
        <f>E6625+(0-50)</f>
        <v>8386399.6699995184</v>
      </c>
    </row>
    <row r="6627" spans="1:5" x14ac:dyDescent="0.25">
      <c r="A6627" s="2" t="s">
        <v>242</v>
      </c>
      <c r="B6627" s="6">
        <v>44070</v>
      </c>
      <c r="C6627" s="2" t="s">
        <v>24</v>
      </c>
      <c r="D6627" s="8">
        <v>-150</v>
      </c>
      <c r="E6627" s="8">
        <f>E6626+(0-150)</f>
        <v>8386249.6699995184</v>
      </c>
    </row>
    <row r="6628" spans="1:5" x14ac:dyDescent="0.25">
      <c r="A6628" s="2" t="s">
        <v>242</v>
      </c>
      <c r="B6628" s="6">
        <v>44070</v>
      </c>
      <c r="C6628" s="2" t="s">
        <v>17</v>
      </c>
      <c r="D6628" s="8">
        <v>-32</v>
      </c>
      <c r="E6628" s="8">
        <f>E6627+(0-32)</f>
        <v>8386217.6699995184</v>
      </c>
    </row>
    <row r="6629" spans="1:5" x14ac:dyDescent="0.25">
      <c r="A6629" s="2" t="s">
        <v>242</v>
      </c>
      <c r="B6629" s="6">
        <v>44071</v>
      </c>
      <c r="C6629" s="2" t="s">
        <v>17</v>
      </c>
      <c r="D6629" s="8">
        <v>-80</v>
      </c>
      <c r="E6629" s="8">
        <f>E6628+(0-80)</f>
        <v>8386137.6699995184</v>
      </c>
    </row>
    <row r="6630" spans="1:5" x14ac:dyDescent="0.25">
      <c r="A6630" s="2" t="s">
        <v>242</v>
      </c>
      <c r="B6630" s="6">
        <v>44071</v>
      </c>
      <c r="C6630" s="2" t="s">
        <v>17</v>
      </c>
      <c r="D6630" s="8">
        <v>-36</v>
      </c>
      <c r="E6630" s="8">
        <f>E6629+(0-36)</f>
        <v>8386101.6699995184</v>
      </c>
    </row>
    <row r="6631" spans="1:5" x14ac:dyDescent="0.25">
      <c r="A6631" s="2" t="s">
        <v>242</v>
      </c>
      <c r="B6631" s="6">
        <v>44071</v>
      </c>
      <c r="C6631" s="2" t="s">
        <v>17</v>
      </c>
      <c r="D6631" s="8">
        <v>-32</v>
      </c>
      <c r="E6631" s="8">
        <f>E6630+(0-32)</f>
        <v>8386069.6699995184</v>
      </c>
    </row>
    <row r="6632" spans="1:5" x14ac:dyDescent="0.25">
      <c r="A6632" s="2" t="s">
        <v>242</v>
      </c>
      <c r="B6632" s="6">
        <v>44071</v>
      </c>
      <c r="C6632" s="2" t="s">
        <v>24</v>
      </c>
      <c r="D6632" s="8">
        <v>-50</v>
      </c>
      <c r="E6632" s="8">
        <f>E6631+(0-50)</f>
        <v>8386019.6699995184</v>
      </c>
    </row>
    <row r="6633" spans="1:5" x14ac:dyDescent="0.25">
      <c r="A6633" s="2" t="s">
        <v>242</v>
      </c>
      <c r="B6633" s="6">
        <v>44071</v>
      </c>
      <c r="C6633" s="2" t="s">
        <v>24</v>
      </c>
      <c r="D6633" s="8">
        <v>-500</v>
      </c>
      <c r="E6633" s="8">
        <f>E6632+(0-500)</f>
        <v>8385519.6699995184</v>
      </c>
    </row>
    <row r="6634" spans="1:5" x14ac:dyDescent="0.25">
      <c r="A6634" s="2" t="s">
        <v>242</v>
      </c>
      <c r="B6634" s="6">
        <v>44071</v>
      </c>
      <c r="C6634" s="2" t="s">
        <v>322</v>
      </c>
      <c r="D6634" s="8">
        <v>-53.75</v>
      </c>
      <c r="E6634" s="8">
        <f>E6633+(0-53.75)</f>
        <v>8385465.9199995184</v>
      </c>
    </row>
    <row r="6635" spans="1:5" x14ac:dyDescent="0.25">
      <c r="A6635" s="2" t="s">
        <v>242</v>
      </c>
      <c r="B6635" s="6">
        <v>44072</v>
      </c>
      <c r="C6635" s="2" t="s">
        <v>17</v>
      </c>
      <c r="D6635" s="8">
        <v>-84</v>
      </c>
      <c r="E6635" s="8">
        <f>E6634+(0-84)</f>
        <v>8385381.9199995184</v>
      </c>
    </row>
    <row r="6636" spans="1:5" x14ac:dyDescent="0.25">
      <c r="A6636" s="2" t="s">
        <v>242</v>
      </c>
      <c r="B6636" s="6">
        <v>44074</v>
      </c>
      <c r="C6636" s="2" t="s">
        <v>17</v>
      </c>
      <c r="D6636" s="8">
        <v>-4</v>
      </c>
      <c r="E6636" s="8">
        <f>E6635+(0-4)</f>
        <v>8385377.9199995184</v>
      </c>
    </row>
    <row r="6637" spans="1:5" x14ac:dyDescent="0.25">
      <c r="A6637" s="2" t="s">
        <v>242</v>
      </c>
      <c r="B6637" s="6">
        <v>44074</v>
      </c>
      <c r="C6637" s="2" t="s">
        <v>17</v>
      </c>
      <c r="D6637" s="8">
        <v>-8</v>
      </c>
      <c r="E6637" s="8">
        <f>E6636+(0-8)</f>
        <v>8385369.9199995184</v>
      </c>
    </row>
    <row r="6638" spans="1:5" x14ac:dyDescent="0.25">
      <c r="A6638" s="2" t="s">
        <v>242</v>
      </c>
      <c r="B6638" s="6">
        <v>44074</v>
      </c>
      <c r="C6638" s="2" t="s">
        <v>24</v>
      </c>
      <c r="D6638" s="8">
        <v>-350</v>
      </c>
      <c r="E6638" s="8">
        <f>E6637+(0-350)</f>
        <v>8385019.9199995184</v>
      </c>
    </row>
    <row r="6639" spans="1:5" x14ac:dyDescent="0.25">
      <c r="A6639" s="2" t="s">
        <v>242</v>
      </c>
      <c r="B6639" s="6">
        <v>44075</v>
      </c>
      <c r="C6639" s="2" t="s">
        <v>16</v>
      </c>
      <c r="D6639" s="8">
        <v>-50</v>
      </c>
      <c r="E6639" s="8">
        <f>E6638+(0-50)</f>
        <v>8384969.9199995184</v>
      </c>
    </row>
    <row r="6640" spans="1:5" x14ac:dyDescent="0.25">
      <c r="A6640" s="2" t="s">
        <v>242</v>
      </c>
      <c r="B6640" s="6">
        <v>44075</v>
      </c>
      <c r="C6640" s="2" t="s">
        <v>24</v>
      </c>
      <c r="D6640" s="8">
        <v>-50</v>
      </c>
      <c r="E6640" s="8">
        <f>E6639+(0-50)</f>
        <v>8384919.9199995184</v>
      </c>
    </row>
    <row r="6641" spans="1:5" x14ac:dyDescent="0.25">
      <c r="A6641" s="2" t="s">
        <v>242</v>
      </c>
      <c r="B6641" s="6">
        <v>44075</v>
      </c>
      <c r="C6641" s="2" t="s">
        <v>341</v>
      </c>
      <c r="D6641" s="8">
        <v>-53.75</v>
      </c>
      <c r="E6641" s="8">
        <f>E6640+(0-53.75)</f>
        <v>8384866.1699995184</v>
      </c>
    </row>
    <row r="6642" spans="1:5" x14ac:dyDescent="0.25">
      <c r="A6642" s="2" t="s">
        <v>242</v>
      </c>
      <c r="B6642" s="6">
        <v>44075</v>
      </c>
      <c r="C6642" s="2" t="s">
        <v>342</v>
      </c>
      <c r="D6642" s="8">
        <v>-26.88</v>
      </c>
      <c r="E6642" s="8">
        <f>E6641+(0-26.88)</f>
        <v>8384839.2899995185</v>
      </c>
    </row>
    <row r="6643" spans="1:5" x14ac:dyDescent="0.25">
      <c r="A6643" s="2" t="s">
        <v>242</v>
      </c>
      <c r="B6643" s="6">
        <v>44075</v>
      </c>
      <c r="C6643" s="2" t="s">
        <v>75</v>
      </c>
      <c r="D6643" s="8">
        <v>-26.88</v>
      </c>
      <c r="E6643" s="8">
        <f>E6642+(0-26.88)</f>
        <v>8384812.4099995187</v>
      </c>
    </row>
    <row r="6644" spans="1:5" x14ac:dyDescent="0.25">
      <c r="A6644" s="2" t="s">
        <v>242</v>
      </c>
      <c r="B6644" s="6">
        <v>44075</v>
      </c>
      <c r="C6644" s="2" t="s">
        <v>343</v>
      </c>
      <c r="D6644" s="8">
        <v>-53.75</v>
      </c>
      <c r="E6644" s="8">
        <f>E6643+(0-53.75)</f>
        <v>8384758.6599995187</v>
      </c>
    </row>
    <row r="6645" spans="1:5" x14ac:dyDescent="0.25">
      <c r="A6645" s="2" t="s">
        <v>242</v>
      </c>
      <c r="B6645" s="6">
        <v>44075</v>
      </c>
      <c r="C6645" s="2" t="s">
        <v>24</v>
      </c>
      <c r="D6645" s="8">
        <v>-350</v>
      </c>
      <c r="E6645" s="8">
        <f>E6644+(0-350)</f>
        <v>8384408.6599995187</v>
      </c>
    </row>
    <row r="6646" spans="1:5" x14ac:dyDescent="0.25">
      <c r="A6646" s="2" t="s">
        <v>242</v>
      </c>
      <c r="B6646" s="6">
        <v>44075</v>
      </c>
      <c r="C6646" s="2" t="s">
        <v>324</v>
      </c>
      <c r="D6646" s="8">
        <v>-53.75</v>
      </c>
      <c r="E6646" s="8">
        <f>E6645+(0-53.75)</f>
        <v>8384354.9099995187</v>
      </c>
    </row>
    <row r="6647" spans="1:5" x14ac:dyDescent="0.25">
      <c r="A6647" s="2" t="s">
        <v>242</v>
      </c>
      <c r="B6647" s="6">
        <v>44076</v>
      </c>
      <c r="C6647" s="2" t="s">
        <v>24</v>
      </c>
      <c r="D6647" s="8">
        <v>-50</v>
      </c>
      <c r="E6647" s="8">
        <f>E6646+(0-50)</f>
        <v>8384304.9099995187</v>
      </c>
    </row>
    <row r="6648" spans="1:5" x14ac:dyDescent="0.25">
      <c r="A6648" s="2" t="s">
        <v>242</v>
      </c>
      <c r="B6648" s="6">
        <v>44076</v>
      </c>
      <c r="C6648" s="2" t="s">
        <v>24</v>
      </c>
      <c r="D6648" s="8">
        <v>-200</v>
      </c>
      <c r="E6648" s="8">
        <f>E6647+(0-200)</f>
        <v>8384104.9099995187</v>
      </c>
    </row>
    <row r="6649" spans="1:5" x14ac:dyDescent="0.25">
      <c r="A6649" s="2" t="s">
        <v>242</v>
      </c>
      <c r="B6649" s="6">
        <v>44077</v>
      </c>
      <c r="C6649" s="2" t="s">
        <v>24</v>
      </c>
      <c r="D6649" s="8">
        <v>-50</v>
      </c>
      <c r="E6649" s="8">
        <f>E6648+(0-50)</f>
        <v>8384054.9099995187</v>
      </c>
    </row>
    <row r="6650" spans="1:5" x14ac:dyDescent="0.25">
      <c r="A6650" s="2" t="s">
        <v>242</v>
      </c>
      <c r="B6650" s="6">
        <v>44077</v>
      </c>
      <c r="C6650" s="2" t="s">
        <v>24</v>
      </c>
      <c r="D6650" s="8">
        <v>-150</v>
      </c>
      <c r="E6650" s="8">
        <f>E6649+(0-150)</f>
        <v>8383904.9099995187</v>
      </c>
    </row>
    <row r="6651" spans="1:5" x14ac:dyDescent="0.25">
      <c r="A6651" s="2" t="s">
        <v>242</v>
      </c>
      <c r="B6651" s="6">
        <v>44077</v>
      </c>
      <c r="C6651" s="2" t="s">
        <v>24</v>
      </c>
      <c r="D6651" s="8">
        <v>-50</v>
      </c>
      <c r="E6651" s="8">
        <f>E6650+(0-50)</f>
        <v>8383854.9099995187</v>
      </c>
    </row>
    <row r="6652" spans="1:5" x14ac:dyDescent="0.25">
      <c r="A6652" s="2" t="s">
        <v>242</v>
      </c>
      <c r="B6652" s="6">
        <v>44078</v>
      </c>
      <c r="C6652" s="2" t="s">
        <v>24</v>
      </c>
      <c r="D6652" s="8">
        <v>-40</v>
      </c>
      <c r="E6652" s="8">
        <f>E6651+(0-40)</f>
        <v>8383814.9099995187</v>
      </c>
    </row>
    <row r="6653" spans="1:5" x14ac:dyDescent="0.25">
      <c r="A6653" s="2" t="s">
        <v>242</v>
      </c>
      <c r="B6653" s="6">
        <v>44078</v>
      </c>
      <c r="C6653" s="2" t="s">
        <v>19</v>
      </c>
      <c r="D6653" s="8">
        <v>-116</v>
      </c>
      <c r="E6653" s="8">
        <f>E6652+(0-116)</f>
        <v>8383698.9099995187</v>
      </c>
    </row>
    <row r="6654" spans="1:5" x14ac:dyDescent="0.25">
      <c r="A6654" s="2" t="s">
        <v>242</v>
      </c>
      <c r="B6654" s="6">
        <v>44078</v>
      </c>
      <c r="C6654" s="2" t="s">
        <v>19</v>
      </c>
      <c r="D6654" s="8">
        <v>-44</v>
      </c>
      <c r="E6654" s="8">
        <f>E6653+(0-44)</f>
        <v>8383654.9099995187</v>
      </c>
    </row>
    <row r="6655" spans="1:5" x14ac:dyDescent="0.25">
      <c r="A6655" s="2" t="s">
        <v>242</v>
      </c>
      <c r="B6655" s="6">
        <v>44078</v>
      </c>
      <c r="C6655" s="2" t="s">
        <v>16</v>
      </c>
      <c r="D6655" s="8">
        <v>-150</v>
      </c>
      <c r="E6655" s="8">
        <f>E6654+(0-150)</f>
        <v>8383504.9099995187</v>
      </c>
    </row>
    <row r="6656" spans="1:5" x14ac:dyDescent="0.25">
      <c r="A6656" s="2" t="s">
        <v>242</v>
      </c>
      <c r="B6656" s="6">
        <v>44081</v>
      </c>
      <c r="C6656" s="2" t="s">
        <v>17</v>
      </c>
      <c r="D6656" s="8">
        <v>-44</v>
      </c>
      <c r="E6656" s="8">
        <f>E6655+(0-44)</f>
        <v>8383460.9099995187</v>
      </c>
    </row>
    <row r="6657" spans="1:5" x14ac:dyDescent="0.25">
      <c r="A6657" s="2" t="s">
        <v>242</v>
      </c>
      <c r="B6657" s="6">
        <v>44081</v>
      </c>
      <c r="C6657" s="2" t="s">
        <v>17</v>
      </c>
      <c r="D6657" s="8">
        <v>-36</v>
      </c>
      <c r="E6657" s="8">
        <f>E6656+(0-36)</f>
        <v>8383424.9099995187</v>
      </c>
    </row>
    <row r="6658" spans="1:5" x14ac:dyDescent="0.25">
      <c r="A6658" s="2" t="s">
        <v>242</v>
      </c>
      <c r="B6658" s="6">
        <v>44081</v>
      </c>
      <c r="C6658" s="2" t="s">
        <v>16</v>
      </c>
      <c r="D6658" s="8">
        <v>-300</v>
      </c>
      <c r="E6658" s="8">
        <f>E6657+(0-300)</f>
        <v>8383124.9099995187</v>
      </c>
    </row>
    <row r="6659" spans="1:5" x14ac:dyDescent="0.25">
      <c r="A6659" s="2" t="s">
        <v>242</v>
      </c>
      <c r="B6659" s="6">
        <v>44082</v>
      </c>
      <c r="C6659" s="2" t="s">
        <v>19</v>
      </c>
      <c r="D6659" s="8">
        <v>-36</v>
      </c>
      <c r="E6659" s="8">
        <f>E6658+(0-36)</f>
        <v>8383088.9099995187</v>
      </c>
    </row>
    <row r="6660" spans="1:5" x14ac:dyDescent="0.25">
      <c r="A6660" s="2" t="s">
        <v>242</v>
      </c>
      <c r="B6660" s="6">
        <v>44082</v>
      </c>
      <c r="C6660" s="2" t="s">
        <v>16</v>
      </c>
      <c r="D6660" s="8">
        <v>-300</v>
      </c>
      <c r="E6660" s="8">
        <f>E6659+(0-300)</f>
        <v>8382788.9099995187</v>
      </c>
    </row>
    <row r="6661" spans="1:5" x14ac:dyDescent="0.25">
      <c r="A6661" s="2" t="s">
        <v>242</v>
      </c>
      <c r="B6661" s="6">
        <v>44082</v>
      </c>
      <c r="C6661" s="2" t="s">
        <v>16</v>
      </c>
      <c r="D6661" s="8">
        <v>-50</v>
      </c>
      <c r="E6661" s="8">
        <f>E6660+(0-50)</f>
        <v>8382738.9099995187</v>
      </c>
    </row>
    <row r="6662" spans="1:5" x14ac:dyDescent="0.25">
      <c r="A6662" s="2" t="s">
        <v>242</v>
      </c>
      <c r="B6662" s="6">
        <v>44082</v>
      </c>
      <c r="C6662" s="2" t="s">
        <v>17</v>
      </c>
      <c r="D6662" s="8">
        <v>-48</v>
      </c>
      <c r="E6662" s="8">
        <f>E6661+(0-48)</f>
        <v>8382690.9099995187</v>
      </c>
    </row>
    <row r="6663" spans="1:5" x14ac:dyDescent="0.25">
      <c r="A6663" s="2" t="s">
        <v>242</v>
      </c>
      <c r="B6663" s="6">
        <v>44083</v>
      </c>
      <c r="C6663" s="2" t="s">
        <v>16</v>
      </c>
      <c r="D6663" s="8">
        <v>-50</v>
      </c>
      <c r="E6663" s="8">
        <f>E6662+(0-50)</f>
        <v>8382640.9099995187</v>
      </c>
    </row>
    <row r="6664" spans="1:5" x14ac:dyDescent="0.25">
      <c r="A6664" s="2" t="s">
        <v>242</v>
      </c>
      <c r="B6664" s="6">
        <v>44083</v>
      </c>
      <c r="C6664" s="2" t="s">
        <v>16</v>
      </c>
      <c r="D6664" s="8">
        <v>-350</v>
      </c>
      <c r="E6664" s="8">
        <f>E6663+(0-350)</f>
        <v>8382290.9099995187</v>
      </c>
    </row>
    <row r="6665" spans="1:5" x14ac:dyDescent="0.25">
      <c r="A6665" s="2" t="s">
        <v>242</v>
      </c>
      <c r="B6665" s="6">
        <v>44096</v>
      </c>
      <c r="C6665" s="2" t="s">
        <v>344</v>
      </c>
      <c r="D6665" s="8">
        <v>100000</v>
      </c>
      <c r="E6665" s="8">
        <f>E6664+(100000-0)</f>
        <v>8482290.9099995196</v>
      </c>
    </row>
    <row r="6666" spans="1:5" x14ac:dyDescent="0.25">
      <c r="A6666" s="2" t="s">
        <v>242</v>
      </c>
      <c r="B6666" s="6">
        <v>44098</v>
      </c>
      <c r="C6666" s="2" t="s">
        <v>16</v>
      </c>
      <c r="D6666" s="8">
        <v>-50</v>
      </c>
      <c r="E6666" s="8">
        <f>E6665+(0-50)</f>
        <v>8482240.9099995196</v>
      </c>
    </row>
    <row r="6667" spans="1:5" x14ac:dyDescent="0.25">
      <c r="A6667" s="2" t="s">
        <v>242</v>
      </c>
      <c r="B6667" s="6">
        <v>44098</v>
      </c>
      <c r="C6667" s="2" t="s">
        <v>16</v>
      </c>
      <c r="D6667" s="8">
        <v>-50</v>
      </c>
      <c r="E6667" s="8">
        <f>E6666+(0-50)</f>
        <v>8482190.9099995196</v>
      </c>
    </row>
    <row r="6668" spans="1:5" x14ac:dyDescent="0.25">
      <c r="A6668" s="2" t="s">
        <v>242</v>
      </c>
      <c r="B6668" s="6">
        <v>44098</v>
      </c>
      <c r="C6668" s="2" t="s">
        <v>16</v>
      </c>
      <c r="D6668" s="8">
        <v>-50</v>
      </c>
      <c r="E6668" s="8">
        <f>E6667+(0-50)</f>
        <v>8482140.9099995196</v>
      </c>
    </row>
    <row r="6669" spans="1:5" x14ac:dyDescent="0.25">
      <c r="A6669" s="2" t="s">
        <v>242</v>
      </c>
      <c r="B6669" s="6">
        <v>44099</v>
      </c>
      <c r="C6669" s="2" t="s">
        <v>345</v>
      </c>
      <c r="D6669" s="8">
        <v>-53.75</v>
      </c>
      <c r="E6669" s="8">
        <f>E6668+(0-53.75)</f>
        <v>8482087.1599995196</v>
      </c>
    </row>
    <row r="6670" spans="1:5" x14ac:dyDescent="0.25">
      <c r="A6670" s="2" t="s">
        <v>242</v>
      </c>
      <c r="B6670" s="6">
        <v>44099</v>
      </c>
      <c r="C6670" s="2" t="s">
        <v>16</v>
      </c>
      <c r="D6670" s="8">
        <v>-300</v>
      </c>
      <c r="E6670" s="8">
        <f>E6669+(0-300)</f>
        <v>8481787.1599995196</v>
      </c>
    </row>
    <row r="6671" spans="1:5" x14ac:dyDescent="0.25">
      <c r="A6671" s="2" t="s">
        <v>242</v>
      </c>
      <c r="B6671" s="6">
        <v>44100</v>
      </c>
      <c r="C6671" s="2" t="s">
        <v>346</v>
      </c>
      <c r="D6671" s="8">
        <v>-26.88</v>
      </c>
      <c r="E6671" s="8">
        <f>E6670+(0-26.88)</f>
        <v>8481760.2799995188</v>
      </c>
    </row>
    <row r="6672" spans="1:5" x14ac:dyDescent="0.25">
      <c r="A6672" s="2" t="s">
        <v>242</v>
      </c>
      <c r="B6672" s="6">
        <v>44100</v>
      </c>
      <c r="C6672" s="2" t="s">
        <v>17</v>
      </c>
      <c r="D6672" s="8">
        <v>-36</v>
      </c>
      <c r="E6672" s="8">
        <f>E6671+(0-36)</f>
        <v>8481724.2799995188</v>
      </c>
    </row>
    <row r="6673" spans="1:5" x14ac:dyDescent="0.25">
      <c r="A6673" s="2" t="s">
        <v>242</v>
      </c>
      <c r="B6673" s="6">
        <v>44102</v>
      </c>
      <c r="C6673" s="2" t="s">
        <v>17</v>
      </c>
      <c r="D6673" s="8">
        <v>-76</v>
      </c>
      <c r="E6673" s="8">
        <f>E6672+(0-76)</f>
        <v>8481648.2799995188</v>
      </c>
    </row>
    <row r="6674" spans="1:5" x14ac:dyDescent="0.25">
      <c r="A6674" s="2" t="s">
        <v>242</v>
      </c>
      <c r="B6674" s="6">
        <v>44102</v>
      </c>
      <c r="C6674" s="2" t="s">
        <v>17</v>
      </c>
      <c r="D6674" s="8">
        <v>-32</v>
      </c>
      <c r="E6674" s="8">
        <f>E6673+(0-32)</f>
        <v>8481616.2799995188</v>
      </c>
    </row>
    <row r="6675" spans="1:5" x14ac:dyDescent="0.25">
      <c r="A6675" s="2" t="s">
        <v>242</v>
      </c>
      <c r="B6675" s="6">
        <v>44102</v>
      </c>
      <c r="C6675" s="2" t="s">
        <v>17</v>
      </c>
      <c r="D6675" s="8">
        <v>-40</v>
      </c>
      <c r="E6675" s="8">
        <f>E6674+(0-40)</f>
        <v>8481576.2799995188</v>
      </c>
    </row>
    <row r="6676" spans="1:5" x14ac:dyDescent="0.25">
      <c r="A6676" s="2" t="s">
        <v>242</v>
      </c>
      <c r="B6676" s="6">
        <v>44102</v>
      </c>
      <c r="C6676" s="2" t="s">
        <v>17</v>
      </c>
      <c r="D6676" s="8">
        <v>-40</v>
      </c>
      <c r="E6676" s="8">
        <f>E6675+(0-40)</f>
        <v>8481536.2799995188</v>
      </c>
    </row>
    <row r="6677" spans="1:5" x14ac:dyDescent="0.25">
      <c r="A6677" s="2" t="s">
        <v>242</v>
      </c>
      <c r="B6677" s="6">
        <v>44102</v>
      </c>
      <c r="C6677" s="2" t="s">
        <v>17</v>
      </c>
      <c r="D6677" s="8">
        <v>-4</v>
      </c>
      <c r="E6677" s="8">
        <f>E6676+(0-4)</f>
        <v>8481532.2799995188</v>
      </c>
    </row>
    <row r="6678" spans="1:5" x14ac:dyDescent="0.25">
      <c r="A6678" s="2" t="s">
        <v>242</v>
      </c>
      <c r="B6678" s="6">
        <v>44102</v>
      </c>
      <c r="C6678" s="2" t="s">
        <v>17</v>
      </c>
      <c r="D6678" s="8">
        <v>-8</v>
      </c>
      <c r="E6678" s="8">
        <f>E6677+(0-8)</f>
        <v>8481524.2799995188</v>
      </c>
    </row>
    <row r="6679" spans="1:5" x14ac:dyDescent="0.25">
      <c r="A6679" s="2" t="s">
        <v>242</v>
      </c>
      <c r="B6679" s="6">
        <v>44102</v>
      </c>
      <c r="C6679" s="2" t="s">
        <v>16</v>
      </c>
      <c r="D6679" s="8">
        <v>-300</v>
      </c>
      <c r="E6679" s="8">
        <f>E6678+(0-300)</f>
        <v>8481224.2799995188</v>
      </c>
    </row>
    <row r="6680" spans="1:5" x14ac:dyDescent="0.25">
      <c r="A6680" s="2" t="s">
        <v>242</v>
      </c>
      <c r="B6680" s="6">
        <v>44103</v>
      </c>
      <c r="C6680" s="2" t="s">
        <v>17</v>
      </c>
      <c r="D6680" s="8">
        <v>-56</v>
      </c>
      <c r="E6680" s="8">
        <f>E6679+(0-56)</f>
        <v>8481168.2799995188</v>
      </c>
    </row>
    <row r="6681" spans="1:5" x14ac:dyDescent="0.25">
      <c r="A6681" s="2" t="s">
        <v>242</v>
      </c>
      <c r="B6681" s="6">
        <v>44103</v>
      </c>
      <c r="C6681" s="2" t="s">
        <v>75</v>
      </c>
      <c r="D6681" s="8">
        <v>-26.88</v>
      </c>
      <c r="E6681" s="8">
        <f>E6680+(0-26.88)</f>
        <v>8481141.3999995179</v>
      </c>
    </row>
    <row r="6682" spans="1:5" x14ac:dyDescent="0.25">
      <c r="A6682" s="2" t="s">
        <v>242</v>
      </c>
      <c r="B6682" s="6">
        <v>44103</v>
      </c>
      <c r="C6682" s="2" t="s">
        <v>34</v>
      </c>
      <c r="D6682" s="8">
        <v>-26.88</v>
      </c>
      <c r="E6682" s="8">
        <f>E6681+(0-26.88)</f>
        <v>8481114.5199995171</v>
      </c>
    </row>
    <row r="6683" spans="1:5" x14ac:dyDescent="0.25">
      <c r="A6683" s="2" t="s">
        <v>242</v>
      </c>
      <c r="B6683" s="6">
        <v>44103</v>
      </c>
      <c r="C6683" s="2" t="s">
        <v>33</v>
      </c>
      <c r="D6683" s="8">
        <v>-53.75</v>
      </c>
      <c r="E6683" s="8">
        <f>E6682+(0-53.75)</f>
        <v>8481060.7699995171</v>
      </c>
    </row>
    <row r="6684" spans="1:5" x14ac:dyDescent="0.25">
      <c r="A6684" s="2" t="s">
        <v>242</v>
      </c>
      <c r="B6684" s="6">
        <v>44103</v>
      </c>
      <c r="C6684" s="2" t="s">
        <v>16</v>
      </c>
      <c r="D6684" s="8">
        <v>-350</v>
      </c>
      <c r="E6684" s="8">
        <f>E6683+(0-350)</f>
        <v>8480710.7699995171</v>
      </c>
    </row>
    <row r="6685" spans="1:5" x14ac:dyDescent="0.25">
      <c r="A6685" s="2" t="s">
        <v>242</v>
      </c>
      <c r="B6685" s="6">
        <v>44103</v>
      </c>
      <c r="C6685" s="2" t="s">
        <v>16</v>
      </c>
      <c r="D6685" s="8">
        <v>-150</v>
      </c>
      <c r="E6685" s="8">
        <f>E6684+(0-150)</f>
        <v>8480560.7699995171</v>
      </c>
    </row>
    <row r="6686" spans="1:5" x14ac:dyDescent="0.25">
      <c r="A6686" s="2" t="s">
        <v>242</v>
      </c>
      <c r="B6686" s="6">
        <v>44104</v>
      </c>
      <c r="C6686" s="2" t="s">
        <v>347</v>
      </c>
      <c r="D6686" s="8">
        <v>-53.75</v>
      </c>
      <c r="E6686" s="8">
        <f>E6685+(0-53.75)</f>
        <v>8480507.0199995171</v>
      </c>
    </row>
    <row r="6687" spans="1:5" x14ac:dyDescent="0.25">
      <c r="A6687" s="2" t="s">
        <v>242</v>
      </c>
      <c r="B6687" s="6">
        <v>44104</v>
      </c>
      <c r="C6687" s="2" t="s">
        <v>88</v>
      </c>
      <c r="D6687" s="8">
        <v>-53.75</v>
      </c>
      <c r="E6687" s="8">
        <f>E6686+(0-53.75)</f>
        <v>8480453.2699995171</v>
      </c>
    </row>
    <row r="6688" spans="1:5" x14ac:dyDescent="0.25">
      <c r="A6688" s="2" t="s">
        <v>242</v>
      </c>
      <c r="B6688" s="6">
        <v>44104</v>
      </c>
      <c r="C6688" s="2" t="s">
        <v>16</v>
      </c>
      <c r="D6688" s="8">
        <v>-50</v>
      </c>
      <c r="E6688" s="8">
        <f>E6687+(0-50)</f>
        <v>8480403.2699995171</v>
      </c>
    </row>
    <row r="6689" spans="1:5" x14ac:dyDescent="0.25">
      <c r="A6689" s="2" t="s">
        <v>242</v>
      </c>
      <c r="B6689" s="6">
        <v>44104</v>
      </c>
      <c r="C6689" s="2" t="s">
        <v>97</v>
      </c>
      <c r="D6689" s="8">
        <v>-53.75</v>
      </c>
      <c r="E6689" s="8">
        <f>E6688+(0-53.75)</f>
        <v>8480349.5199995171</v>
      </c>
    </row>
    <row r="6690" spans="1:5" x14ac:dyDescent="0.25">
      <c r="A6690" s="2" t="s">
        <v>242</v>
      </c>
      <c r="B6690" s="6">
        <v>44104</v>
      </c>
      <c r="C6690" s="2" t="s">
        <v>16</v>
      </c>
      <c r="D6690" s="8">
        <v>-50</v>
      </c>
      <c r="E6690" s="8">
        <f>E6689+(0-50)</f>
        <v>8480299.5199995171</v>
      </c>
    </row>
    <row r="6691" spans="1:5" x14ac:dyDescent="0.25">
      <c r="A6691" s="2" t="s">
        <v>242</v>
      </c>
      <c r="B6691" s="6">
        <v>44104</v>
      </c>
      <c r="C6691" s="2" t="s">
        <v>348</v>
      </c>
      <c r="D6691" s="8">
        <v>-26.88</v>
      </c>
      <c r="E6691" s="8">
        <f>E6690+(0-26.88)</f>
        <v>8480272.6399995163</v>
      </c>
    </row>
    <row r="6692" spans="1:5" x14ac:dyDescent="0.25">
      <c r="A6692" s="2" t="s">
        <v>242</v>
      </c>
      <c r="B6692" s="6">
        <v>44104</v>
      </c>
      <c r="C6692" s="2" t="s">
        <v>17</v>
      </c>
      <c r="D6692" s="8">
        <v>-64</v>
      </c>
      <c r="E6692" s="8">
        <f>E6691+(0-64)</f>
        <v>8480208.6399995163</v>
      </c>
    </row>
    <row r="6693" spans="1:5" x14ac:dyDescent="0.25">
      <c r="A6693" s="2" t="s">
        <v>242</v>
      </c>
      <c r="B6693" s="6">
        <v>44104</v>
      </c>
      <c r="C6693" s="2" t="s">
        <v>16</v>
      </c>
      <c r="D6693" s="8">
        <v>-50</v>
      </c>
      <c r="E6693" s="8">
        <f>E6692+(0-50)</f>
        <v>8480158.6399995163</v>
      </c>
    </row>
    <row r="6694" spans="1:5" x14ac:dyDescent="0.25">
      <c r="A6694" s="2" t="s">
        <v>242</v>
      </c>
      <c r="B6694" s="6">
        <v>44104</v>
      </c>
      <c r="C6694" s="2" t="s">
        <v>16</v>
      </c>
      <c r="D6694" s="8">
        <v>-400</v>
      </c>
      <c r="E6694" s="8">
        <f>E6693+(0-400)</f>
        <v>8479758.6399995163</v>
      </c>
    </row>
    <row r="6695" spans="1:5" x14ac:dyDescent="0.25">
      <c r="A6695" s="2" t="s">
        <v>242</v>
      </c>
      <c r="B6695" s="6">
        <v>44106</v>
      </c>
      <c r="C6695" s="2" t="s">
        <v>16</v>
      </c>
      <c r="D6695" s="8">
        <v>-50</v>
      </c>
      <c r="E6695" s="8">
        <f>E6694+(0-50)</f>
        <v>8479708.6399995163</v>
      </c>
    </row>
    <row r="6696" spans="1:5" x14ac:dyDescent="0.25">
      <c r="A6696" s="2" t="s">
        <v>242</v>
      </c>
      <c r="B6696" s="6">
        <v>44106</v>
      </c>
      <c r="C6696" s="2" t="s">
        <v>16</v>
      </c>
      <c r="D6696" s="8">
        <v>-400</v>
      </c>
      <c r="E6696" s="8">
        <f>E6695+(0-400)</f>
        <v>8479308.6399995163</v>
      </c>
    </row>
    <row r="6697" spans="1:5" x14ac:dyDescent="0.25">
      <c r="A6697" s="2" t="s">
        <v>242</v>
      </c>
      <c r="B6697" s="6">
        <v>44106</v>
      </c>
      <c r="C6697" s="2" t="s">
        <v>16</v>
      </c>
      <c r="D6697" s="8">
        <v>-50</v>
      </c>
      <c r="E6697" s="8">
        <f>E6696+(0-50)</f>
        <v>8479258.6399995163</v>
      </c>
    </row>
    <row r="6698" spans="1:5" x14ac:dyDescent="0.25">
      <c r="A6698" s="2" t="s">
        <v>242</v>
      </c>
      <c r="B6698" s="6">
        <v>44109</v>
      </c>
      <c r="C6698" s="2" t="s">
        <v>349</v>
      </c>
      <c r="D6698" s="8">
        <v>-53.75</v>
      </c>
      <c r="E6698" s="8">
        <f>E6697+(0-53.75)</f>
        <v>8479204.8899995163</v>
      </c>
    </row>
    <row r="6699" spans="1:5" x14ac:dyDescent="0.25">
      <c r="A6699" s="2" t="s">
        <v>242</v>
      </c>
      <c r="B6699" s="6">
        <v>44110</v>
      </c>
      <c r="C6699" s="2" t="s">
        <v>17</v>
      </c>
      <c r="D6699" s="8">
        <v>-76</v>
      </c>
      <c r="E6699" s="8">
        <f>E6698+(0-76)</f>
        <v>8479128.8899995163</v>
      </c>
    </row>
    <row r="6700" spans="1:5" x14ac:dyDescent="0.25">
      <c r="A6700" s="2" t="s">
        <v>242</v>
      </c>
      <c r="B6700" s="6">
        <v>44110</v>
      </c>
      <c r="C6700" s="2" t="s">
        <v>17</v>
      </c>
      <c r="D6700" s="8">
        <v>-4</v>
      </c>
      <c r="E6700" s="8">
        <f>E6699+(0-4)</f>
        <v>8479124.8899995163</v>
      </c>
    </row>
    <row r="6701" spans="1:5" x14ac:dyDescent="0.25">
      <c r="A6701" s="2" t="s">
        <v>242</v>
      </c>
      <c r="B6701" s="6">
        <v>44110</v>
      </c>
      <c r="C6701" s="2" t="s">
        <v>17</v>
      </c>
      <c r="D6701" s="8">
        <v>-60</v>
      </c>
      <c r="E6701" s="8">
        <f>E6700+(0-60)</f>
        <v>8479064.8899995163</v>
      </c>
    </row>
    <row r="6702" spans="1:5" x14ac:dyDescent="0.25">
      <c r="A6702" s="2" t="s">
        <v>242</v>
      </c>
      <c r="B6702" s="6">
        <v>44110</v>
      </c>
      <c r="C6702" s="2" t="s">
        <v>16</v>
      </c>
      <c r="D6702" s="8">
        <v>-350</v>
      </c>
      <c r="E6702" s="8">
        <f>E6701+(0-350)</f>
        <v>8478714.8899995163</v>
      </c>
    </row>
    <row r="6703" spans="1:5" x14ac:dyDescent="0.25">
      <c r="A6703" s="2" t="s">
        <v>242</v>
      </c>
      <c r="B6703" s="6">
        <v>44110</v>
      </c>
      <c r="C6703" s="2" t="s">
        <v>17</v>
      </c>
      <c r="D6703" s="8">
        <v>-8</v>
      </c>
      <c r="E6703" s="8">
        <f>E6702+(0-8)</f>
        <v>8478706.8899995163</v>
      </c>
    </row>
    <row r="6704" spans="1:5" x14ac:dyDescent="0.25">
      <c r="A6704" s="2" t="s">
        <v>242</v>
      </c>
      <c r="B6704" s="6">
        <v>44111</v>
      </c>
      <c r="C6704" s="2" t="s">
        <v>310</v>
      </c>
      <c r="D6704" s="8">
        <v>-53.75</v>
      </c>
      <c r="E6704" s="8">
        <f>E6703+(0-53.75)</f>
        <v>8478653.1399995163</v>
      </c>
    </row>
    <row r="6705" spans="1:5" x14ac:dyDescent="0.25">
      <c r="A6705" s="2" t="s">
        <v>242</v>
      </c>
      <c r="B6705" s="6">
        <v>44111</v>
      </c>
      <c r="C6705" s="2" t="s">
        <v>350</v>
      </c>
      <c r="D6705" s="8">
        <v>-53.75</v>
      </c>
      <c r="E6705" s="8">
        <f>E6704+(0-53.75)</f>
        <v>8478599.3899995163</v>
      </c>
    </row>
    <row r="6706" spans="1:5" x14ac:dyDescent="0.25">
      <c r="A6706" s="2" t="s">
        <v>242</v>
      </c>
      <c r="B6706" s="6">
        <v>44111</v>
      </c>
      <c r="C6706" s="2" t="s">
        <v>24</v>
      </c>
      <c r="D6706" s="8">
        <v>-300</v>
      </c>
      <c r="E6706" s="8">
        <f>E6705+(0-300)</f>
        <v>8478299.3899995163</v>
      </c>
    </row>
    <row r="6707" spans="1:5" x14ac:dyDescent="0.25">
      <c r="A6707" s="2" t="s">
        <v>242</v>
      </c>
      <c r="B6707" s="6">
        <v>44112</v>
      </c>
      <c r="C6707" s="2" t="s">
        <v>84</v>
      </c>
      <c r="D6707" s="8">
        <v>-26.88</v>
      </c>
      <c r="E6707" s="8">
        <f>E6706+(0-26.88)</f>
        <v>8478272.5099995155</v>
      </c>
    </row>
    <row r="6708" spans="1:5" x14ac:dyDescent="0.25">
      <c r="A6708" s="2" t="s">
        <v>242</v>
      </c>
      <c r="B6708" s="6">
        <v>44112</v>
      </c>
      <c r="C6708" s="2" t="s">
        <v>16</v>
      </c>
      <c r="D6708" s="8">
        <v>-250</v>
      </c>
      <c r="E6708" s="8">
        <f>E6707+(0-250)</f>
        <v>8478022.5099995155</v>
      </c>
    </row>
    <row r="6709" spans="1:5" x14ac:dyDescent="0.25">
      <c r="A6709" s="2" t="s">
        <v>242</v>
      </c>
      <c r="B6709" s="6">
        <v>44113</v>
      </c>
      <c r="C6709" s="2" t="s">
        <v>351</v>
      </c>
      <c r="D6709" s="8">
        <v>-53.75</v>
      </c>
      <c r="E6709" s="8">
        <f>E6708+(0-53.75)</f>
        <v>8477968.7599995155</v>
      </c>
    </row>
    <row r="6710" spans="1:5" x14ac:dyDescent="0.25">
      <c r="A6710" s="2" t="s">
        <v>242</v>
      </c>
      <c r="B6710" s="6">
        <v>44113</v>
      </c>
      <c r="C6710" s="2" t="s">
        <v>16</v>
      </c>
      <c r="D6710" s="8">
        <v>-150</v>
      </c>
      <c r="E6710" s="8">
        <f>E6709+(0-150)</f>
        <v>8477818.7599995155</v>
      </c>
    </row>
    <row r="6711" spans="1:5" x14ac:dyDescent="0.25">
      <c r="A6711" s="2" t="s">
        <v>242</v>
      </c>
      <c r="B6711" s="6">
        <v>44113</v>
      </c>
      <c r="C6711" s="2" t="s">
        <v>297</v>
      </c>
      <c r="D6711" s="8">
        <v>-36</v>
      </c>
      <c r="E6711" s="8">
        <f>E6710+(0-36)</f>
        <v>8477782.7599995155</v>
      </c>
    </row>
    <row r="6712" spans="1:5" x14ac:dyDescent="0.25">
      <c r="A6712" s="2" t="s">
        <v>242</v>
      </c>
      <c r="B6712" s="6">
        <v>44113</v>
      </c>
      <c r="C6712" s="2" t="s">
        <v>19</v>
      </c>
      <c r="D6712" s="8">
        <v>-48</v>
      </c>
      <c r="E6712" s="8">
        <f>E6711+(0-48)</f>
        <v>8477734.7599995155</v>
      </c>
    </row>
    <row r="6713" spans="1:5" x14ac:dyDescent="0.25">
      <c r="A6713" s="2" t="s">
        <v>242</v>
      </c>
      <c r="B6713" s="6">
        <v>44116</v>
      </c>
      <c r="C6713" s="2" t="s">
        <v>16</v>
      </c>
      <c r="D6713" s="8">
        <v>-50</v>
      </c>
      <c r="E6713" s="8">
        <f>E6712+(0-50)</f>
        <v>8477684.7599995155</v>
      </c>
    </row>
    <row r="6714" spans="1:5" x14ac:dyDescent="0.25">
      <c r="A6714" s="2" t="s">
        <v>242</v>
      </c>
      <c r="B6714" s="6">
        <v>44116</v>
      </c>
      <c r="C6714" s="2" t="s">
        <v>16</v>
      </c>
      <c r="D6714" s="8">
        <v>-50</v>
      </c>
      <c r="E6714" s="8">
        <f>E6713+(0-50)</f>
        <v>8477634.7599995155</v>
      </c>
    </row>
    <row r="6715" spans="1:5" x14ac:dyDescent="0.25">
      <c r="A6715" s="2" t="s">
        <v>242</v>
      </c>
      <c r="B6715" s="6">
        <v>44116</v>
      </c>
      <c r="C6715" s="2" t="s">
        <v>16</v>
      </c>
      <c r="D6715" s="8">
        <v>-300</v>
      </c>
      <c r="E6715" s="8">
        <f>E6714+(0-300)</f>
        <v>8477334.7599995155</v>
      </c>
    </row>
    <row r="6716" spans="1:5" x14ac:dyDescent="0.25">
      <c r="A6716" s="2" t="s">
        <v>242</v>
      </c>
      <c r="B6716" s="6">
        <v>44116</v>
      </c>
      <c r="C6716" s="2" t="s">
        <v>16</v>
      </c>
      <c r="D6716" s="8">
        <v>-50</v>
      </c>
      <c r="E6716" s="8">
        <f>E6715+(0-50)</f>
        <v>8477284.7599995155</v>
      </c>
    </row>
    <row r="6717" spans="1:5" x14ac:dyDescent="0.25">
      <c r="A6717" s="2" t="s">
        <v>242</v>
      </c>
      <c r="B6717" s="6">
        <v>44117</v>
      </c>
      <c r="C6717" s="2" t="s">
        <v>16</v>
      </c>
      <c r="D6717" s="8">
        <v>-100</v>
      </c>
      <c r="E6717" s="8">
        <f>E6716+(0-100)</f>
        <v>8477184.7599995155</v>
      </c>
    </row>
    <row r="6718" spans="1:5" x14ac:dyDescent="0.25">
      <c r="A6718" s="2" t="s">
        <v>242</v>
      </c>
      <c r="B6718" s="6">
        <v>44118</v>
      </c>
      <c r="C6718" s="2" t="s">
        <v>84</v>
      </c>
      <c r="D6718" s="8">
        <v>-10.75</v>
      </c>
      <c r="E6718" s="8">
        <f>E6717+(0-10.75)</f>
        <v>8477174.0099995155</v>
      </c>
    </row>
    <row r="6719" spans="1:5" x14ac:dyDescent="0.25">
      <c r="A6719" s="2" t="s">
        <v>242</v>
      </c>
      <c r="B6719" s="6">
        <v>44118</v>
      </c>
      <c r="C6719" s="2" t="s">
        <v>16</v>
      </c>
      <c r="D6719" s="8">
        <v>-50</v>
      </c>
      <c r="E6719" s="8">
        <f>E6718+(0-50)</f>
        <v>8477124.0099995155</v>
      </c>
    </row>
    <row r="6720" spans="1:5" x14ac:dyDescent="0.25">
      <c r="A6720" s="2" t="s">
        <v>242</v>
      </c>
      <c r="B6720" s="6">
        <v>44118</v>
      </c>
      <c r="C6720" s="2" t="s">
        <v>16</v>
      </c>
      <c r="D6720" s="8">
        <v>-50</v>
      </c>
      <c r="E6720" s="8">
        <f>E6719+(0-50)</f>
        <v>8477074.0099995155</v>
      </c>
    </row>
    <row r="6721" spans="1:5" x14ac:dyDescent="0.25">
      <c r="A6721" s="2" t="s">
        <v>242</v>
      </c>
      <c r="B6721" s="6">
        <v>44118</v>
      </c>
      <c r="C6721" s="2" t="s">
        <v>16</v>
      </c>
      <c r="D6721" s="8">
        <v>-50</v>
      </c>
      <c r="E6721" s="8">
        <f>E6720+(0-50)</f>
        <v>8477024.0099995155</v>
      </c>
    </row>
    <row r="6722" spans="1:5" x14ac:dyDescent="0.25">
      <c r="A6722" s="2" t="s">
        <v>242</v>
      </c>
      <c r="B6722" s="6">
        <v>44118</v>
      </c>
      <c r="C6722" s="2" t="s">
        <v>16</v>
      </c>
      <c r="D6722" s="8">
        <v>-50</v>
      </c>
      <c r="E6722" s="8">
        <f>E6721+(0-50)</f>
        <v>8476974.0099995155</v>
      </c>
    </row>
    <row r="6723" spans="1:5" x14ac:dyDescent="0.25">
      <c r="A6723" s="2" t="s">
        <v>242</v>
      </c>
      <c r="B6723" s="6">
        <v>44118</v>
      </c>
      <c r="C6723" s="2" t="s">
        <v>16</v>
      </c>
      <c r="D6723" s="8">
        <v>-50</v>
      </c>
      <c r="E6723" s="8">
        <f>E6722+(0-50)</f>
        <v>8476924.0099995155</v>
      </c>
    </row>
    <row r="6724" spans="1:5" x14ac:dyDescent="0.25">
      <c r="A6724" s="2" t="s">
        <v>242</v>
      </c>
      <c r="B6724" s="6">
        <v>44118</v>
      </c>
      <c r="C6724" s="2" t="s">
        <v>16</v>
      </c>
      <c r="D6724" s="8">
        <v>-50</v>
      </c>
      <c r="E6724" s="8">
        <f>E6723+(0-50)</f>
        <v>8476874.0099995155</v>
      </c>
    </row>
    <row r="6725" spans="1:5" x14ac:dyDescent="0.25">
      <c r="A6725" s="2" t="s">
        <v>242</v>
      </c>
      <c r="B6725" s="6">
        <v>44118</v>
      </c>
      <c r="C6725" s="2" t="s">
        <v>17</v>
      </c>
      <c r="D6725" s="8">
        <v>-40</v>
      </c>
      <c r="E6725" s="8">
        <f>E6724+(0-40)</f>
        <v>8476834.0099995155</v>
      </c>
    </row>
    <row r="6726" spans="1:5" x14ac:dyDescent="0.25">
      <c r="A6726" s="2" t="s">
        <v>242</v>
      </c>
      <c r="B6726" s="6">
        <v>44118</v>
      </c>
      <c r="C6726" s="2" t="s">
        <v>16</v>
      </c>
      <c r="D6726" s="8">
        <v>-100</v>
      </c>
      <c r="E6726" s="8">
        <f>E6725+(0-100)</f>
        <v>8476734.0099995155</v>
      </c>
    </row>
    <row r="6727" spans="1:5" x14ac:dyDescent="0.25">
      <c r="A6727" s="2" t="s">
        <v>242</v>
      </c>
      <c r="B6727" s="6">
        <v>44118</v>
      </c>
      <c r="C6727" s="2" t="s">
        <v>17</v>
      </c>
      <c r="D6727" s="8">
        <v>-48</v>
      </c>
      <c r="E6727" s="8">
        <f>E6726+(0-48)</f>
        <v>8476686.0099995155</v>
      </c>
    </row>
    <row r="6728" spans="1:5" x14ac:dyDescent="0.25">
      <c r="A6728" s="2" t="s">
        <v>242</v>
      </c>
      <c r="B6728" s="6">
        <v>44119</v>
      </c>
      <c r="C6728" s="2" t="s">
        <v>17</v>
      </c>
      <c r="D6728" s="8">
        <v>-52</v>
      </c>
      <c r="E6728" s="8">
        <f>E6727+(0-52)</f>
        <v>8476634.0099995155</v>
      </c>
    </row>
    <row r="6729" spans="1:5" x14ac:dyDescent="0.25">
      <c r="A6729" s="2" t="s">
        <v>242</v>
      </c>
      <c r="B6729" s="6">
        <v>44119</v>
      </c>
      <c r="C6729" s="2" t="s">
        <v>17</v>
      </c>
      <c r="D6729" s="8">
        <v>-12</v>
      </c>
      <c r="E6729" s="8">
        <f>E6728+(0-12)</f>
        <v>8476622.0099995155</v>
      </c>
    </row>
    <row r="6730" spans="1:5" x14ac:dyDescent="0.25">
      <c r="A6730" s="2" t="s">
        <v>242</v>
      </c>
      <c r="B6730" s="6">
        <v>44119</v>
      </c>
      <c r="C6730" s="2" t="s">
        <v>17</v>
      </c>
      <c r="D6730" s="8">
        <v>-4</v>
      </c>
      <c r="E6730" s="8">
        <f>E6729+(0-4)</f>
        <v>8476618.0099995155</v>
      </c>
    </row>
    <row r="6731" spans="1:5" x14ac:dyDescent="0.25">
      <c r="A6731" s="2" t="s">
        <v>242</v>
      </c>
      <c r="B6731" s="6">
        <v>44119</v>
      </c>
      <c r="C6731" s="2" t="s">
        <v>17</v>
      </c>
      <c r="D6731" s="8">
        <v>-32</v>
      </c>
      <c r="E6731" s="8">
        <f>E6730+(0-32)</f>
        <v>8476586.0099995155</v>
      </c>
    </row>
    <row r="6732" spans="1:5" x14ac:dyDescent="0.25">
      <c r="A6732" s="2" t="s">
        <v>242</v>
      </c>
      <c r="B6732" s="6">
        <v>44119</v>
      </c>
      <c r="C6732" s="2" t="s">
        <v>16</v>
      </c>
      <c r="D6732" s="8">
        <v>-50</v>
      </c>
      <c r="E6732" s="8">
        <f>E6731+(0-50)</f>
        <v>8476536.0099995155</v>
      </c>
    </row>
    <row r="6733" spans="1:5" x14ac:dyDescent="0.25">
      <c r="A6733" s="2" t="s">
        <v>242</v>
      </c>
      <c r="B6733" s="6">
        <v>44119</v>
      </c>
      <c r="C6733" s="2" t="s">
        <v>16</v>
      </c>
      <c r="D6733" s="8">
        <v>-50</v>
      </c>
      <c r="E6733" s="8">
        <f>E6732+(0-50)</f>
        <v>8476486.0099995155</v>
      </c>
    </row>
    <row r="6734" spans="1:5" x14ac:dyDescent="0.25">
      <c r="A6734" s="2" t="s">
        <v>242</v>
      </c>
      <c r="B6734" s="6">
        <v>44119</v>
      </c>
      <c r="C6734" s="2" t="s">
        <v>16</v>
      </c>
      <c r="D6734" s="8">
        <v>-150</v>
      </c>
      <c r="E6734" s="8">
        <f>E6733+(0-150)</f>
        <v>8476336.0099995155</v>
      </c>
    </row>
    <row r="6735" spans="1:5" x14ac:dyDescent="0.25">
      <c r="A6735" s="2" t="s">
        <v>242</v>
      </c>
      <c r="B6735" s="6">
        <v>44119</v>
      </c>
      <c r="C6735" s="2" t="s">
        <v>82</v>
      </c>
      <c r="D6735" s="8">
        <v>-53.75</v>
      </c>
      <c r="E6735" s="8">
        <f>E6734+(0-53.75)</f>
        <v>8476282.2599995155</v>
      </c>
    </row>
    <row r="6736" spans="1:5" x14ac:dyDescent="0.25">
      <c r="A6736" s="2" t="s">
        <v>242</v>
      </c>
      <c r="B6736" s="6">
        <v>44120</v>
      </c>
      <c r="C6736" s="2" t="s">
        <v>17</v>
      </c>
      <c r="D6736" s="8">
        <v>-20</v>
      </c>
      <c r="E6736" s="8">
        <f>E6735+(0-20)</f>
        <v>8476262.2599995155</v>
      </c>
    </row>
    <row r="6737" spans="1:5" x14ac:dyDescent="0.25">
      <c r="A6737" s="2" t="s">
        <v>242</v>
      </c>
      <c r="B6737" s="6">
        <v>44120</v>
      </c>
      <c r="C6737" s="2" t="s">
        <v>17</v>
      </c>
      <c r="D6737" s="8">
        <v>-44</v>
      </c>
      <c r="E6737" s="8">
        <f>E6736+(0-44)</f>
        <v>8476218.2599995155</v>
      </c>
    </row>
    <row r="6738" spans="1:5" x14ac:dyDescent="0.25">
      <c r="A6738" s="2" t="s">
        <v>242</v>
      </c>
      <c r="B6738" s="6">
        <v>44120</v>
      </c>
      <c r="C6738" s="2" t="s">
        <v>16</v>
      </c>
      <c r="D6738" s="8">
        <v>-50</v>
      </c>
      <c r="E6738" s="8">
        <f>E6737+(0-50)</f>
        <v>8476168.2599995155</v>
      </c>
    </row>
    <row r="6739" spans="1:5" x14ac:dyDescent="0.25">
      <c r="A6739" s="2" t="s">
        <v>242</v>
      </c>
      <c r="B6739" s="6">
        <v>44120</v>
      </c>
      <c r="C6739" s="2" t="s">
        <v>16</v>
      </c>
      <c r="D6739" s="8">
        <v>-100</v>
      </c>
      <c r="E6739" s="8">
        <f>E6738+(0-100)</f>
        <v>8476068.2599995155</v>
      </c>
    </row>
    <row r="6740" spans="1:5" x14ac:dyDescent="0.25">
      <c r="A6740" s="2" t="s">
        <v>242</v>
      </c>
      <c r="B6740" s="6">
        <v>44120</v>
      </c>
      <c r="C6740" s="2" t="s">
        <v>16</v>
      </c>
      <c r="D6740" s="8">
        <v>-50</v>
      </c>
      <c r="E6740" s="8">
        <f>E6739+(0-50)</f>
        <v>8476018.2599995155</v>
      </c>
    </row>
    <row r="6741" spans="1:5" x14ac:dyDescent="0.25">
      <c r="A6741" s="2" t="s">
        <v>242</v>
      </c>
      <c r="B6741" s="6">
        <v>44123</v>
      </c>
      <c r="C6741" s="2" t="s">
        <v>17</v>
      </c>
      <c r="D6741" s="8">
        <v>-32</v>
      </c>
      <c r="E6741" s="8">
        <f>E6740+(0-32)</f>
        <v>8475986.2599995155</v>
      </c>
    </row>
    <row r="6742" spans="1:5" x14ac:dyDescent="0.25">
      <c r="A6742" s="2" t="s">
        <v>242</v>
      </c>
      <c r="B6742" s="6">
        <v>44123</v>
      </c>
      <c r="C6742" s="2" t="s">
        <v>17</v>
      </c>
      <c r="D6742" s="8">
        <v>-40</v>
      </c>
      <c r="E6742" s="8">
        <f>E6741+(0-40)</f>
        <v>8475946.2599995155</v>
      </c>
    </row>
    <row r="6743" spans="1:5" x14ac:dyDescent="0.25">
      <c r="A6743" s="2" t="s">
        <v>242</v>
      </c>
      <c r="B6743" s="6">
        <v>44123</v>
      </c>
      <c r="C6743" s="2" t="s">
        <v>16</v>
      </c>
      <c r="D6743" s="8">
        <v>-150</v>
      </c>
      <c r="E6743" s="8">
        <f>E6742+(0-150)</f>
        <v>8475796.2599995155</v>
      </c>
    </row>
    <row r="6744" spans="1:5" x14ac:dyDescent="0.25">
      <c r="A6744" s="2" t="s">
        <v>242</v>
      </c>
      <c r="B6744" s="6">
        <v>44124</v>
      </c>
      <c r="C6744" s="2" t="s">
        <v>16</v>
      </c>
      <c r="D6744" s="8">
        <v>-50</v>
      </c>
      <c r="E6744" s="8">
        <f>E6743+(0-50)</f>
        <v>8475746.2599995155</v>
      </c>
    </row>
    <row r="6745" spans="1:5" x14ac:dyDescent="0.25">
      <c r="A6745" s="2" t="s">
        <v>242</v>
      </c>
      <c r="B6745" s="6">
        <v>44125</v>
      </c>
      <c r="C6745" s="2" t="s">
        <v>17</v>
      </c>
      <c r="D6745" s="8">
        <v>-8</v>
      </c>
      <c r="E6745" s="8">
        <f>E6744+(0-8)</f>
        <v>8475738.2599995155</v>
      </c>
    </row>
    <row r="6746" spans="1:5" x14ac:dyDescent="0.25">
      <c r="A6746" s="2" t="s">
        <v>242</v>
      </c>
      <c r="B6746" s="6">
        <v>44126</v>
      </c>
      <c r="C6746" s="2" t="s">
        <v>17</v>
      </c>
      <c r="D6746" s="8">
        <v>-8</v>
      </c>
      <c r="E6746" s="8">
        <f>E6745+(0-8)</f>
        <v>8475730.2599995155</v>
      </c>
    </row>
    <row r="6747" spans="1:5" x14ac:dyDescent="0.25">
      <c r="A6747" s="2" t="s">
        <v>242</v>
      </c>
      <c r="B6747" s="6">
        <v>44126</v>
      </c>
      <c r="C6747" s="2" t="s">
        <v>17</v>
      </c>
      <c r="D6747" s="8">
        <v>-4</v>
      </c>
      <c r="E6747" s="8">
        <f>E6746+(0-4)</f>
        <v>8475726.2599995155</v>
      </c>
    </row>
    <row r="6748" spans="1:5" x14ac:dyDescent="0.25">
      <c r="A6748" s="2" t="s">
        <v>242</v>
      </c>
      <c r="B6748" s="6">
        <v>44126</v>
      </c>
      <c r="C6748" s="2" t="s">
        <v>17</v>
      </c>
      <c r="D6748" s="8">
        <v>-4</v>
      </c>
      <c r="E6748" s="8">
        <f>E6747+(0-4)</f>
        <v>8475722.2599995155</v>
      </c>
    </row>
    <row r="6749" spans="1:5" x14ac:dyDescent="0.25">
      <c r="A6749" s="2" t="s">
        <v>242</v>
      </c>
      <c r="B6749" s="6">
        <v>44127</v>
      </c>
      <c r="C6749" s="2" t="s">
        <v>17</v>
      </c>
      <c r="D6749" s="8">
        <v>-4</v>
      </c>
      <c r="E6749" s="8">
        <f>E6748+(0-4)</f>
        <v>8475718.2599995155</v>
      </c>
    </row>
    <row r="6750" spans="1:5" x14ac:dyDescent="0.25">
      <c r="A6750" s="2" t="s">
        <v>242</v>
      </c>
      <c r="B6750" s="6">
        <v>44130</v>
      </c>
      <c r="C6750" s="2" t="s">
        <v>16</v>
      </c>
      <c r="D6750" s="8">
        <v>-50</v>
      </c>
      <c r="E6750" s="8">
        <f>E6749+(0-50)</f>
        <v>8475668.2599995155</v>
      </c>
    </row>
    <row r="6751" spans="1:5" x14ac:dyDescent="0.25">
      <c r="A6751" s="2" t="s">
        <v>242</v>
      </c>
      <c r="B6751" s="6">
        <v>44130</v>
      </c>
      <c r="C6751" s="2" t="s">
        <v>16</v>
      </c>
      <c r="D6751" s="8">
        <v>-250</v>
      </c>
      <c r="E6751" s="8">
        <f>E6750+(0-250)</f>
        <v>8475418.2599995155</v>
      </c>
    </row>
    <row r="6752" spans="1:5" x14ac:dyDescent="0.25">
      <c r="A6752" s="2" t="s">
        <v>242</v>
      </c>
      <c r="B6752" s="6">
        <v>44131</v>
      </c>
      <c r="C6752" s="2" t="s">
        <v>19</v>
      </c>
      <c r="D6752" s="8">
        <v>-28</v>
      </c>
      <c r="E6752" s="8">
        <f>E6751+(0-28)</f>
        <v>8475390.2599995155</v>
      </c>
    </row>
    <row r="6753" spans="1:5" x14ac:dyDescent="0.25">
      <c r="A6753" s="2" t="s">
        <v>242</v>
      </c>
      <c r="B6753" s="6">
        <v>44131</v>
      </c>
      <c r="C6753" s="2" t="s">
        <v>84</v>
      </c>
      <c r="D6753" s="8">
        <v>-26.88</v>
      </c>
      <c r="E6753" s="8">
        <f>E6752+(0-26.88)</f>
        <v>8475363.3799995147</v>
      </c>
    </row>
    <row r="6754" spans="1:5" x14ac:dyDescent="0.25">
      <c r="A6754" s="2" t="s">
        <v>242</v>
      </c>
      <c r="B6754" s="6">
        <v>44131</v>
      </c>
      <c r="C6754" s="2" t="s">
        <v>154</v>
      </c>
      <c r="D6754" s="8">
        <v>-500</v>
      </c>
      <c r="E6754" s="8">
        <f>E6753+(0-500)</f>
        <v>8474863.3799995147</v>
      </c>
    </row>
    <row r="6755" spans="1:5" x14ac:dyDescent="0.25">
      <c r="A6755" s="2" t="s">
        <v>242</v>
      </c>
      <c r="B6755" s="6">
        <v>44131</v>
      </c>
      <c r="C6755" s="2" t="s">
        <v>155</v>
      </c>
      <c r="D6755" s="8">
        <v>-37.5</v>
      </c>
      <c r="E6755" s="8">
        <f>E6754+(0-37.5)</f>
        <v>8474825.8799995147</v>
      </c>
    </row>
    <row r="6756" spans="1:5" x14ac:dyDescent="0.25">
      <c r="A6756" s="2" t="s">
        <v>242</v>
      </c>
      <c r="B6756" s="6">
        <v>44131</v>
      </c>
      <c r="C6756" s="2" t="s">
        <v>16</v>
      </c>
      <c r="D6756" s="8">
        <v>-50</v>
      </c>
      <c r="E6756" s="8">
        <f>E6755+(0-50)</f>
        <v>8474775.8799995147</v>
      </c>
    </row>
    <row r="6757" spans="1:5" x14ac:dyDescent="0.25">
      <c r="A6757" s="2" t="s">
        <v>242</v>
      </c>
      <c r="B6757" s="6">
        <v>44131</v>
      </c>
      <c r="C6757" s="2" t="s">
        <v>16</v>
      </c>
      <c r="D6757" s="8">
        <v>-300</v>
      </c>
      <c r="E6757" s="8">
        <f>E6756+(0-300)</f>
        <v>8474475.8799995147</v>
      </c>
    </row>
    <row r="6758" spans="1:5" x14ac:dyDescent="0.25">
      <c r="A6758" s="2" t="s">
        <v>242</v>
      </c>
      <c r="B6758" s="6">
        <v>44132</v>
      </c>
      <c r="C6758" s="2" t="s">
        <v>251</v>
      </c>
      <c r="D6758" s="8">
        <v>-60</v>
      </c>
      <c r="E6758" s="8">
        <f>E6757+(0-60)</f>
        <v>8474415.8799995147</v>
      </c>
    </row>
    <row r="6759" spans="1:5" x14ac:dyDescent="0.25">
      <c r="A6759" s="2" t="s">
        <v>242</v>
      </c>
      <c r="B6759" s="6">
        <v>44132</v>
      </c>
      <c r="C6759" s="2" t="s">
        <v>16</v>
      </c>
      <c r="D6759" s="8">
        <v>-150</v>
      </c>
      <c r="E6759" s="8">
        <f>E6758+(0-150)</f>
        <v>8474265.8799995147</v>
      </c>
    </row>
    <row r="6760" spans="1:5" x14ac:dyDescent="0.25">
      <c r="A6760" s="2" t="s">
        <v>242</v>
      </c>
      <c r="B6760" s="6">
        <v>44132</v>
      </c>
      <c r="C6760" s="2" t="s">
        <v>16</v>
      </c>
      <c r="D6760" s="8">
        <v>-50</v>
      </c>
      <c r="E6760" s="8">
        <f>E6759+(0-50)</f>
        <v>8474215.8799995147</v>
      </c>
    </row>
    <row r="6761" spans="1:5" x14ac:dyDescent="0.25">
      <c r="A6761" s="2" t="s">
        <v>242</v>
      </c>
      <c r="B6761" s="6">
        <v>44134</v>
      </c>
      <c r="C6761" s="2" t="s">
        <v>17</v>
      </c>
      <c r="D6761" s="8">
        <v>-36</v>
      </c>
      <c r="E6761" s="8">
        <f>E6760+(0-36)</f>
        <v>8474179.8799995147</v>
      </c>
    </row>
    <row r="6762" spans="1:5" x14ac:dyDescent="0.25">
      <c r="A6762" s="2" t="s">
        <v>242</v>
      </c>
      <c r="B6762" s="6">
        <v>44134</v>
      </c>
      <c r="C6762" s="2" t="s">
        <v>16</v>
      </c>
      <c r="D6762" s="8">
        <v>-53.75</v>
      </c>
      <c r="E6762" s="8">
        <f>E6761+(0-53.75)</f>
        <v>8474126.1299995147</v>
      </c>
    </row>
    <row r="6763" spans="1:5" x14ac:dyDescent="0.25">
      <c r="A6763" s="2" t="s">
        <v>242</v>
      </c>
      <c r="B6763" s="6">
        <v>44134</v>
      </c>
      <c r="C6763" s="2" t="s">
        <v>84</v>
      </c>
      <c r="D6763" s="8">
        <v>-26.88</v>
      </c>
      <c r="E6763" s="8">
        <f>E6762+(0-26.88)</f>
        <v>8474099.2499995138</v>
      </c>
    </row>
    <row r="6764" spans="1:5" x14ac:dyDescent="0.25">
      <c r="A6764" s="2" t="s">
        <v>242</v>
      </c>
      <c r="B6764" s="6">
        <v>44136</v>
      </c>
      <c r="C6764" s="2" t="s">
        <v>17</v>
      </c>
      <c r="D6764" s="8">
        <v>-96</v>
      </c>
      <c r="E6764" s="8">
        <f>E6763+(0-96)</f>
        <v>8474003.2499995138</v>
      </c>
    </row>
    <row r="6765" spans="1:5" x14ac:dyDescent="0.25">
      <c r="A6765" s="2" t="s">
        <v>242</v>
      </c>
      <c r="B6765" s="6">
        <v>44137</v>
      </c>
      <c r="C6765" s="2" t="s">
        <v>17</v>
      </c>
      <c r="D6765" s="8">
        <v>-4</v>
      </c>
      <c r="E6765" s="8">
        <f>E6764+(0-4)</f>
        <v>8473999.2499995138</v>
      </c>
    </row>
    <row r="6766" spans="1:5" x14ac:dyDescent="0.25">
      <c r="A6766" s="2" t="s">
        <v>242</v>
      </c>
      <c r="B6766" s="6">
        <v>44137</v>
      </c>
      <c r="C6766" s="2" t="s">
        <v>16</v>
      </c>
      <c r="D6766" s="8">
        <v>-650</v>
      </c>
      <c r="E6766" s="8">
        <f>E6765+(0-650)</f>
        <v>8473349.2499995138</v>
      </c>
    </row>
    <row r="6767" spans="1:5" x14ac:dyDescent="0.25">
      <c r="A6767" s="2" t="s">
        <v>242</v>
      </c>
      <c r="B6767" s="6">
        <v>44138</v>
      </c>
      <c r="C6767" s="2" t="s">
        <v>16</v>
      </c>
      <c r="D6767" s="8">
        <v>-50</v>
      </c>
      <c r="E6767" s="8">
        <f>E6766+(0-50)</f>
        <v>8473299.2499995138</v>
      </c>
    </row>
    <row r="6768" spans="1:5" x14ac:dyDescent="0.25">
      <c r="A6768" s="2" t="s">
        <v>242</v>
      </c>
      <c r="B6768" s="6">
        <v>44138</v>
      </c>
      <c r="C6768" s="2" t="s">
        <v>16</v>
      </c>
      <c r="D6768" s="8">
        <v>-50</v>
      </c>
      <c r="E6768" s="8">
        <f>E6767+(0-50)</f>
        <v>8473249.2499995138</v>
      </c>
    </row>
    <row r="6769" spans="1:5" x14ac:dyDescent="0.25">
      <c r="A6769" s="2" t="s">
        <v>242</v>
      </c>
      <c r="B6769" s="6">
        <v>44138</v>
      </c>
      <c r="C6769" s="2" t="s">
        <v>16</v>
      </c>
      <c r="D6769" s="8">
        <v>-150</v>
      </c>
      <c r="E6769" s="8">
        <f>E6768+(0-150)</f>
        <v>8473099.2499995138</v>
      </c>
    </row>
    <row r="6770" spans="1:5" x14ac:dyDescent="0.25">
      <c r="A6770" s="2" t="s">
        <v>242</v>
      </c>
      <c r="B6770" s="6">
        <v>44139</v>
      </c>
      <c r="C6770" s="2" t="s">
        <v>84</v>
      </c>
      <c r="D6770" s="8">
        <v>-26.88</v>
      </c>
      <c r="E6770" s="8">
        <f>E6769+(0-26.88)</f>
        <v>8473072.369999513</v>
      </c>
    </row>
    <row r="6771" spans="1:5" x14ac:dyDescent="0.25">
      <c r="A6771" s="2" t="s">
        <v>242</v>
      </c>
      <c r="B6771" s="6">
        <v>44139</v>
      </c>
      <c r="C6771" s="2" t="s">
        <v>352</v>
      </c>
      <c r="D6771" s="8">
        <v>-26.88</v>
      </c>
      <c r="E6771" s="8">
        <f>E6770+(0-26.88)</f>
        <v>8473045.4899995122</v>
      </c>
    </row>
    <row r="6772" spans="1:5" x14ac:dyDescent="0.25">
      <c r="A6772" s="2" t="s">
        <v>242</v>
      </c>
      <c r="B6772" s="6">
        <v>44139</v>
      </c>
      <c r="C6772" s="2" t="s">
        <v>16</v>
      </c>
      <c r="D6772" s="8">
        <v>-300</v>
      </c>
      <c r="E6772" s="8">
        <f>E6771+(0-300)</f>
        <v>8472745.4899995122</v>
      </c>
    </row>
    <row r="6773" spans="1:5" x14ac:dyDescent="0.25">
      <c r="A6773" s="2" t="s">
        <v>242</v>
      </c>
      <c r="B6773" s="6">
        <v>44139</v>
      </c>
      <c r="C6773" s="2" t="s">
        <v>16</v>
      </c>
      <c r="D6773" s="8">
        <v>-100</v>
      </c>
      <c r="E6773" s="8">
        <f>E6772+(0-100)</f>
        <v>8472645.4899995122</v>
      </c>
    </row>
    <row r="6774" spans="1:5" x14ac:dyDescent="0.25">
      <c r="A6774" s="2" t="s">
        <v>242</v>
      </c>
      <c r="B6774" s="6">
        <v>44139</v>
      </c>
      <c r="C6774" s="2" t="s">
        <v>17</v>
      </c>
      <c r="D6774" s="8">
        <v>-32</v>
      </c>
      <c r="E6774" s="8">
        <f>E6773+(0-32)</f>
        <v>8472613.4899995122</v>
      </c>
    </row>
    <row r="6775" spans="1:5" x14ac:dyDescent="0.25">
      <c r="A6775" s="2" t="s">
        <v>242</v>
      </c>
      <c r="B6775" s="6">
        <v>44140</v>
      </c>
      <c r="C6775" s="2" t="s">
        <v>16</v>
      </c>
      <c r="D6775" s="8">
        <v>-200</v>
      </c>
      <c r="E6775" s="8">
        <f>E6774+(0-200)</f>
        <v>8472413.4899995122</v>
      </c>
    </row>
    <row r="6776" spans="1:5" x14ac:dyDescent="0.25">
      <c r="A6776" s="2" t="s">
        <v>242</v>
      </c>
      <c r="B6776" s="6">
        <v>44140</v>
      </c>
      <c r="C6776" s="2" t="s">
        <v>16</v>
      </c>
      <c r="D6776" s="8">
        <v>-150</v>
      </c>
      <c r="E6776" s="8">
        <f>E6775+(0-150)</f>
        <v>8472263.4899995122</v>
      </c>
    </row>
    <row r="6777" spans="1:5" x14ac:dyDescent="0.25">
      <c r="A6777" s="2" t="s">
        <v>242</v>
      </c>
      <c r="B6777" s="6">
        <v>44144</v>
      </c>
      <c r="C6777" s="2" t="s">
        <v>82</v>
      </c>
      <c r="D6777" s="8">
        <v>-26.88</v>
      </c>
      <c r="E6777" s="8">
        <f>E6776+(0-26.88)</f>
        <v>8472236.6099995114</v>
      </c>
    </row>
    <row r="6778" spans="1:5" x14ac:dyDescent="0.25">
      <c r="A6778" s="2" t="s">
        <v>242</v>
      </c>
      <c r="B6778" s="6">
        <v>44144</v>
      </c>
      <c r="C6778" s="2" t="s">
        <v>71</v>
      </c>
      <c r="D6778" s="8">
        <v>-53.75</v>
      </c>
      <c r="E6778" s="8">
        <f>E6777+(0-53.75)</f>
        <v>8472182.8599995114</v>
      </c>
    </row>
    <row r="6779" spans="1:5" x14ac:dyDescent="0.25">
      <c r="A6779" s="2" t="s">
        <v>242</v>
      </c>
      <c r="B6779" s="6">
        <v>44144</v>
      </c>
      <c r="C6779" s="2" t="s">
        <v>260</v>
      </c>
      <c r="D6779" s="8">
        <v>-53.75</v>
      </c>
      <c r="E6779" s="8">
        <f>E6778+(0-53.75)</f>
        <v>8472129.1099995114</v>
      </c>
    </row>
    <row r="6780" spans="1:5" x14ac:dyDescent="0.25">
      <c r="A6780" s="2" t="s">
        <v>242</v>
      </c>
      <c r="B6780" s="6">
        <v>44144</v>
      </c>
      <c r="C6780" s="2" t="s">
        <v>16</v>
      </c>
      <c r="D6780" s="8">
        <v>-250</v>
      </c>
      <c r="E6780" s="8">
        <f>E6779+(0-250)</f>
        <v>8471879.1099995114</v>
      </c>
    </row>
    <row r="6781" spans="1:5" x14ac:dyDescent="0.25">
      <c r="A6781" s="2" t="s">
        <v>242</v>
      </c>
      <c r="B6781" s="6">
        <v>44144</v>
      </c>
      <c r="C6781" s="2" t="s">
        <v>16</v>
      </c>
      <c r="D6781" s="8">
        <v>-50</v>
      </c>
      <c r="E6781" s="8">
        <f>E6780+(0-50)</f>
        <v>8471829.1099995114</v>
      </c>
    </row>
    <row r="6782" spans="1:5" x14ac:dyDescent="0.25">
      <c r="A6782" s="2" t="s">
        <v>242</v>
      </c>
      <c r="B6782" s="6">
        <v>44144</v>
      </c>
      <c r="C6782" s="2" t="s">
        <v>17</v>
      </c>
      <c r="D6782" s="8">
        <v>-52</v>
      </c>
      <c r="E6782" s="8">
        <f>E6781+(0-52)</f>
        <v>8471777.1099995114</v>
      </c>
    </row>
    <row r="6783" spans="1:5" x14ac:dyDescent="0.25">
      <c r="A6783" s="2" t="s">
        <v>242</v>
      </c>
      <c r="B6783" s="6">
        <v>44145</v>
      </c>
      <c r="C6783" s="2" t="s">
        <v>17</v>
      </c>
      <c r="D6783" s="8">
        <v>-44</v>
      </c>
      <c r="E6783" s="8">
        <f>E6782+(0-44)</f>
        <v>8471733.1099995114</v>
      </c>
    </row>
    <row r="6784" spans="1:5" x14ac:dyDescent="0.25">
      <c r="A6784" s="2" t="s">
        <v>242</v>
      </c>
      <c r="B6784" s="6">
        <v>44145</v>
      </c>
      <c r="C6784" s="2" t="s">
        <v>353</v>
      </c>
      <c r="D6784" s="8">
        <v>-44</v>
      </c>
      <c r="E6784" s="8">
        <f>E6783+(0-44)</f>
        <v>8471689.1099995114</v>
      </c>
    </row>
    <row r="6785" spans="1:5" x14ac:dyDescent="0.25">
      <c r="A6785" s="2" t="s">
        <v>242</v>
      </c>
      <c r="B6785" s="6">
        <v>44145</v>
      </c>
      <c r="C6785" s="2" t="s">
        <v>17</v>
      </c>
      <c r="D6785" s="8">
        <v>-12</v>
      </c>
      <c r="E6785" s="8">
        <f>E6784+(0-12)</f>
        <v>8471677.1099995114</v>
      </c>
    </row>
    <row r="6786" spans="1:5" x14ac:dyDescent="0.25">
      <c r="A6786" s="2" t="s">
        <v>242</v>
      </c>
      <c r="B6786" s="6">
        <v>44145</v>
      </c>
      <c r="C6786" s="2" t="s">
        <v>84</v>
      </c>
      <c r="D6786" s="8">
        <v>-26.88</v>
      </c>
      <c r="E6786" s="8">
        <f>E6785+(0-26.88)</f>
        <v>8471650.2299995106</v>
      </c>
    </row>
    <row r="6787" spans="1:5" x14ac:dyDescent="0.25">
      <c r="A6787" s="2" t="s">
        <v>242</v>
      </c>
      <c r="B6787" s="6">
        <v>44145</v>
      </c>
      <c r="C6787" s="2" t="s">
        <v>17</v>
      </c>
      <c r="D6787" s="8">
        <v>-52</v>
      </c>
      <c r="E6787" s="8">
        <f>E6786+(0-52)</f>
        <v>8471598.2299995106</v>
      </c>
    </row>
    <row r="6788" spans="1:5" x14ac:dyDescent="0.25">
      <c r="A6788" s="2" t="s">
        <v>242</v>
      </c>
      <c r="B6788" s="6">
        <v>44145</v>
      </c>
      <c r="C6788" s="2" t="s">
        <v>16</v>
      </c>
      <c r="D6788" s="8">
        <v>-350</v>
      </c>
      <c r="E6788" s="8">
        <f>E6787+(0-350)</f>
        <v>8471248.2299995106</v>
      </c>
    </row>
    <row r="6789" spans="1:5" x14ac:dyDescent="0.25">
      <c r="A6789" s="2" t="s">
        <v>242</v>
      </c>
      <c r="B6789" s="6">
        <v>44145</v>
      </c>
      <c r="C6789" s="2" t="s">
        <v>16</v>
      </c>
      <c r="D6789" s="8">
        <v>-50</v>
      </c>
      <c r="E6789" s="8">
        <f>E6788+(0-50)</f>
        <v>8471198.2299995106</v>
      </c>
    </row>
    <row r="6790" spans="1:5" x14ac:dyDescent="0.25">
      <c r="A6790" s="2" t="s">
        <v>242</v>
      </c>
      <c r="B6790" s="6">
        <v>44145</v>
      </c>
      <c r="C6790" s="2" t="s">
        <v>17</v>
      </c>
      <c r="D6790" s="8">
        <v>-44</v>
      </c>
      <c r="E6790" s="8">
        <f>E6789+(0-44)</f>
        <v>8471154.2299995106</v>
      </c>
    </row>
    <row r="6791" spans="1:5" x14ac:dyDescent="0.25">
      <c r="A6791" s="2" t="s">
        <v>242</v>
      </c>
      <c r="B6791" s="6">
        <v>44146</v>
      </c>
      <c r="C6791" s="2" t="s">
        <v>16</v>
      </c>
      <c r="D6791" s="8">
        <v>-50</v>
      </c>
      <c r="E6791" s="8">
        <f>E6790+(0-50)</f>
        <v>8471104.2299995106</v>
      </c>
    </row>
    <row r="6792" spans="1:5" x14ac:dyDescent="0.25">
      <c r="A6792" s="2" t="s">
        <v>242</v>
      </c>
      <c r="B6792" s="6">
        <v>44148</v>
      </c>
      <c r="C6792" s="2" t="s">
        <v>16</v>
      </c>
      <c r="D6792" s="8">
        <v>-50</v>
      </c>
      <c r="E6792" s="8">
        <f>E6791+(0-50)</f>
        <v>8471054.2299995106</v>
      </c>
    </row>
    <row r="6793" spans="1:5" x14ac:dyDescent="0.25">
      <c r="A6793" s="2" t="s">
        <v>242</v>
      </c>
      <c r="B6793" s="6">
        <v>44162</v>
      </c>
      <c r="C6793" s="2" t="s">
        <v>32</v>
      </c>
      <c r="D6793" s="8">
        <v>-53.75</v>
      </c>
      <c r="E6793" s="8">
        <f>E6792+(0-53.75)</f>
        <v>8471000.4799995106</v>
      </c>
    </row>
    <row r="6794" spans="1:5" x14ac:dyDescent="0.25">
      <c r="A6794" s="2" t="s">
        <v>242</v>
      </c>
      <c r="B6794" s="6">
        <v>44162</v>
      </c>
      <c r="C6794" s="2" t="s">
        <v>16</v>
      </c>
      <c r="D6794" s="8">
        <v>-200</v>
      </c>
      <c r="E6794" s="8">
        <f>E6793+(0-200)</f>
        <v>8470800.4799995106</v>
      </c>
    </row>
    <row r="6795" spans="1:5" x14ac:dyDescent="0.25">
      <c r="A6795" s="2" t="s">
        <v>242</v>
      </c>
      <c r="B6795" s="6">
        <v>44162</v>
      </c>
      <c r="C6795" s="2" t="s">
        <v>354</v>
      </c>
      <c r="D6795" s="8">
        <v>-53.75</v>
      </c>
      <c r="E6795" s="8">
        <f>E6794+(0-53.75)</f>
        <v>8470746.7299995106</v>
      </c>
    </row>
    <row r="6796" spans="1:5" x14ac:dyDescent="0.25">
      <c r="A6796" s="2" t="s">
        <v>242</v>
      </c>
      <c r="B6796" s="6">
        <v>44164</v>
      </c>
      <c r="C6796" s="2" t="s">
        <v>24</v>
      </c>
      <c r="D6796" s="8">
        <v>-350</v>
      </c>
      <c r="E6796" s="8">
        <f>E6795+(0-350)</f>
        <v>8470396.7299995106</v>
      </c>
    </row>
    <row r="6797" spans="1:5" x14ac:dyDescent="0.25">
      <c r="A6797" s="2" t="s">
        <v>242</v>
      </c>
      <c r="B6797" s="6">
        <v>44165</v>
      </c>
      <c r="C6797" s="2" t="s">
        <v>355</v>
      </c>
      <c r="D6797" s="8">
        <v>-53.75</v>
      </c>
      <c r="E6797" s="8">
        <f>E6796+(0-53.75)</f>
        <v>8470342.9799995106</v>
      </c>
    </row>
    <row r="6798" spans="1:5" x14ac:dyDescent="0.25">
      <c r="A6798" s="2" t="s">
        <v>242</v>
      </c>
      <c r="B6798" s="6">
        <v>44165</v>
      </c>
      <c r="C6798" s="2" t="s">
        <v>356</v>
      </c>
      <c r="D6798" s="8">
        <v>-53.75</v>
      </c>
      <c r="E6798" s="8">
        <f>E6797+(0-53.75)</f>
        <v>8470289.2299995106</v>
      </c>
    </row>
    <row r="6799" spans="1:5" x14ac:dyDescent="0.25">
      <c r="A6799" s="2" t="s">
        <v>242</v>
      </c>
      <c r="B6799" s="6">
        <v>44165</v>
      </c>
      <c r="C6799" s="2" t="s">
        <v>357</v>
      </c>
      <c r="D6799" s="8">
        <v>-26.88</v>
      </c>
      <c r="E6799" s="8">
        <f>E6798+(0-26.88)</f>
        <v>8470262.3499995098</v>
      </c>
    </row>
    <row r="6800" spans="1:5" x14ac:dyDescent="0.25">
      <c r="A6800" s="2" t="s">
        <v>242</v>
      </c>
      <c r="B6800" s="6">
        <v>44165</v>
      </c>
      <c r="C6800" s="2" t="s">
        <v>24</v>
      </c>
      <c r="D6800" s="8">
        <v>-96</v>
      </c>
      <c r="E6800" s="8">
        <f>E6799+(0-96)</f>
        <v>8470166.3499995098</v>
      </c>
    </row>
    <row r="6801" spans="1:5" x14ac:dyDescent="0.25">
      <c r="A6801" s="2" t="s">
        <v>242</v>
      </c>
      <c r="B6801" s="6">
        <v>44165</v>
      </c>
      <c r="C6801" s="2" t="s">
        <v>17</v>
      </c>
      <c r="D6801" s="8">
        <v>-12</v>
      </c>
      <c r="E6801" s="8">
        <f>E6800+(0-12)</f>
        <v>8470154.3499995098</v>
      </c>
    </row>
    <row r="6802" spans="1:5" x14ac:dyDescent="0.25">
      <c r="A6802" s="2" t="s">
        <v>242</v>
      </c>
      <c r="B6802" s="6">
        <v>44167</v>
      </c>
      <c r="C6802" s="2" t="s">
        <v>16</v>
      </c>
      <c r="D6802" s="8">
        <v>-50</v>
      </c>
      <c r="E6802" s="8">
        <f>E6801+(0-50)</f>
        <v>8470104.3499995098</v>
      </c>
    </row>
    <row r="6803" spans="1:5" x14ac:dyDescent="0.25">
      <c r="A6803" s="2" t="s">
        <v>242</v>
      </c>
      <c r="B6803" s="6">
        <v>44167</v>
      </c>
      <c r="C6803" s="2" t="s">
        <v>16</v>
      </c>
      <c r="D6803" s="8">
        <v>-50</v>
      </c>
      <c r="E6803" s="8">
        <f>E6802+(0-50)</f>
        <v>8470054.3499995098</v>
      </c>
    </row>
    <row r="6804" spans="1:5" x14ac:dyDescent="0.25">
      <c r="A6804" s="2" t="s">
        <v>242</v>
      </c>
      <c r="B6804" s="6">
        <v>44167</v>
      </c>
      <c r="C6804" s="2" t="s">
        <v>16</v>
      </c>
      <c r="D6804" s="8">
        <v>-50</v>
      </c>
      <c r="E6804" s="8">
        <f>E6803+(0-50)</f>
        <v>8470004.3499995098</v>
      </c>
    </row>
    <row r="6805" spans="1:5" x14ac:dyDescent="0.25">
      <c r="A6805" s="2" t="s">
        <v>242</v>
      </c>
      <c r="B6805" s="6">
        <v>44167</v>
      </c>
      <c r="C6805" s="2" t="s">
        <v>16</v>
      </c>
      <c r="D6805" s="8">
        <v>-200</v>
      </c>
      <c r="E6805" s="8">
        <f>E6804+(0-200)</f>
        <v>8469804.3499995098</v>
      </c>
    </row>
    <row r="6806" spans="1:5" x14ac:dyDescent="0.25">
      <c r="A6806" s="2" t="s">
        <v>242</v>
      </c>
      <c r="B6806" s="6">
        <v>44167</v>
      </c>
      <c r="C6806" s="2" t="s">
        <v>358</v>
      </c>
      <c r="D6806" s="8">
        <v>-24</v>
      </c>
      <c r="E6806" s="8">
        <f>E6805+(0-24)</f>
        <v>8469780.3499995098</v>
      </c>
    </row>
    <row r="6807" spans="1:5" x14ac:dyDescent="0.25">
      <c r="A6807" s="2" t="s">
        <v>242</v>
      </c>
      <c r="B6807" s="6">
        <v>44168</v>
      </c>
      <c r="C6807" s="2" t="s">
        <v>18</v>
      </c>
      <c r="D6807" s="8">
        <v>-53.75</v>
      </c>
      <c r="E6807" s="8">
        <f>E6806+(0-53.75)</f>
        <v>8469726.5999995098</v>
      </c>
    </row>
    <row r="6808" spans="1:5" x14ac:dyDescent="0.25">
      <c r="A6808" s="2" t="s">
        <v>242</v>
      </c>
      <c r="B6808" s="6">
        <v>44168</v>
      </c>
      <c r="C6808" s="2" t="s">
        <v>16</v>
      </c>
      <c r="D6808" s="8">
        <v>-50</v>
      </c>
      <c r="E6808" s="8">
        <f>E6807+(0-50)</f>
        <v>8469676.5999995098</v>
      </c>
    </row>
    <row r="6809" spans="1:5" x14ac:dyDescent="0.25">
      <c r="A6809" s="2" t="s">
        <v>242</v>
      </c>
      <c r="B6809" s="6">
        <v>44168</v>
      </c>
      <c r="C6809" s="2" t="s">
        <v>16</v>
      </c>
      <c r="D6809" s="8">
        <v>-250</v>
      </c>
      <c r="E6809" s="8">
        <f>E6808+(0-250)</f>
        <v>8469426.5999995098</v>
      </c>
    </row>
    <row r="6810" spans="1:5" x14ac:dyDescent="0.25">
      <c r="A6810" s="2" t="s">
        <v>242</v>
      </c>
      <c r="B6810" s="6">
        <v>44169</v>
      </c>
      <c r="C6810" s="2" t="s">
        <v>16</v>
      </c>
      <c r="D6810" s="8">
        <v>-250</v>
      </c>
      <c r="E6810" s="8">
        <f>E6809+(0-250)</f>
        <v>8469176.5999995098</v>
      </c>
    </row>
    <row r="6811" spans="1:5" x14ac:dyDescent="0.25">
      <c r="A6811" s="2" t="s">
        <v>242</v>
      </c>
      <c r="B6811" s="6">
        <v>44169</v>
      </c>
      <c r="C6811" s="2" t="s">
        <v>16</v>
      </c>
      <c r="D6811" s="8">
        <v>-50</v>
      </c>
      <c r="E6811" s="8">
        <f>E6810+(0-50)</f>
        <v>8469126.5999995098</v>
      </c>
    </row>
    <row r="6812" spans="1:5" x14ac:dyDescent="0.25">
      <c r="A6812" s="2" t="s">
        <v>242</v>
      </c>
      <c r="B6812" s="6">
        <v>44172</v>
      </c>
      <c r="C6812" s="2" t="s">
        <v>17</v>
      </c>
      <c r="D6812" s="8">
        <v>-76</v>
      </c>
      <c r="E6812" s="8">
        <f>E6811+(0-76)</f>
        <v>8469050.5999995098</v>
      </c>
    </row>
    <row r="6813" spans="1:5" x14ac:dyDescent="0.25">
      <c r="A6813" s="2" t="s">
        <v>242</v>
      </c>
      <c r="B6813" s="6">
        <v>44172</v>
      </c>
      <c r="C6813" s="2" t="s">
        <v>17</v>
      </c>
      <c r="D6813" s="8">
        <v>-48</v>
      </c>
      <c r="E6813" s="8">
        <f>E6812+(0-48)</f>
        <v>8469002.5999995098</v>
      </c>
    </row>
    <row r="6814" spans="1:5" x14ac:dyDescent="0.25">
      <c r="A6814" s="2" t="s">
        <v>242</v>
      </c>
      <c r="B6814" s="6">
        <v>44172</v>
      </c>
      <c r="C6814" s="2" t="s">
        <v>19</v>
      </c>
      <c r="D6814" s="8">
        <v>-36</v>
      </c>
      <c r="E6814" s="8">
        <f>E6813+(0-36)</f>
        <v>8468966.5999995098</v>
      </c>
    </row>
    <row r="6815" spans="1:5" x14ac:dyDescent="0.25">
      <c r="A6815" s="2" t="s">
        <v>242</v>
      </c>
      <c r="B6815" s="6">
        <v>44172</v>
      </c>
      <c r="C6815" s="2" t="s">
        <v>359</v>
      </c>
      <c r="D6815" s="8">
        <v>-26.88</v>
      </c>
      <c r="E6815" s="8">
        <f>E6814+(0-26.88)</f>
        <v>8468939.7199995089</v>
      </c>
    </row>
    <row r="6816" spans="1:5" x14ac:dyDescent="0.25">
      <c r="A6816" s="2" t="s">
        <v>242</v>
      </c>
      <c r="B6816" s="6">
        <v>44172</v>
      </c>
      <c r="C6816" s="2" t="s">
        <v>16</v>
      </c>
      <c r="D6816" s="8">
        <v>-200</v>
      </c>
      <c r="E6816" s="8">
        <f>E6815+(0-200)</f>
        <v>8468739.7199995089</v>
      </c>
    </row>
    <row r="6817" spans="1:5" x14ac:dyDescent="0.25">
      <c r="A6817" s="2" t="s">
        <v>242</v>
      </c>
      <c r="B6817" s="6">
        <v>44173</v>
      </c>
      <c r="C6817" s="2" t="s">
        <v>17</v>
      </c>
      <c r="D6817" s="8">
        <v>-32</v>
      </c>
      <c r="E6817" s="8">
        <f>E6816+(0-32)</f>
        <v>8468707.7199995089</v>
      </c>
    </row>
    <row r="6818" spans="1:5" x14ac:dyDescent="0.25">
      <c r="A6818" s="2" t="s">
        <v>242</v>
      </c>
      <c r="B6818" s="6">
        <v>44173</v>
      </c>
      <c r="C6818" s="2" t="s">
        <v>360</v>
      </c>
      <c r="D6818" s="8">
        <v>-53.75</v>
      </c>
      <c r="E6818" s="8">
        <f>E6817+(0-53.75)</f>
        <v>8468653.9699995089</v>
      </c>
    </row>
    <row r="6819" spans="1:5" x14ac:dyDescent="0.25">
      <c r="A6819" s="2" t="s">
        <v>242</v>
      </c>
      <c r="B6819" s="6">
        <v>44173</v>
      </c>
      <c r="C6819" s="2" t="s">
        <v>260</v>
      </c>
      <c r="D6819" s="8">
        <v>-53.75</v>
      </c>
      <c r="E6819" s="8">
        <f>E6818+(0-53.75)</f>
        <v>8468600.2199995089</v>
      </c>
    </row>
    <row r="6820" spans="1:5" x14ac:dyDescent="0.25">
      <c r="A6820" s="2" t="s">
        <v>242</v>
      </c>
      <c r="B6820" s="6">
        <v>44173</v>
      </c>
      <c r="C6820" s="2" t="s">
        <v>16</v>
      </c>
      <c r="D6820" s="8">
        <v>-50</v>
      </c>
      <c r="E6820" s="8">
        <f>E6819+(0-50)</f>
        <v>8468550.2199995089</v>
      </c>
    </row>
    <row r="6821" spans="1:5" x14ac:dyDescent="0.25">
      <c r="A6821" s="2" t="s">
        <v>242</v>
      </c>
      <c r="B6821" s="6">
        <v>44173</v>
      </c>
      <c r="C6821" s="2" t="s">
        <v>16</v>
      </c>
      <c r="D6821" s="8">
        <v>-350</v>
      </c>
      <c r="E6821" s="8">
        <f>E6820+(0-350)</f>
        <v>8468200.2199995089</v>
      </c>
    </row>
    <row r="6822" spans="1:5" x14ac:dyDescent="0.25">
      <c r="A6822" s="2" t="s">
        <v>242</v>
      </c>
      <c r="B6822" s="6">
        <v>44174</v>
      </c>
      <c r="C6822" s="2" t="s">
        <v>16</v>
      </c>
      <c r="D6822" s="8">
        <v>-300</v>
      </c>
      <c r="E6822" s="8">
        <f>E6821+(0-300)</f>
        <v>8467900.2199995089</v>
      </c>
    </row>
    <row r="6823" spans="1:5" x14ac:dyDescent="0.25">
      <c r="A6823" s="2" t="s">
        <v>242</v>
      </c>
      <c r="B6823" s="6">
        <v>44175</v>
      </c>
      <c r="C6823" s="2" t="s">
        <v>17</v>
      </c>
      <c r="D6823" s="8">
        <v>-76</v>
      </c>
      <c r="E6823" s="8">
        <f>E6822+(0-76)</f>
        <v>8467824.2199995089</v>
      </c>
    </row>
    <row r="6824" spans="1:5" x14ac:dyDescent="0.25">
      <c r="A6824" s="2" t="s">
        <v>242</v>
      </c>
      <c r="B6824" s="6">
        <v>44175</v>
      </c>
      <c r="C6824" s="2" t="s">
        <v>24</v>
      </c>
      <c r="D6824" s="8">
        <v>-500</v>
      </c>
      <c r="E6824" s="8">
        <f>E6823+(0-500)</f>
        <v>8467324.2199995089</v>
      </c>
    </row>
    <row r="6825" spans="1:5" x14ac:dyDescent="0.25">
      <c r="A6825" s="2" t="s">
        <v>242</v>
      </c>
      <c r="B6825" s="6">
        <v>44175</v>
      </c>
      <c r="C6825" s="2" t="s">
        <v>17</v>
      </c>
      <c r="D6825" s="8">
        <v>-44</v>
      </c>
      <c r="E6825" s="8">
        <f>E6824+(0-44)</f>
        <v>8467280.2199995089</v>
      </c>
    </row>
    <row r="6826" spans="1:5" x14ac:dyDescent="0.25">
      <c r="A6826" s="2" t="s">
        <v>242</v>
      </c>
      <c r="B6826" s="6">
        <v>44176</v>
      </c>
      <c r="C6826" s="2" t="s">
        <v>17</v>
      </c>
      <c r="D6826" s="8">
        <v>-48</v>
      </c>
      <c r="E6826" s="8">
        <f>E6825+(0-48)</f>
        <v>8467232.2199995089</v>
      </c>
    </row>
    <row r="6827" spans="1:5" x14ac:dyDescent="0.25">
      <c r="A6827" s="2" t="s">
        <v>242</v>
      </c>
      <c r="B6827" s="6">
        <v>44176</v>
      </c>
      <c r="C6827" s="2" t="s">
        <v>16</v>
      </c>
      <c r="D6827" s="8">
        <v>-50</v>
      </c>
      <c r="E6827" s="8">
        <f>E6826+(0-50)</f>
        <v>8467182.2199995089</v>
      </c>
    </row>
    <row r="6828" spans="1:5" x14ac:dyDescent="0.25">
      <c r="A6828" s="2" t="s">
        <v>242</v>
      </c>
      <c r="B6828" s="6">
        <v>44176</v>
      </c>
      <c r="C6828" s="2" t="s">
        <v>16</v>
      </c>
      <c r="D6828" s="8">
        <v>-200</v>
      </c>
      <c r="E6828" s="8">
        <f>E6827+(0-200)</f>
        <v>8466982.2199995089</v>
      </c>
    </row>
    <row r="6829" spans="1:5" x14ac:dyDescent="0.25">
      <c r="A6829" s="2" t="s">
        <v>242</v>
      </c>
      <c r="B6829" s="6">
        <v>44179</v>
      </c>
      <c r="C6829" s="2" t="s">
        <v>361</v>
      </c>
      <c r="D6829" s="8">
        <v>-53.75</v>
      </c>
      <c r="E6829" s="8">
        <f>E6828+(0-53.75)</f>
        <v>8466928.4699995089</v>
      </c>
    </row>
    <row r="6830" spans="1:5" x14ac:dyDescent="0.25">
      <c r="A6830" s="2" t="s">
        <v>242</v>
      </c>
      <c r="B6830" s="6">
        <v>44179</v>
      </c>
      <c r="C6830" s="2" t="s">
        <v>17</v>
      </c>
      <c r="D6830" s="8">
        <v>-48</v>
      </c>
      <c r="E6830" s="8">
        <f>E6829+(0-48)</f>
        <v>8466880.4699995089</v>
      </c>
    </row>
    <row r="6831" spans="1:5" x14ac:dyDescent="0.25">
      <c r="A6831" s="2" t="s">
        <v>242</v>
      </c>
      <c r="B6831" s="6">
        <v>44179</v>
      </c>
      <c r="C6831" s="2" t="s">
        <v>17</v>
      </c>
      <c r="D6831" s="8">
        <v>-12</v>
      </c>
      <c r="E6831" s="8">
        <f>E6830+(0-12)</f>
        <v>8466868.4699995089</v>
      </c>
    </row>
    <row r="6832" spans="1:5" x14ac:dyDescent="0.25">
      <c r="A6832" s="2" t="s">
        <v>242</v>
      </c>
      <c r="B6832" s="6">
        <v>44179</v>
      </c>
      <c r="C6832" s="2" t="s">
        <v>16</v>
      </c>
      <c r="D6832" s="8">
        <v>-300</v>
      </c>
      <c r="E6832" s="8">
        <f>E6831+(0-300)</f>
        <v>8466568.4699995089</v>
      </c>
    </row>
    <row r="6833" spans="1:5" x14ac:dyDescent="0.25">
      <c r="A6833" s="2" t="s">
        <v>242</v>
      </c>
      <c r="B6833" s="6">
        <v>44179</v>
      </c>
      <c r="C6833" s="2" t="s">
        <v>16</v>
      </c>
      <c r="D6833" s="8">
        <v>-50</v>
      </c>
      <c r="E6833" s="8">
        <f>E6832+(0-50)</f>
        <v>8466518.4699995089</v>
      </c>
    </row>
    <row r="6834" spans="1:5" x14ac:dyDescent="0.25">
      <c r="A6834" s="2" t="s">
        <v>242</v>
      </c>
      <c r="B6834" s="6">
        <v>44180</v>
      </c>
      <c r="C6834" s="2" t="s">
        <v>98</v>
      </c>
      <c r="D6834" s="8">
        <v>-53.75</v>
      </c>
      <c r="E6834" s="8">
        <f>E6833+(0-53.75)</f>
        <v>8466464.7199995089</v>
      </c>
    </row>
    <row r="6835" spans="1:5" x14ac:dyDescent="0.25">
      <c r="A6835" s="2" t="s">
        <v>242</v>
      </c>
      <c r="B6835" s="6">
        <v>44180</v>
      </c>
      <c r="C6835" s="2" t="s">
        <v>16</v>
      </c>
      <c r="D6835" s="8">
        <v>-50</v>
      </c>
      <c r="E6835" s="8">
        <f>E6834+(0-50)</f>
        <v>8466414.7199995089</v>
      </c>
    </row>
    <row r="6836" spans="1:5" x14ac:dyDescent="0.25">
      <c r="A6836" s="2" t="s">
        <v>242</v>
      </c>
      <c r="B6836" s="6">
        <v>44180</v>
      </c>
      <c r="C6836" s="2" t="s">
        <v>84</v>
      </c>
      <c r="D6836" s="8">
        <v>-26.88</v>
      </c>
      <c r="E6836" s="8">
        <f>E6835+(0-26.88)</f>
        <v>8466387.8399995081</v>
      </c>
    </row>
    <row r="6837" spans="1:5" x14ac:dyDescent="0.25">
      <c r="A6837" s="2" t="s">
        <v>242</v>
      </c>
      <c r="B6837" s="6">
        <v>44180</v>
      </c>
      <c r="C6837" s="2" t="s">
        <v>16</v>
      </c>
      <c r="D6837" s="8">
        <v>-50</v>
      </c>
      <c r="E6837" s="8">
        <f>E6836+(0-50)</f>
        <v>8466337.8399995081</v>
      </c>
    </row>
    <row r="6838" spans="1:5" x14ac:dyDescent="0.25">
      <c r="A6838" s="2" t="s">
        <v>242</v>
      </c>
      <c r="B6838" s="6">
        <v>44180</v>
      </c>
      <c r="C6838" s="2" t="s">
        <v>16</v>
      </c>
      <c r="D6838" s="8">
        <v>-100</v>
      </c>
      <c r="E6838" s="8">
        <f>E6837+(0-100)</f>
        <v>8466237.8399995081</v>
      </c>
    </row>
    <row r="6839" spans="1:5" x14ac:dyDescent="0.25">
      <c r="A6839" s="2" t="s">
        <v>242</v>
      </c>
      <c r="B6839" s="6">
        <v>44180</v>
      </c>
      <c r="C6839" s="2" t="s">
        <v>16</v>
      </c>
      <c r="D6839" s="8">
        <v>-50</v>
      </c>
      <c r="E6839" s="8">
        <f>E6838+(0-50)</f>
        <v>8466187.8399995081</v>
      </c>
    </row>
    <row r="6840" spans="1:5" x14ac:dyDescent="0.25">
      <c r="A6840" s="2" t="s">
        <v>242</v>
      </c>
      <c r="B6840" s="6">
        <v>44181</v>
      </c>
      <c r="C6840" s="2" t="s">
        <v>362</v>
      </c>
      <c r="D6840" s="8">
        <v>-26.88</v>
      </c>
      <c r="E6840" s="8">
        <f>E6839+(0-26.88)</f>
        <v>8466160.9599995073</v>
      </c>
    </row>
    <row r="6841" spans="1:5" x14ac:dyDescent="0.25">
      <c r="A6841" s="2" t="s">
        <v>242</v>
      </c>
      <c r="B6841" s="6">
        <v>44181</v>
      </c>
      <c r="C6841" s="2" t="s">
        <v>17</v>
      </c>
      <c r="D6841" s="8">
        <v>-52</v>
      </c>
      <c r="E6841" s="8">
        <f>E6840+(0-52)</f>
        <v>8466108.9599995073</v>
      </c>
    </row>
    <row r="6842" spans="1:5" x14ac:dyDescent="0.25">
      <c r="A6842" s="2" t="s">
        <v>242</v>
      </c>
      <c r="B6842" s="6">
        <v>44181</v>
      </c>
      <c r="C6842" s="2" t="s">
        <v>17</v>
      </c>
      <c r="D6842" s="8">
        <v>-36</v>
      </c>
      <c r="E6842" s="8">
        <f>E6841+(0-36)</f>
        <v>8466072.9599995073</v>
      </c>
    </row>
    <row r="6843" spans="1:5" x14ac:dyDescent="0.25">
      <c r="A6843" s="2" t="s">
        <v>242</v>
      </c>
      <c r="B6843" s="6">
        <v>44181</v>
      </c>
      <c r="C6843" s="2" t="s">
        <v>16</v>
      </c>
      <c r="D6843" s="8">
        <v>-300</v>
      </c>
      <c r="E6843" s="8">
        <f>E6842+(0-300)</f>
        <v>8465772.9599995073</v>
      </c>
    </row>
    <row r="6844" spans="1:5" x14ac:dyDescent="0.25">
      <c r="A6844" s="2" t="s">
        <v>242</v>
      </c>
      <c r="B6844" s="6">
        <v>44181</v>
      </c>
      <c r="C6844" s="2" t="s">
        <v>16</v>
      </c>
      <c r="D6844" s="8">
        <v>-50</v>
      </c>
      <c r="E6844" s="8">
        <f>E6843+(0-50)</f>
        <v>8465722.9599995073</v>
      </c>
    </row>
    <row r="6845" spans="1:5" x14ac:dyDescent="0.25">
      <c r="A6845" s="2" t="s">
        <v>242</v>
      </c>
      <c r="B6845" s="6">
        <v>44182</v>
      </c>
      <c r="C6845" s="2" t="s">
        <v>17</v>
      </c>
      <c r="D6845" s="8">
        <v>-52</v>
      </c>
      <c r="E6845" s="8">
        <f>E6844+(0-52)</f>
        <v>8465670.9599995073</v>
      </c>
    </row>
    <row r="6846" spans="1:5" x14ac:dyDescent="0.25">
      <c r="A6846" s="2" t="s">
        <v>242</v>
      </c>
      <c r="B6846" s="6">
        <v>44182</v>
      </c>
      <c r="C6846" s="2" t="s">
        <v>154</v>
      </c>
      <c r="D6846" s="8">
        <v>-500</v>
      </c>
      <c r="E6846" s="8">
        <f>E6845+(0-500)</f>
        <v>8465170.9599995073</v>
      </c>
    </row>
    <row r="6847" spans="1:5" x14ac:dyDescent="0.25">
      <c r="A6847" s="2" t="s">
        <v>242</v>
      </c>
      <c r="B6847" s="6">
        <v>44182</v>
      </c>
      <c r="C6847" s="2" t="s">
        <v>155</v>
      </c>
      <c r="D6847" s="8">
        <v>-37.5</v>
      </c>
      <c r="E6847" s="8">
        <f>E6846+(0-37.5)</f>
        <v>8465133.4599995073</v>
      </c>
    </row>
    <row r="6848" spans="1:5" x14ac:dyDescent="0.25">
      <c r="A6848" s="2" t="s">
        <v>242</v>
      </c>
      <c r="B6848" s="6">
        <v>44182</v>
      </c>
      <c r="C6848" s="2" t="s">
        <v>363</v>
      </c>
      <c r="D6848" s="8">
        <v>-559</v>
      </c>
      <c r="E6848" s="8">
        <f>E6847+(0-559)</f>
        <v>8464574.4599995073</v>
      </c>
    </row>
    <row r="6849" spans="1:5" x14ac:dyDescent="0.25">
      <c r="A6849" s="2" t="s">
        <v>242</v>
      </c>
      <c r="B6849" s="6">
        <v>44183</v>
      </c>
      <c r="C6849" s="2" t="s">
        <v>80</v>
      </c>
      <c r="D6849" s="8">
        <v>-26.88</v>
      </c>
      <c r="E6849" s="8">
        <f>E6848+(0-26.88)</f>
        <v>8464547.5799995065</v>
      </c>
    </row>
    <row r="6850" spans="1:5" x14ac:dyDescent="0.25">
      <c r="A6850" s="2" t="s">
        <v>242</v>
      </c>
      <c r="B6850" s="6">
        <v>44183</v>
      </c>
      <c r="C6850" s="2" t="s">
        <v>364</v>
      </c>
      <c r="D6850" s="8">
        <v>-53.75</v>
      </c>
      <c r="E6850" s="8">
        <f>E6849+(0-53.75)</f>
        <v>8464493.8299995065</v>
      </c>
    </row>
    <row r="6851" spans="1:5" x14ac:dyDescent="0.25">
      <c r="A6851" s="2" t="s">
        <v>242</v>
      </c>
      <c r="B6851" s="6">
        <v>44183</v>
      </c>
      <c r="C6851" s="2" t="s">
        <v>17</v>
      </c>
      <c r="D6851" s="8">
        <v>-64</v>
      </c>
      <c r="E6851" s="8">
        <f>E6850+(0-64)</f>
        <v>8464429.8299995065</v>
      </c>
    </row>
    <row r="6852" spans="1:5" x14ac:dyDescent="0.25">
      <c r="A6852" s="2" t="s">
        <v>242</v>
      </c>
      <c r="B6852" s="6">
        <v>44183</v>
      </c>
      <c r="C6852" s="2" t="s">
        <v>16</v>
      </c>
      <c r="D6852" s="8">
        <v>-150</v>
      </c>
      <c r="E6852" s="8">
        <f>E6851+(0-150)</f>
        <v>8464279.8299995065</v>
      </c>
    </row>
    <row r="6853" spans="1:5" x14ac:dyDescent="0.25">
      <c r="A6853" s="2" t="s">
        <v>242</v>
      </c>
      <c r="B6853" s="6">
        <v>44186</v>
      </c>
      <c r="C6853" s="2" t="s">
        <v>17</v>
      </c>
      <c r="D6853" s="8">
        <v>-52</v>
      </c>
      <c r="E6853" s="8">
        <f>E6852+(0-52)</f>
        <v>8464227.8299995065</v>
      </c>
    </row>
    <row r="6854" spans="1:5" x14ac:dyDescent="0.25">
      <c r="A6854" s="2" t="s">
        <v>242</v>
      </c>
      <c r="B6854" s="6">
        <v>44186</v>
      </c>
      <c r="C6854" s="2" t="s">
        <v>17</v>
      </c>
      <c r="D6854" s="8">
        <v>-4</v>
      </c>
      <c r="E6854" s="8">
        <f>E6853+(0-4)</f>
        <v>8464223.8299995065</v>
      </c>
    </row>
    <row r="6855" spans="1:5" x14ac:dyDescent="0.25">
      <c r="A6855" s="2" t="s">
        <v>242</v>
      </c>
      <c r="B6855" s="6">
        <v>44186</v>
      </c>
      <c r="C6855" s="2" t="s">
        <v>16</v>
      </c>
      <c r="D6855" s="8">
        <v>-50</v>
      </c>
      <c r="E6855" s="8">
        <f>E6854+(0-50)</f>
        <v>8464173.8299995065</v>
      </c>
    </row>
    <row r="6856" spans="1:5" x14ac:dyDescent="0.25">
      <c r="A6856" s="2" t="s">
        <v>242</v>
      </c>
      <c r="B6856" s="6">
        <v>44186</v>
      </c>
      <c r="C6856" s="2" t="s">
        <v>365</v>
      </c>
      <c r="D6856" s="8">
        <v>-53.75</v>
      </c>
      <c r="E6856" s="8">
        <f>E6855+(0-53.75)</f>
        <v>8464120.0799995065</v>
      </c>
    </row>
    <row r="6857" spans="1:5" x14ac:dyDescent="0.25">
      <c r="A6857" s="2" t="s">
        <v>242</v>
      </c>
      <c r="B6857" s="6">
        <v>44186</v>
      </c>
      <c r="C6857" s="2" t="s">
        <v>16</v>
      </c>
      <c r="D6857" s="8">
        <v>-50</v>
      </c>
      <c r="E6857" s="8">
        <f>E6856+(0-50)</f>
        <v>8464070.0799995065</v>
      </c>
    </row>
    <row r="6858" spans="1:5" x14ac:dyDescent="0.25">
      <c r="A6858" s="2" t="s">
        <v>242</v>
      </c>
      <c r="B6858" s="6">
        <v>44186</v>
      </c>
      <c r="C6858" s="2" t="s">
        <v>16</v>
      </c>
      <c r="D6858" s="8">
        <v>-200</v>
      </c>
      <c r="E6858" s="8">
        <f>E6857+(0-200)</f>
        <v>8463870.0799995065</v>
      </c>
    </row>
    <row r="6859" spans="1:5" x14ac:dyDescent="0.25">
      <c r="A6859" s="2" t="s">
        <v>242</v>
      </c>
      <c r="B6859" s="6">
        <v>44187</v>
      </c>
      <c r="C6859" s="2" t="s">
        <v>366</v>
      </c>
      <c r="D6859" s="8">
        <v>-26.88</v>
      </c>
      <c r="E6859" s="8">
        <f>E6858+(0-26.88)</f>
        <v>8463843.1999995057</v>
      </c>
    </row>
    <row r="6860" spans="1:5" x14ac:dyDescent="0.25">
      <c r="A6860" s="2" t="s">
        <v>242</v>
      </c>
      <c r="B6860" s="6">
        <v>44187</v>
      </c>
      <c r="C6860" s="2" t="s">
        <v>16</v>
      </c>
      <c r="D6860" s="8">
        <v>-50</v>
      </c>
      <c r="E6860" s="8">
        <f>E6859+(0-50)</f>
        <v>8463793.1999995057</v>
      </c>
    </row>
    <row r="6861" spans="1:5" x14ac:dyDescent="0.25">
      <c r="A6861" s="2" t="s">
        <v>242</v>
      </c>
      <c r="B6861" s="6">
        <v>44187</v>
      </c>
      <c r="C6861" s="2" t="s">
        <v>16</v>
      </c>
      <c r="D6861" s="8">
        <v>-50</v>
      </c>
      <c r="E6861" s="8">
        <f>E6860+(0-50)</f>
        <v>8463743.1999995057</v>
      </c>
    </row>
    <row r="6862" spans="1:5" x14ac:dyDescent="0.25">
      <c r="A6862" s="2" t="s">
        <v>242</v>
      </c>
      <c r="B6862" s="6">
        <v>44187</v>
      </c>
      <c r="C6862" s="2" t="s">
        <v>16</v>
      </c>
      <c r="D6862" s="8">
        <v>-100</v>
      </c>
      <c r="E6862" s="8">
        <f>E6861+(0-100)</f>
        <v>8463643.1999995057</v>
      </c>
    </row>
    <row r="6863" spans="1:5" x14ac:dyDescent="0.25">
      <c r="A6863" s="2" t="s">
        <v>242</v>
      </c>
      <c r="B6863" s="6">
        <v>44187</v>
      </c>
      <c r="C6863" s="2" t="s">
        <v>16</v>
      </c>
      <c r="D6863" s="8">
        <v>-50</v>
      </c>
      <c r="E6863" s="8">
        <f>E6862+(0-50)</f>
        <v>8463593.1999995057</v>
      </c>
    </row>
    <row r="6864" spans="1:5" x14ac:dyDescent="0.25">
      <c r="A6864" s="2" t="s">
        <v>242</v>
      </c>
      <c r="B6864" s="6">
        <v>44188</v>
      </c>
      <c r="C6864" s="2" t="s">
        <v>17</v>
      </c>
      <c r="D6864" s="8">
        <v>-48</v>
      </c>
      <c r="E6864" s="8">
        <f>E6863+(0-48)</f>
        <v>8463545.1999995057</v>
      </c>
    </row>
    <row r="6865" spans="1:5" x14ac:dyDescent="0.25">
      <c r="A6865" s="2" t="s">
        <v>242</v>
      </c>
      <c r="B6865" s="6">
        <v>44188</v>
      </c>
      <c r="C6865" s="2" t="s">
        <v>17</v>
      </c>
      <c r="D6865" s="8">
        <v>-32</v>
      </c>
      <c r="E6865" s="8">
        <f>E6864+(0-32)</f>
        <v>8463513.1999995057</v>
      </c>
    </row>
    <row r="6866" spans="1:5" x14ac:dyDescent="0.25">
      <c r="A6866" s="2" t="s">
        <v>242</v>
      </c>
      <c r="B6866" s="6">
        <v>44188</v>
      </c>
      <c r="C6866" s="2" t="s">
        <v>363</v>
      </c>
      <c r="D6866" s="8">
        <v>-21.5</v>
      </c>
      <c r="E6866" s="8">
        <f>E6865+(0-21.5)</f>
        <v>8463491.6999995057</v>
      </c>
    </row>
    <row r="6867" spans="1:5" x14ac:dyDescent="0.25">
      <c r="A6867" s="2" t="s">
        <v>242</v>
      </c>
      <c r="B6867" s="6">
        <v>44188</v>
      </c>
      <c r="C6867" s="2" t="s">
        <v>155</v>
      </c>
      <c r="D6867" s="8">
        <v>-37.5</v>
      </c>
      <c r="E6867" s="8">
        <f>E6866+(0-37.5)</f>
        <v>8463454.1999995057</v>
      </c>
    </row>
    <row r="6868" spans="1:5" x14ac:dyDescent="0.25">
      <c r="A6868" s="2" t="s">
        <v>242</v>
      </c>
      <c r="B6868" s="6">
        <v>44188</v>
      </c>
      <c r="C6868" s="2" t="s">
        <v>154</v>
      </c>
      <c r="D6868" s="8">
        <v>-500</v>
      </c>
      <c r="E6868" s="8">
        <f>E6867+(0-500)</f>
        <v>8462954.1999995057</v>
      </c>
    </row>
    <row r="6869" spans="1:5" x14ac:dyDescent="0.25">
      <c r="A6869" s="2" t="s">
        <v>242</v>
      </c>
      <c r="B6869" s="6">
        <v>44188</v>
      </c>
      <c r="C6869" s="2" t="s">
        <v>16</v>
      </c>
      <c r="D6869" s="8">
        <v>-400</v>
      </c>
      <c r="E6869" s="8">
        <f>E6868+(0-400)</f>
        <v>8462554.1999995057</v>
      </c>
    </row>
    <row r="6870" spans="1:5" x14ac:dyDescent="0.25">
      <c r="A6870" s="2" t="s">
        <v>242</v>
      </c>
      <c r="B6870" s="6">
        <v>44189</v>
      </c>
      <c r="C6870" s="2" t="s">
        <v>82</v>
      </c>
      <c r="D6870" s="8">
        <v>-53.75</v>
      </c>
      <c r="E6870" s="8">
        <f>E6869+(0-53.75)</f>
        <v>8462500.4499995057</v>
      </c>
    </row>
    <row r="6871" spans="1:5" x14ac:dyDescent="0.25">
      <c r="A6871" s="2" t="s">
        <v>242</v>
      </c>
      <c r="B6871" s="6">
        <v>44189</v>
      </c>
      <c r="C6871" s="2" t="s">
        <v>367</v>
      </c>
      <c r="D6871" s="8">
        <v>-53.75</v>
      </c>
      <c r="E6871" s="8">
        <f>E6870+(0-53.75)</f>
        <v>8462446.6999995057</v>
      </c>
    </row>
    <row r="6872" spans="1:5" x14ac:dyDescent="0.25">
      <c r="A6872" s="2" t="s">
        <v>242</v>
      </c>
      <c r="B6872" s="6">
        <v>44189</v>
      </c>
      <c r="C6872" s="2" t="s">
        <v>16</v>
      </c>
      <c r="D6872" s="8">
        <v>-50</v>
      </c>
      <c r="E6872" s="8">
        <f>E6871+(0-50)</f>
        <v>8462396.6999995057</v>
      </c>
    </row>
    <row r="6873" spans="1:5" x14ac:dyDescent="0.25">
      <c r="A6873" s="2" t="s">
        <v>242</v>
      </c>
      <c r="B6873" s="6">
        <v>44189</v>
      </c>
      <c r="C6873" s="2" t="s">
        <v>16</v>
      </c>
      <c r="D6873" s="8">
        <v>-50</v>
      </c>
      <c r="E6873" s="8">
        <f>E6872+(0-50)</f>
        <v>8462346.6999995057</v>
      </c>
    </row>
    <row r="6874" spans="1:5" x14ac:dyDescent="0.25">
      <c r="A6874" s="2" t="s">
        <v>242</v>
      </c>
      <c r="B6874" s="6">
        <v>44189</v>
      </c>
      <c r="C6874" s="2" t="s">
        <v>16</v>
      </c>
      <c r="D6874" s="8">
        <v>-150</v>
      </c>
      <c r="E6874" s="8">
        <f>E6873+(0-150)</f>
        <v>8462196.6999995057</v>
      </c>
    </row>
    <row r="6875" spans="1:5" x14ac:dyDescent="0.25">
      <c r="A6875" s="2" t="s">
        <v>242</v>
      </c>
      <c r="B6875" s="6">
        <v>44194</v>
      </c>
      <c r="C6875" s="2" t="s">
        <v>17</v>
      </c>
      <c r="D6875" s="8">
        <v>-72</v>
      </c>
      <c r="E6875" s="8">
        <f>E6874+(0-72)</f>
        <v>8462124.6999995057</v>
      </c>
    </row>
    <row r="6876" spans="1:5" x14ac:dyDescent="0.25">
      <c r="A6876" s="2" t="s">
        <v>242</v>
      </c>
      <c r="B6876" s="6">
        <v>44194</v>
      </c>
      <c r="C6876" s="2" t="s">
        <v>17</v>
      </c>
      <c r="D6876" s="8">
        <v>-56</v>
      </c>
      <c r="E6876" s="8">
        <f>E6875+(0-56)</f>
        <v>8462068.6999995057</v>
      </c>
    </row>
    <row r="6877" spans="1:5" x14ac:dyDescent="0.25">
      <c r="A6877" s="2" t="s">
        <v>242</v>
      </c>
      <c r="B6877" s="6">
        <v>44194</v>
      </c>
      <c r="C6877" s="2" t="s">
        <v>16</v>
      </c>
      <c r="D6877" s="8">
        <v>-300</v>
      </c>
      <c r="E6877" s="8">
        <f>E6876+(0-300)</f>
        <v>8461768.6999995057</v>
      </c>
    </row>
    <row r="6878" spans="1:5" x14ac:dyDescent="0.25">
      <c r="A6878" s="2" t="s">
        <v>242</v>
      </c>
      <c r="B6878" s="6">
        <v>44194</v>
      </c>
      <c r="C6878" s="2" t="s">
        <v>16</v>
      </c>
      <c r="D6878" s="8">
        <v>-50</v>
      </c>
      <c r="E6878" s="8">
        <f>E6877+(0-50)</f>
        <v>8461718.6999995057</v>
      </c>
    </row>
    <row r="6879" spans="1:5" x14ac:dyDescent="0.25">
      <c r="A6879" s="2" t="s">
        <v>242</v>
      </c>
      <c r="B6879" s="6">
        <v>44195</v>
      </c>
      <c r="C6879" s="2" t="s">
        <v>17</v>
      </c>
      <c r="D6879" s="8">
        <v>-28</v>
      </c>
      <c r="E6879" s="8">
        <f>E6878+(0-28)</f>
        <v>8461690.6999995057</v>
      </c>
    </row>
    <row r="6880" spans="1:5" x14ac:dyDescent="0.25">
      <c r="A6880" s="2" t="s">
        <v>242</v>
      </c>
      <c r="B6880" s="6">
        <v>44195</v>
      </c>
      <c r="C6880" s="2" t="s">
        <v>154</v>
      </c>
      <c r="D6880" s="8">
        <v>-500</v>
      </c>
      <c r="E6880" s="8">
        <f>E6879+(0-500)</f>
        <v>8461190.6999995057</v>
      </c>
    </row>
    <row r="6881" spans="1:5" x14ac:dyDescent="0.25">
      <c r="A6881" s="2" t="s">
        <v>242</v>
      </c>
      <c r="B6881" s="6">
        <v>44195</v>
      </c>
      <c r="C6881" s="2" t="s">
        <v>155</v>
      </c>
      <c r="D6881" s="8">
        <v>-37.5</v>
      </c>
      <c r="E6881" s="8">
        <f>E6880+(0-37.5)</f>
        <v>8461153.1999995057</v>
      </c>
    </row>
    <row r="6882" spans="1:5" x14ac:dyDescent="0.25">
      <c r="A6882" s="2" t="s">
        <v>242</v>
      </c>
      <c r="B6882" s="6">
        <v>44195</v>
      </c>
      <c r="C6882" s="2" t="s">
        <v>32</v>
      </c>
      <c r="D6882" s="8">
        <v>-53.75</v>
      </c>
      <c r="E6882" s="8">
        <f>E6881+(0-53.75)</f>
        <v>8461099.4499995057</v>
      </c>
    </row>
    <row r="6883" spans="1:5" x14ac:dyDescent="0.25">
      <c r="A6883" s="2" t="s">
        <v>242</v>
      </c>
      <c r="B6883" s="6">
        <v>44195</v>
      </c>
      <c r="C6883" s="2" t="s">
        <v>368</v>
      </c>
      <c r="D6883" s="8">
        <v>-53.75</v>
      </c>
      <c r="E6883" s="8">
        <f>E6882+(0-53.75)</f>
        <v>8461045.6999995057</v>
      </c>
    </row>
    <row r="6884" spans="1:5" x14ac:dyDescent="0.25">
      <c r="A6884" s="2" t="s">
        <v>242</v>
      </c>
      <c r="B6884" s="6">
        <v>44195</v>
      </c>
      <c r="C6884" s="2" t="s">
        <v>34</v>
      </c>
      <c r="D6884" s="8">
        <v>-26.88</v>
      </c>
      <c r="E6884" s="8">
        <f>E6883+(0-26.88)</f>
        <v>8461018.8199995048</v>
      </c>
    </row>
    <row r="6885" spans="1:5" x14ac:dyDescent="0.25">
      <c r="A6885" s="2" t="s">
        <v>242</v>
      </c>
      <c r="B6885" s="6">
        <v>44195</v>
      </c>
      <c r="C6885" s="2" t="s">
        <v>16</v>
      </c>
      <c r="D6885" s="8">
        <v>-50</v>
      </c>
      <c r="E6885" s="8">
        <f>E6884+(0-50)</f>
        <v>8460968.8199995048</v>
      </c>
    </row>
    <row r="6886" spans="1:5" x14ac:dyDescent="0.25">
      <c r="A6886" s="2" t="s">
        <v>242</v>
      </c>
      <c r="B6886" s="6">
        <v>44195</v>
      </c>
      <c r="C6886" s="2" t="s">
        <v>16</v>
      </c>
      <c r="D6886" s="8">
        <v>-50</v>
      </c>
      <c r="E6886" s="8">
        <f>E6885+(0-50)</f>
        <v>8460918.8199995048</v>
      </c>
    </row>
    <row r="6887" spans="1:5" x14ac:dyDescent="0.25">
      <c r="A6887" s="2" t="s">
        <v>242</v>
      </c>
      <c r="B6887" s="6">
        <v>44195</v>
      </c>
      <c r="C6887" s="2" t="s">
        <v>16</v>
      </c>
      <c r="D6887" s="8">
        <v>-50</v>
      </c>
      <c r="E6887" s="8">
        <f>E6886+(0-50)</f>
        <v>8460868.8199995048</v>
      </c>
    </row>
    <row r="6888" spans="1:5" x14ac:dyDescent="0.25">
      <c r="A6888" s="2" t="s">
        <v>242</v>
      </c>
      <c r="B6888" s="6">
        <v>44195</v>
      </c>
      <c r="C6888" s="2" t="s">
        <v>16</v>
      </c>
      <c r="D6888" s="8">
        <v>-50</v>
      </c>
      <c r="E6888" s="8">
        <f>E6887+(0-50)</f>
        <v>8460818.8199995048</v>
      </c>
    </row>
    <row r="6889" spans="1:5" x14ac:dyDescent="0.25">
      <c r="A6889" s="2" t="s">
        <v>242</v>
      </c>
      <c r="B6889" s="6">
        <v>44195</v>
      </c>
      <c r="C6889" s="2" t="s">
        <v>16</v>
      </c>
      <c r="D6889" s="8">
        <v>-50</v>
      </c>
      <c r="E6889" s="8">
        <f>E6888+(0-50)</f>
        <v>8460768.8199995048</v>
      </c>
    </row>
    <row r="6890" spans="1:5" x14ac:dyDescent="0.25">
      <c r="A6890" s="2" t="s">
        <v>242</v>
      </c>
      <c r="B6890" s="6">
        <v>44195</v>
      </c>
      <c r="C6890" s="2" t="s">
        <v>16</v>
      </c>
      <c r="D6890" s="8">
        <v>-400</v>
      </c>
      <c r="E6890" s="8">
        <f>E6889+(0-400)</f>
        <v>8460368.8199995048</v>
      </c>
    </row>
    <row r="6891" spans="1:5" x14ac:dyDescent="0.25">
      <c r="A6891" s="2" t="s">
        <v>242</v>
      </c>
      <c r="B6891" s="6">
        <v>44195</v>
      </c>
      <c r="C6891" s="2" t="s">
        <v>16</v>
      </c>
      <c r="D6891" s="8">
        <v>-50</v>
      </c>
      <c r="E6891" s="8">
        <f>E6890+(0-50)</f>
        <v>8460318.8199995048</v>
      </c>
    </row>
    <row r="6892" spans="1:5" x14ac:dyDescent="0.25">
      <c r="A6892" s="2" t="s">
        <v>242</v>
      </c>
      <c r="B6892" s="6">
        <v>44196</v>
      </c>
      <c r="C6892" s="2" t="s">
        <v>154</v>
      </c>
      <c r="D6892" s="8">
        <v>-500</v>
      </c>
      <c r="E6892" s="8">
        <f>E6891+(0-500)</f>
        <v>8459818.8199995048</v>
      </c>
    </row>
    <row r="6893" spans="1:5" x14ac:dyDescent="0.25">
      <c r="A6893" s="2" t="s">
        <v>242</v>
      </c>
      <c r="B6893" s="6">
        <v>44196</v>
      </c>
      <c r="C6893" s="2" t="s">
        <v>155</v>
      </c>
      <c r="D6893" s="8">
        <v>-37.5</v>
      </c>
      <c r="E6893" s="8">
        <f>E6892+(0-37.5)</f>
        <v>8459781.3199995048</v>
      </c>
    </row>
    <row r="6894" spans="1:5" x14ac:dyDescent="0.25">
      <c r="A6894" s="2" t="s">
        <v>242</v>
      </c>
      <c r="B6894" s="6">
        <v>44196</v>
      </c>
      <c r="C6894" s="2" t="s">
        <v>16</v>
      </c>
      <c r="D6894" s="8">
        <v>-50</v>
      </c>
      <c r="E6894" s="8">
        <f>E6893+(0-50)</f>
        <v>8459731.3199995048</v>
      </c>
    </row>
    <row r="6895" spans="1:5" x14ac:dyDescent="0.25">
      <c r="A6895" s="2" t="s">
        <v>242</v>
      </c>
      <c r="B6895" s="6">
        <v>44196</v>
      </c>
      <c r="C6895" s="2" t="s">
        <v>17</v>
      </c>
      <c r="D6895" s="8">
        <v>-100</v>
      </c>
      <c r="E6895" s="8">
        <f>E6894+(0-100)</f>
        <v>8459631.3199995048</v>
      </c>
    </row>
    <row r="6896" spans="1:5" x14ac:dyDescent="0.25">
      <c r="A6896" s="2" t="s">
        <v>242</v>
      </c>
      <c r="B6896" s="6">
        <v>44196</v>
      </c>
      <c r="C6896" s="2" t="s">
        <v>369</v>
      </c>
      <c r="D6896" s="8">
        <v>-53.75</v>
      </c>
      <c r="E6896" s="8">
        <f>E6895+(0-53.75)</f>
        <v>8459577.5699995048</v>
      </c>
    </row>
    <row r="6897" spans="1:5" x14ac:dyDescent="0.25">
      <c r="A6897" s="2" t="s">
        <v>242</v>
      </c>
      <c r="B6897" s="6">
        <v>44196</v>
      </c>
      <c r="C6897" s="2" t="s">
        <v>370</v>
      </c>
      <c r="D6897" s="8">
        <v>-53.75</v>
      </c>
      <c r="E6897" s="8">
        <f>E6896+(0-53.75)</f>
        <v>8459523.8199995048</v>
      </c>
    </row>
    <row r="6898" spans="1:5" x14ac:dyDescent="0.25">
      <c r="A6898" s="2" t="s">
        <v>242</v>
      </c>
      <c r="B6898" s="6">
        <v>44196</v>
      </c>
      <c r="C6898" s="2" t="s">
        <v>371</v>
      </c>
      <c r="D6898" s="8">
        <v>-26.88</v>
      </c>
      <c r="E6898" s="8">
        <f>E6897+(0-26.88)</f>
        <v>8459496.939999504</v>
      </c>
    </row>
    <row r="6899" spans="1:5" x14ac:dyDescent="0.25">
      <c r="A6899" s="2" t="s">
        <v>242</v>
      </c>
      <c r="B6899" s="6">
        <v>44196</v>
      </c>
      <c r="C6899" s="2" t="s">
        <v>16</v>
      </c>
      <c r="D6899" s="8">
        <v>-50</v>
      </c>
      <c r="E6899" s="8">
        <f>E6898+(0-50)</f>
        <v>8459446.939999504</v>
      </c>
    </row>
    <row r="6900" spans="1:5" x14ac:dyDescent="0.25">
      <c r="A6900" s="2" t="s">
        <v>242</v>
      </c>
      <c r="B6900" s="6">
        <v>44196</v>
      </c>
      <c r="C6900" s="2" t="s">
        <v>16</v>
      </c>
      <c r="D6900" s="8">
        <v>-100</v>
      </c>
      <c r="E6900" s="8">
        <f>E6899+(0-100)</f>
        <v>8459346.939999504</v>
      </c>
    </row>
    <row r="6901" spans="1:5" x14ac:dyDescent="0.25">
      <c r="A6901" s="2" t="s">
        <v>242</v>
      </c>
      <c r="B6901" s="6">
        <v>44200</v>
      </c>
      <c r="C6901" s="2" t="s">
        <v>17</v>
      </c>
      <c r="D6901" s="8">
        <v>-76</v>
      </c>
      <c r="E6901" s="8">
        <f>E6900+(0-76)</f>
        <v>8459270.939999504</v>
      </c>
    </row>
    <row r="6902" spans="1:5" x14ac:dyDescent="0.25">
      <c r="A6902" s="2" t="s">
        <v>242</v>
      </c>
      <c r="B6902" s="6">
        <v>44200</v>
      </c>
      <c r="C6902" s="2" t="s">
        <v>24</v>
      </c>
      <c r="D6902" s="8">
        <v>-250</v>
      </c>
      <c r="E6902" s="8">
        <f>E6901+(0-250)</f>
        <v>8459020.939999504</v>
      </c>
    </row>
    <row r="6903" spans="1:5" x14ac:dyDescent="0.25">
      <c r="A6903" s="2" t="s">
        <v>242</v>
      </c>
      <c r="B6903" s="6">
        <v>44201</v>
      </c>
      <c r="C6903" s="2" t="s">
        <v>24</v>
      </c>
      <c r="D6903" s="8">
        <v>-50</v>
      </c>
      <c r="E6903" s="8">
        <f>E6902+(0-50)</f>
        <v>8458970.939999504</v>
      </c>
    </row>
    <row r="6904" spans="1:5" x14ac:dyDescent="0.25">
      <c r="A6904" s="2" t="s">
        <v>242</v>
      </c>
      <c r="B6904" s="6">
        <v>44202</v>
      </c>
      <c r="C6904" s="2" t="s">
        <v>17</v>
      </c>
      <c r="D6904" s="8">
        <v>-20</v>
      </c>
      <c r="E6904" s="8">
        <f>E6903+(0-20)</f>
        <v>8458950.939999504</v>
      </c>
    </row>
    <row r="6905" spans="1:5" x14ac:dyDescent="0.25">
      <c r="A6905" s="2" t="s">
        <v>242</v>
      </c>
      <c r="B6905" s="6">
        <v>44202</v>
      </c>
      <c r="C6905" s="2" t="s">
        <v>17</v>
      </c>
      <c r="D6905" s="8">
        <v>-8</v>
      </c>
      <c r="E6905" s="8">
        <f>E6904+(0-8)</f>
        <v>8458942.939999504</v>
      </c>
    </row>
    <row r="6906" spans="1:5" x14ac:dyDescent="0.25">
      <c r="A6906" s="2" t="s">
        <v>242</v>
      </c>
      <c r="B6906" s="6">
        <v>44202</v>
      </c>
      <c r="C6906" s="2" t="s">
        <v>24</v>
      </c>
      <c r="D6906" s="8">
        <v>-100</v>
      </c>
      <c r="E6906" s="8">
        <f>E6905+(0-100)</f>
        <v>8458842.939999504</v>
      </c>
    </row>
    <row r="6907" spans="1:5" x14ac:dyDescent="0.25">
      <c r="A6907" s="2" t="s">
        <v>242</v>
      </c>
      <c r="B6907" s="6">
        <v>44202</v>
      </c>
      <c r="C6907" s="2" t="s">
        <v>24</v>
      </c>
      <c r="D6907" s="8">
        <v>-50</v>
      </c>
      <c r="E6907" s="8">
        <f>E6906+(0-50)</f>
        <v>8458792.939999504</v>
      </c>
    </row>
    <row r="6908" spans="1:5" x14ac:dyDescent="0.25">
      <c r="A6908" s="2" t="s">
        <v>242</v>
      </c>
      <c r="B6908" s="6">
        <v>44203</v>
      </c>
      <c r="C6908" s="2" t="s">
        <v>28</v>
      </c>
      <c r="D6908" s="8">
        <v>-53.75</v>
      </c>
      <c r="E6908" s="8">
        <f>E6907+(0-53.75)</f>
        <v>8458739.189999504</v>
      </c>
    </row>
    <row r="6909" spans="1:5" x14ac:dyDescent="0.25">
      <c r="A6909" s="2" t="s">
        <v>242</v>
      </c>
      <c r="B6909" s="6">
        <v>44203</v>
      </c>
      <c r="C6909" s="2" t="s">
        <v>24</v>
      </c>
      <c r="D6909" s="8">
        <v>-50</v>
      </c>
      <c r="E6909" s="8">
        <f>E6908+(0-50)</f>
        <v>8458689.189999504</v>
      </c>
    </row>
    <row r="6910" spans="1:5" x14ac:dyDescent="0.25">
      <c r="A6910" s="2" t="s">
        <v>242</v>
      </c>
      <c r="B6910" s="6">
        <v>44203</v>
      </c>
      <c r="C6910" s="2" t="s">
        <v>24</v>
      </c>
      <c r="D6910" s="8">
        <v>-50</v>
      </c>
      <c r="E6910" s="8">
        <f>E6909+(0-50)</f>
        <v>8458639.189999504</v>
      </c>
    </row>
    <row r="6911" spans="1:5" x14ac:dyDescent="0.25">
      <c r="A6911" s="2" t="s">
        <v>242</v>
      </c>
      <c r="B6911" s="6">
        <v>44203</v>
      </c>
      <c r="C6911" s="2" t="s">
        <v>24</v>
      </c>
      <c r="D6911" s="8">
        <v>-350</v>
      </c>
      <c r="E6911" s="8">
        <f>E6910+(0-350)</f>
        <v>8458289.189999504</v>
      </c>
    </row>
    <row r="6912" spans="1:5" x14ac:dyDescent="0.25">
      <c r="A6912" s="2" t="s">
        <v>242</v>
      </c>
      <c r="B6912" s="6">
        <v>44204</v>
      </c>
      <c r="C6912" s="2" t="s">
        <v>372</v>
      </c>
      <c r="D6912" s="8">
        <v>-53.75</v>
      </c>
      <c r="E6912" s="8">
        <f>E6911+(0-53.75)</f>
        <v>8458235.439999504</v>
      </c>
    </row>
    <row r="6913" spans="1:5" x14ac:dyDescent="0.25">
      <c r="A6913" s="2" t="s">
        <v>242</v>
      </c>
      <c r="B6913" s="6">
        <v>44204</v>
      </c>
      <c r="C6913" s="2" t="s">
        <v>17</v>
      </c>
      <c r="D6913" s="8">
        <v>-16</v>
      </c>
      <c r="E6913" s="8">
        <f>E6912+(0-16)</f>
        <v>8458219.439999504</v>
      </c>
    </row>
    <row r="6914" spans="1:5" x14ac:dyDescent="0.25">
      <c r="A6914" s="2" t="s">
        <v>242</v>
      </c>
      <c r="B6914" s="6">
        <v>44204</v>
      </c>
      <c r="C6914" s="2" t="s">
        <v>24</v>
      </c>
      <c r="D6914" s="8">
        <v>-400</v>
      </c>
      <c r="E6914" s="8">
        <f>E6913+(0-400)</f>
        <v>8457819.439999504</v>
      </c>
    </row>
    <row r="6915" spans="1:5" x14ac:dyDescent="0.25">
      <c r="A6915" s="2" t="s">
        <v>242</v>
      </c>
      <c r="B6915" s="6">
        <v>44204</v>
      </c>
      <c r="C6915" s="2" t="s">
        <v>17</v>
      </c>
      <c r="D6915" s="8">
        <v>-56</v>
      </c>
      <c r="E6915" s="8">
        <f>E6914+(0-56)</f>
        <v>8457763.439999504</v>
      </c>
    </row>
    <row r="6916" spans="1:5" x14ac:dyDescent="0.25">
      <c r="A6916" s="2" t="s">
        <v>242</v>
      </c>
      <c r="B6916" s="6">
        <v>44207</v>
      </c>
      <c r="C6916" s="2" t="s">
        <v>16</v>
      </c>
      <c r="D6916" s="8">
        <v>-200</v>
      </c>
      <c r="E6916" s="8">
        <f>E6915+(0-200)</f>
        <v>8457563.439999504</v>
      </c>
    </row>
    <row r="6917" spans="1:5" x14ac:dyDescent="0.25">
      <c r="A6917" s="2" t="s">
        <v>242</v>
      </c>
      <c r="B6917" s="6">
        <v>44207</v>
      </c>
      <c r="C6917" s="2" t="s">
        <v>24</v>
      </c>
      <c r="D6917" s="8">
        <v>-50</v>
      </c>
      <c r="E6917" s="8">
        <f>E6916+(0-50)</f>
        <v>8457513.439999504</v>
      </c>
    </row>
    <row r="6918" spans="1:5" x14ac:dyDescent="0.25">
      <c r="A6918" s="2" t="s">
        <v>242</v>
      </c>
      <c r="B6918" s="6">
        <v>44208</v>
      </c>
      <c r="C6918" s="2" t="s">
        <v>16</v>
      </c>
      <c r="D6918" s="8">
        <v>-50</v>
      </c>
      <c r="E6918" s="8">
        <f>E6917+(0-50)</f>
        <v>8457463.439999504</v>
      </c>
    </row>
    <row r="6919" spans="1:5" x14ac:dyDescent="0.25">
      <c r="A6919" s="2" t="s">
        <v>242</v>
      </c>
      <c r="B6919" s="6">
        <v>44208</v>
      </c>
      <c r="C6919" s="2" t="s">
        <v>24</v>
      </c>
      <c r="D6919" s="8">
        <v>-200</v>
      </c>
      <c r="E6919" s="8">
        <f>E6918+(0-200)</f>
        <v>8457263.439999504</v>
      </c>
    </row>
    <row r="6920" spans="1:5" x14ac:dyDescent="0.25">
      <c r="A6920" s="2" t="s">
        <v>242</v>
      </c>
      <c r="B6920" s="6">
        <v>44208</v>
      </c>
      <c r="C6920" s="2" t="s">
        <v>17</v>
      </c>
      <c r="D6920" s="8">
        <v>-52</v>
      </c>
      <c r="E6920" s="8">
        <f>E6919+(0-52)</f>
        <v>8457211.439999504</v>
      </c>
    </row>
    <row r="6921" spans="1:5" x14ac:dyDescent="0.25">
      <c r="A6921" s="2" t="s">
        <v>242</v>
      </c>
      <c r="B6921" s="6">
        <v>44209</v>
      </c>
      <c r="C6921" s="2" t="s">
        <v>373</v>
      </c>
      <c r="D6921" s="8">
        <v>-26.88</v>
      </c>
      <c r="E6921" s="8">
        <f>E6920+(0-26.88)</f>
        <v>8457184.5599995032</v>
      </c>
    </row>
    <row r="6922" spans="1:5" x14ac:dyDescent="0.25">
      <c r="A6922" s="2" t="s">
        <v>242</v>
      </c>
      <c r="B6922" s="6">
        <v>44209</v>
      </c>
      <c r="C6922" s="2" t="s">
        <v>24</v>
      </c>
      <c r="D6922" s="8">
        <v>-50</v>
      </c>
      <c r="E6922" s="8">
        <f>E6921+(0-50)</f>
        <v>8457134.5599995032</v>
      </c>
    </row>
    <row r="6923" spans="1:5" x14ac:dyDescent="0.25">
      <c r="A6923" s="2" t="s">
        <v>242</v>
      </c>
      <c r="B6923" s="6">
        <v>44209</v>
      </c>
      <c r="C6923" s="2" t="s">
        <v>24</v>
      </c>
      <c r="D6923" s="8">
        <v>-350</v>
      </c>
      <c r="E6923" s="8">
        <f>E6922+(0-350)</f>
        <v>8456784.5599995032</v>
      </c>
    </row>
    <row r="6924" spans="1:5" x14ac:dyDescent="0.25">
      <c r="A6924" s="2" t="s">
        <v>242</v>
      </c>
      <c r="B6924" s="6">
        <v>44209</v>
      </c>
      <c r="C6924" s="2" t="s">
        <v>17</v>
      </c>
      <c r="D6924" s="8">
        <v>-40</v>
      </c>
      <c r="E6924" s="8">
        <f>E6923+(0-40)</f>
        <v>8456744.5599995032</v>
      </c>
    </row>
    <row r="6925" spans="1:5" x14ac:dyDescent="0.25">
      <c r="A6925" s="2" t="s">
        <v>242</v>
      </c>
      <c r="B6925" s="6">
        <v>44209</v>
      </c>
      <c r="C6925" s="2" t="s">
        <v>17</v>
      </c>
      <c r="D6925" s="8">
        <v>-24</v>
      </c>
      <c r="E6925" s="8">
        <f>E6924+(0-24)</f>
        <v>8456720.5599995032</v>
      </c>
    </row>
    <row r="6926" spans="1:5" x14ac:dyDescent="0.25">
      <c r="A6926" s="2" t="s">
        <v>242</v>
      </c>
      <c r="B6926" s="6">
        <v>44210</v>
      </c>
      <c r="C6926" s="2" t="s">
        <v>374</v>
      </c>
      <c r="D6926" s="8">
        <v>-53.75</v>
      </c>
      <c r="E6926" s="8">
        <f>E6925+(0-53.75)</f>
        <v>8456666.8099995032</v>
      </c>
    </row>
    <row r="6927" spans="1:5" x14ac:dyDescent="0.25">
      <c r="A6927" s="2" t="s">
        <v>242</v>
      </c>
      <c r="B6927" s="6">
        <v>44210</v>
      </c>
      <c r="C6927" s="2" t="s">
        <v>142</v>
      </c>
      <c r="D6927" s="8">
        <v>-53.75</v>
      </c>
      <c r="E6927" s="8">
        <f>E6926+(0-53.75)</f>
        <v>8456613.0599995032</v>
      </c>
    </row>
    <row r="6928" spans="1:5" x14ac:dyDescent="0.25">
      <c r="A6928" s="2" t="s">
        <v>242</v>
      </c>
      <c r="B6928" s="6">
        <v>44210</v>
      </c>
      <c r="C6928" s="2" t="s">
        <v>28</v>
      </c>
      <c r="D6928" s="8">
        <v>-53.75</v>
      </c>
      <c r="E6928" s="8">
        <f>E6927+(0-53.75)</f>
        <v>8456559.3099995032</v>
      </c>
    </row>
    <row r="6929" spans="1:5" x14ac:dyDescent="0.25">
      <c r="A6929" s="2" t="s">
        <v>242</v>
      </c>
      <c r="B6929" s="6">
        <v>44210</v>
      </c>
      <c r="C6929" s="2" t="s">
        <v>24</v>
      </c>
      <c r="D6929" s="8">
        <v>-250</v>
      </c>
      <c r="E6929" s="8">
        <f>E6928+(0-250)</f>
        <v>8456309.3099995032</v>
      </c>
    </row>
    <row r="6930" spans="1:5" x14ac:dyDescent="0.25">
      <c r="A6930" s="2" t="s">
        <v>242</v>
      </c>
      <c r="B6930" s="6">
        <v>44210</v>
      </c>
      <c r="C6930" s="2" t="s">
        <v>24</v>
      </c>
      <c r="D6930" s="8">
        <v>-50</v>
      </c>
      <c r="E6930" s="8">
        <f>E6929+(0-50)</f>
        <v>8456259.3099995032</v>
      </c>
    </row>
    <row r="6931" spans="1:5" x14ac:dyDescent="0.25">
      <c r="A6931" s="2" t="s">
        <v>242</v>
      </c>
      <c r="B6931" s="6">
        <v>44210</v>
      </c>
      <c r="C6931" s="2" t="s">
        <v>24</v>
      </c>
      <c r="D6931" s="8">
        <v>-100</v>
      </c>
      <c r="E6931" s="8">
        <f>E6930+(0-100)</f>
        <v>8456159.3099995032</v>
      </c>
    </row>
    <row r="6932" spans="1:5" x14ac:dyDescent="0.25">
      <c r="A6932" s="2" t="s">
        <v>242</v>
      </c>
      <c r="B6932" s="6">
        <v>44211</v>
      </c>
      <c r="C6932" s="2" t="s">
        <v>260</v>
      </c>
      <c r="D6932" s="8">
        <v>-53.75</v>
      </c>
      <c r="E6932" s="8">
        <f>E6931+(0-53.75)</f>
        <v>8456105.5599995032</v>
      </c>
    </row>
    <row r="6933" spans="1:5" x14ac:dyDescent="0.25">
      <c r="A6933" s="2" t="s">
        <v>242</v>
      </c>
      <c r="B6933" s="6">
        <v>44211</v>
      </c>
      <c r="C6933" s="2" t="s">
        <v>24</v>
      </c>
      <c r="D6933" s="8">
        <v>-50</v>
      </c>
      <c r="E6933" s="8">
        <f>E6932+(0-50)</f>
        <v>8456055.5599995032</v>
      </c>
    </row>
    <row r="6934" spans="1:5" x14ac:dyDescent="0.25">
      <c r="A6934" s="2" t="s">
        <v>242</v>
      </c>
      <c r="B6934" s="6">
        <v>44211</v>
      </c>
      <c r="C6934" s="2" t="s">
        <v>24</v>
      </c>
      <c r="D6934" s="8">
        <v>-50</v>
      </c>
      <c r="E6934" s="8">
        <f>E6933+(0-50)</f>
        <v>8456005.5599995032</v>
      </c>
    </row>
    <row r="6935" spans="1:5" x14ac:dyDescent="0.25">
      <c r="A6935" s="2" t="s">
        <v>242</v>
      </c>
      <c r="B6935" s="6">
        <v>44211</v>
      </c>
      <c r="C6935" s="2" t="s">
        <v>24</v>
      </c>
      <c r="D6935" s="8">
        <v>-50</v>
      </c>
      <c r="E6935" s="8">
        <f>E6934+(0-50)</f>
        <v>8455955.5599995032</v>
      </c>
    </row>
    <row r="6936" spans="1:5" x14ac:dyDescent="0.25">
      <c r="A6936" s="2" t="s">
        <v>242</v>
      </c>
      <c r="B6936" s="6">
        <v>44211</v>
      </c>
      <c r="C6936" s="2" t="s">
        <v>24</v>
      </c>
      <c r="D6936" s="8">
        <v>-350</v>
      </c>
      <c r="E6936" s="8">
        <f>E6935+(0-350)</f>
        <v>8455605.5599995032</v>
      </c>
    </row>
    <row r="6937" spans="1:5" x14ac:dyDescent="0.25">
      <c r="A6937" s="2" t="s">
        <v>242</v>
      </c>
      <c r="B6937" s="6">
        <v>44214</v>
      </c>
      <c r="C6937" s="2" t="s">
        <v>375</v>
      </c>
      <c r="D6937" s="8">
        <v>-53.75</v>
      </c>
      <c r="E6937" s="8">
        <f>E6936+(0-53.75)</f>
        <v>8455551.8099995032</v>
      </c>
    </row>
    <row r="6938" spans="1:5" x14ac:dyDescent="0.25">
      <c r="A6938" s="2" t="s">
        <v>242</v>
      </c>
      <c r="B6938" s="6">
        <v>44214</v>
      </c>
      <c r="C6938" s="2" t="s">
        <v>376</v>
      </c>
      <c r="D6938" s="8">
        <v>-26.88</v>
      </c>
      <c r="E6938" s="8">
        <f>E6937+(0-26.88)</f>
        <v>8455524.9299995024</v>
      </c>
    </row>
    <row r="6939" spans="1:5" x14ac:dyDescent="0.25">
      <c r="A6939" s="2" t="s">
        <v>242</v>
      </c>
      <c r="B6939" s="6">
        <v>44214</v>
      </c>
      <c r="C6939" s="2" t="s">
        <v>377</v>
      </c>
      <c r="D6939" s="8">
        <v>-53.75</v>
      </c>
      <c r="E6939" s="8">
        <f>E6938+(0-53.75)</f>
        <v>8455471.1799995024</v>
      </c>
    </row>
    <row r="6940" spans="1:5" x14ac:dyDescent="0.25">
      <c r="A6940" s="2" t="s">
        <v>242</v>
      </c>
      <c r="B6940" s="6">
        <v>44214</v>
      </c>
      <c r="C6940" s="2" t="s">
        <v>378</v>
      </c>
      <c r="D6940" s="8">
        <v>-53.75</v>
      </c>
      <c r="E6940" s="8">
        <f>E6939+(0-53.75)</f>
        <v>8455417.4299995024</v>
      </c>
    </row>
    <row r="6941" spans="1:5" x14ac:dyDescent="0.25">
      <c r="A6941" s="2" t="s">
        <v>242</v>
      </c>
      <c r="B6941" s="6">
        <v>44214</v>
      </c>
      <c r="C6941" s="2" t="s">
        <v>17</v>
      </c>
      <c r="D6941" s="8">
        <v>-64</v>
      </c>
      <c r="E6941" s="8">
        <f>E6940+(0-64)</f>
        <v>8455353.4299995024</v>
      </c>
    </row>
    <row r="6942" spans="1:5" x14ac:dyDescent="0.25">
      <c r="A6942" s="2" t="s">
        <v>242</v>
      </c>
      <c r="B6942" s="6">
        <v>44214</v>
      </c>
      <c r="C6942" s="2" t="s">
        <v>17</v>
      </c>
      <c r="D6942" s="8">
        <v>-52</v>
      </c>
      <c r="E6942" s="8">
        <f>E6941+(0-52)</f>
        <v>8455301.4299995024</v>
      </c>
    </row>
    <row r="6943" spans="1:5" x14ac:dyDescent="0.25">
      <c r="A6943" s="2" t="s">
        <v>242</v>
      </c>
      <c r="B6943" s="6">
        <v>44214</v>
      </c>
      <c r="C6943" s="2" t="s">
        <v>17</v>
      </c>
      <c r="D6943" s="8">
        <v>-68</v>
      </c>
      <c r="E6943" s="8">
        <f>E6942+(0-68)</f>
        <v>8455233.4299995024</v>
      </c>
    </row>
    <row r="6944" spans="1:5" x14ac:dyDescent="0.25">
      <c r="A6944" s="2" t="s">
        <v>242</v>
      </c>
      <c r="B6944" s="6">
        <v>44214</v>
      </c>
      <c r="C6944" s="2" t="s">
        <v>24</v>
      </c>
      <c r="D6944" s="8">
        <v>-250</v>
      </c>
      <c r="E6944" s="8">
        <f>E6943+(0-250)</f>
        <v>8454983.4299995024</v>
      </c>
    </row>
    <row r="6945" spans="1:5" x14ac:dyDescent="0.25">
      <c r="A6945" s="2" t="s">
        <v>242</v>
      </c>
      <c r="B6945" s="6">
        <v>44214</v>
      </c>
      <c r="C6945" s="2" t="s">
        <v>24</v>
      </c>
      <c r="D6945" s="8">
        <v>-50</v>
      </c>
      <c r="E6945" s="8">
        <f>E6944+(0-50)</f>
        <v>8454933.4299995024</v>
      </c>
    </row>
    <row r="6946" spans="1:5" x14ac:dyDescent="0.25">
      <c r="A6946" s="2" t="s">
        <v>242</v>
      </c>
      <c r="B6946" s="6">
        <v>44214</v>
      </c>
      <c r="C6946" s="2" t="s">
        <v>24</v>
      </c>
      <c r="D6946" s="8">
        <v>-50</v>
      </c>
      <c r="E6946" s="8">
        <f>E6945+(0-50)</f>
        <v>8454883.4299995024</v>
      </c>
    </row>
    <row r="6947" spans="1:5" x14ac:dyDescent="0.25">
      <c r="A6947" s="2" t="s">
        <v>242</v>
      </c>
      <c r="B6947" s="6">
        <v>44214</v>
      </c>
      <c r="C6947" s="2" t="s">
        <v>17</v>
      </c>
      <c r="D6947" s="8">
        <v>-8</v>
      </c>
      <c r="E6947" s="8">
        <f>E6946+(0-8)</f>
        <v>8454875.4299995024</v>
      </c>
    </row>
    <row r="6948" spans="1:5" x14ac:dyDescent="0.25">
      <c r="A6948" s="2" t="s">
        <v>242</v>
      </c>
      <c r="B6948" s="6">
        <v>44224</v>
      </c>
      <c r="C6948" s="2" t="s">
        <v>17</v>
      </c>
      <c r="D6948" s="8">
        <v>-52</v>
      </c>
      <c r="E6948" s="8">
        <f>E6947+(0-52)</f>
        <v>8454823.4299995024</v>
      </c>
    </row>
    <row r="6949" spans="1:5" x14ac:dyDescent="0.25">
      <c r="A6949" s="2" t="s">
        <v>242</v>
      </c>
      <c r="B6949" s="6">
        <v>44228</v>
      </c>
      <c r="C6949" s="2" t="s">
        <v>17</v>
      </c>
      <c r="D6949" s="8">
        <v>-112</v>
      </c>
      <c r="E6949" s="8">
        <f>E6948+(0-112)</f>
        <v>8454711.4299995024</v>
      </c>
    </row>
    <row r="6950" spans="1:5" x14ac:dyDescent="0.25">
      <c r="A6950" s="2" t="s">
        <v>242</v>
      </c>
      <c r="B6950" s="6">
        <v>44228</v>
      </c>
      <c r="C6950" s="2" t="s">
        <v>369</v>
      </c>
      <c r="D6950" s="8">
        <v>-53.75</v>
      </c>
      <c r="E6950" s="8">
        <f>E6949+(0-53.75)</f>
        <v>8454657.6799995024</v>
      </c>
    </row>
    <row r="6951" spans="1:5" x14ac:dyDescent="0.25">
      <c r="A6951" s="2" t="s">
        <v>242</v>
      </c>
      <c r="B6951" s="6">
        <v>44228</v>
      </c>
      <c r="C6951" s="2" t="s">
        <v>106</v>
      </c>
      <c r="D6951" s="8">
        <v>-53.75</v>
      </c>
      <c r="E6951" s="8">
        <f>E6950+(0-53.75)</f>
        <v>8454603.9299995024</v>
      </c>
    </row>
    <row r="6952" spans="1:5" x14ac:dyDescent="0.25">
      <c r="A6952" s="2" t="s">
        <v>242</v>
      </c>
      <c r="B6952" s="6">
        <v>44228</v>
      </c>
      <c r="C6952" s="2" t="s">
        <v>17</v>
      </c>
      <c r="D6952" s="8">
        <v>-12.6</v>
      </c>
      <c r="E6952" s="8">
        <f>E6951+(0-12.6)</f>
        <v>8454591.3299995027</v>
      </c>
    </row>
    <row r="6953" spans="1:5" x14ac:dyDescent="0.25">
      <c r="A6953" s="2" t="s">
        <v>242</v>
      </c>
      <c r="B6953" s="6">
        <v>44228</v>
      </c>
      <c r="C6953" s="2" t="s">
        <v>16</v>
      </c>
      <c r="D6953" s="8">
        <v>-200</v>
      </c>
      <c r="E6953" s="8">
        <f>E6952+(0-200)</f>
        <v>8454391.3299995027</v>
      </c>
    </row>
    <row r="6954" spans="1:5" x14ac:dyDescent="0.25">
      <c r="A6954" s="2" t="s">
        <v>242</v>
      </c>
      <c r="B6954" s="6">
        <v>44229</v>
      </c>
      <c r="C6954" s="2" t="s">
        <v>17</v>
      </c>
      <c r="D6954" s="8">
        <v>-32</v>
      </c>
      <c r="E6954" s="8">
        <f>E6953+(0-32)</f>
        <v>8454359.3299995027</v>
      </c>
    </row>
    <row r="6955" spans="1:5" x14ac:dyDescent="0.25">
      <c r="A6955" s="2" t="s">
        <v>242</v>
      </c>
      <c r="B6955" s="6">
        <v>44229</v>
      </c>
      <c r="C6955" s="2" t="s">
        <v>16</v>
      </c>
      <c r="D6955" s="8">
        <v>-400</v>
      </c>
      <c r="E6955" s="8">
        <f>E6954+(0-400)</f>
        <v>8453959.3299995027</v>
      </c>
    </row>
    <row r="6956" spans="1:5" x14ac:dyDescent="0.25">
      <c r="A6956" s="2" t="s">
        <v>242</v>
      </c>
      <c r="B6956" s="6">
        <v>44229</v>
      </c>
      <c r="C6956" s="2" t="s">
        <v>16</v>
      </c>
      <c r="D6956" s="8">
        <v>-50</v>
      </c>
      <c r="E6956" s="8">
        <f>E6955+(0-50)</f>
        <v>8453909.3299995027</v>
      </c>
    </row>
    <row r="6957" spans="1:5" x14ac:dyDescent="0.25">
      <c r="A6957" s="2" t="s">
        <v>242</v>
      </c>
      <c r="B6957" s="6">
        <v>44230</v>
      </c>
      <c r="C6957" s="2" t="s">
        <v>17</v>
      </c>
      <c r="D6957" s="8">
        <v>-48</v>
      </c>
      <c r="E6957" s="8">
        <f>E6956+(0-48)</f>
        <v>8453861.3299995027</v>
      </c>
    </row>
    <row r="6958" spans="1:5" x14ac:dyDescent="0.25">
      <c r="A6958" s="2" t="s">
        <v>242</v>
      </c>
      <c r="B6958" s="6">
        <v>44230</v>
      </c>
      <c r="C6958" s="2" t="s">
        <v>379</v>
      </c>
      <c r="D6958" s="8">
        <v>-53.75</v>
      </c>
      <c r="E6958" s="8">
        <f>E6957+(0-53.75)</f>
        <v>8453807.5799995027</v>
      </c>
    </row>
    <row r="6959" spans="1:5" x14ac:dyDescent="0.25">
      <c r="A6959" s="2" t="s">
        <v>242</v>
      </c>
      <c r="B6959" s="6">
        <v>44230</v>
      </c>
      <c r="C6959" s="2" t="s">
        <v>16</v>
      </c>
      <c r="D6959" s="8">
        <v>-50</v>
      </c>
      <c r="E6959" s="8">
        <f>E6958+(0-50)</f>
        <v>8453757.5799995027</v>
      </c>
    </row>
    <row r="6960" spans="1:5" x14ac:dyDescent="0.25">
      <c r="A6960" s="2" t="s">
        <v>242</v>
      </c>
      <c r="B6960" s="6">
        <v>44230</v>
      </c>
      <c r="C6960" s="2" t="s">
        <v>16</v>
      </c>
      <c r="D6960" s="8">
        <v>-400</v>
      </c>
      <c r="E6960" s="8">
        <f>E6959+(0-400)</f>
        <v>8453357.5799995027</v>
      </c>
    </row>
    <row r="6961" spans="1:5" x14ac:dyDescent="0.25">
      <c r="A6961" s="2" t="s">
        <v>242</v>
      </c>
      <c r="B6961" s="6">
        <v>44231</v>
      </c>
      <c r="C6961" s="2" t="s">
        <v>17</v>
      </c>
      <c r="D6961" s="8">
        <v>-48</v>
      </c>
      <c r="E6961" s="8">
        <f>E6960+(0-48)</f>
        <v>8453309.5799995027</v>
      </c>
    </row>
    <row r="6962" spans="1:5" x14ac:dyDescent="0.25">
      <c r="A6962" s="2" t="s">
        <v>242</v>
      </c>
      <c r="B6962" s="6">
        <v>44231</v>
      </c>
      <c r="C6962" s="2" t="s">
        <v>380</v>
      </c>
      <c r="D6962" s="8">
        <v>-53.75</v>
      </c>
      <c r="E6962" s="8">
        <f>E6961+(0-53.75)</f>
        <v>8453255.8299995027</v>
      </c>
    </row>
    <row r="6963" spans="1:5" x14ac:dyDescent="0.25">
      <c r="A6963" s="2" t="s">
        <v>242</v>
      </c>
      <c r="B6963" s="6">
        <v>44231</v>
      </c>
      <c r="C6963" s="2" t="s">
        <v>16</v>
      </c>
      <c r="D6963" s="8">
        <v>-150</v>
      </c>
      <c r="E6963" s="8">
        <f>E6962+(0-150)</f>
        <v>8453105.8299995027</v>
      </c>
    </row>
    <row r="6964" spans="1:5" x14ac:dyDescent="0.25">
      <c r="A6964" s="2" t="s">
        <v>242</v>
      </c>
      <c r="B6964" s="6">
        <v>44232</v>
      </c>
      <c r="C6964" s="2" t="s">
        <v>17</v>
      </c>
      <c r="D6964" s="8">
        <v>-64</v>
      </c>
      <c r="E6964" s="8">
        <f>E6963+(0-64)</f>
        <v>8453041.8299995027</v>
      </c>
    </row>
    <row r="6965" spans="1:5" x14ac:dyDescent="0.25">
      <c r="A6965" s="2" t="s">
        <v>242</v>
      </c>
      <c r="B6965" s="6">
        <v>44232</v>
      </c>
      <c r="C6965" s="2" t="s">
        <v>16</v>
      </c>
      <c r="D6965" s="8">
        <v>-150</v>
      </c>
      <c r="E6965" s="8">
        <f>E6964+(0-150)</f>
        <v>8452891.8299995027</v>
      </c>
    </row>
    <row r="6966" spans="1:5" x14ac:dyDescent="0.25">
      <c r="A6966" s="2" t="s">
        <v>242</v>
      </c>
      <c r="B6966" s="6">
        <v>44235</v>
      </c>
      <c r="C6966" s="2" t="s">
        <v>17</v>
      </c>
      <c r="D6966" s="8">
        <v>-12</v>
      </c>
      <c r="E6966" s="8">
        <f>E6965+(0-12)</f>
        <v>8452879.8299995027</v>
      </c>
    </row>
    <row r="6967" spans="1:5" x14ac:dyDescent="0.25">
      <c r="A6967" s="2" t="s">
        <v>242</v>
      </c>
      <c r="B6967" s="6">
        <v>44235</v>
      </c>
      <c r="C6967" s="2" t="s">
        <v>16</v>
      </c>
      <c r="D6967" s="8">
        <v>-50</v>
      </c>
      <c r="E6967" s="8">
        <f>E6966+(0-50)</f>
        <v>8452829.8299995027</v>
      </c>
    </row>
    <row r="6968" spans="1:5" x14ac:dyDescent="0.25">
      <c r="A6968" s="2" t="s">
        <v>242</v>
      </c>
      <c r="B6968" s="6">
        <v>44235</v>
      </c>
      <c r="C6968" s="2" t="s">
        <v>16</v>
      </c>
      <c r="D6968" s="8">
        <v>-50</v>
      </c>
      <c r="E6968" s="8">
        <f>E6967+(0-50)</f>
        <v>8452779.8299995027</v>
      </c>
    </row>
    <row r="6969" spans="1:5" x14ac:dyDescent="0.25">
      <c r="A6969" s="2" t="s">
        <v>242</v>
      </c>
      <c r="B6969" s="6">
        <v>44235</v>
      </c>
      <c r="C6969" s="2" t="s">
        <v>381</v>
      </c>
      <c r="D6969" s="8">
        <v>-53.75</v>
      </c>
      <c r="E6969" s="8">
        <f>E6968+(0-53.75)</f>
        <v>8452726.0799995027</v>
      </c>
    </row>
    <row r="6970" spans="1:5" x14ac:dyDescent="0.25">
      <c r="A6970" s="2" t="s">
        <v>242</v>
      </c>
      <c r="B6970" s="6">
        <v>44235</v>
      </c>
      <c r="C6970" s="2" t="s">
        <v>382</v>
      </c>
      <c r="D6970" s="8">
        <v>-53.75</v>
      </c>
      <c r="E6970" s="8">
        <f>E6969+(0-53.75)</f>
        <v>8452672.3299995027</v>
      </c>
    </row>
    <row r="6971" spans="1:5" x14ac:dyDescent="0.25">
      <c r="A6971" s="2" t="s">
        <v>242</v>
      </c>
      <c r="B6971" s="6">
        <v>44235</v>
      </c>
      <c r="C6971" s="2" t="s">
        <v>16</v>
      </c>
      <c r="D6971" s="8">
        <v>-400</v>
      </c>
      <c r="E6971" s="8">
        <f>E6970+(0-400)</f>
        <v>8452272.3299995027</v>
      </c>
    </row>
    <row r="6972" spans="1:5" x14ac:dyDescent="0.25">
      <c r="A6972" s="2" t="s">
        <v>242</v>
      </c>
      <c r="B6972" s="6">
        <v>44236</v>
      </c>
      <c r="C6972" s="2" t="s">
        <v>383</v>
      </c>
      <c r="D6972" s="8">
        <v>-26.88</v>
      </c>
      <c r="E6972" s="8">
        <f>E6971+(0-26.88)</f>
        <v>8452245.4499995019</v>
      </c>
    </row>
    <row r="6973" spans="1:5" x14ac:dyDescent="0.25">
      <c r="A6973" s="2" t="s">
        <v>242</v>
      </c>
      <c r="B6973" s="6">
        <v>44236</v>
      </c>
      <c r="C6973" s="2" t="s">
        <v>384</v>
      </c>
      <c r="D6973" s="8">
        <v>-623.5</v>
      </c>
      <c r="E6973" s="8">
        <f>E6972+(0-623.5)</f>
        <v>8451621.9499995019</v>
      </c>
    </row>
    <row r="6974" spans="1:5" x14ac:dyDescent="0.25">
      <c r="A6974" s="2" t="s">
        <v>242</v>
      </c>
      <c r="B6974" s="6">
        <v>44236</v>
      </c>
      <c r="C6974" s="2" t="s">
        <v>16</v>
      </c>
      <c r="D6974" s="8">
        <v>-300</v>
      </c>
      <c r="E6974" s="8">
        <f>E6973+(0-300)</f>
        <v>8451321.9499995019</v>
      </c>
    </row>
    <row r="6975" spans="1:5" x14ac:dyDescent="0.25">
      <c r="A6975" s="2" t="s">
        <v>242</v>
      </c>
      <c r="B6975" s="6">
        <v>44237</v>
      </c>
      <c r="C6975" s="2" t="s">
        <v>385</v>
      </c>
      <c r="D6975" s="8">
        <v>-53.75</v>
      </c>
      <c r="E6975" s="8">
        <f>E6974+(0-53.75)</f>
        <v>8451268.1999995019</v>
      </c>
    </row>
    <row r="6976" spans="1:5" x14ac:dyDescent="0.25">
      <c r="A6976" s="2" t="s">
        <v>242</v>
      </c>
      <c r="B6976" s="6">
        <v>44237</v>
      </c>
      <c r="C6976" s="2" t="s">
        <v>384</v>
      </c>
      <c r="D6976" s="8">
        <v>-21.5</v>
      </c>
      <c r="E6976" s="8">
        <f>E6975+(0-21.5)</f>
        <v>8451246.6999995019</v>
      </c>
    </row>
    <row r="6977" spans="1:5" x14ac:dyDescent="0.25">
      <c r="A6977" s="2" t="s">
        <v>242</v>
      </c>
      <c r="B6977" s="6">
        <v>44237</v>
      </c>
      <c r="C6977" s="2" t="s">
        <v>154</v>
      </c>
      <c r="D6977" s="8">
        <v>-500</v>
      </c>
      <c r="E6977" s="8">
        <f>E6976+(0-500)</f>
        <v>8450746.6999995019</v>
      </c>
    </row>
    <row r="6978" spans="1:5" x14ac:dyDescent="0.25">
      <c r="A6978" s="2" t="s">
        <v>242</v>
      </c>
      <c r="B6978" s="6">
        <v>44237</v>
      </c>
      <c r="C6978" s="2" t="s">
        <v>155</v>
      </c>
      <c r="D6978" s="8">
        <v>-37.5</v>
      </c>
      <c r="E6978" s="8">
        <f>E6977+(0-37.5)</f>
        <v>8450709.1999995019</v>
      </c>
    </row>
    <row r="6979" spans="1:5" x14ac:dyDescent="0.25">
      <c r="A6979" s="2" t="s">
        <v>242</v>
      </c>
      <c r="B6979" s="6">
        <v>44237</v>
      </c>
      <c r="C6979" s="2" t="s">
        <v>384</v>
      </c>
      <c r="D6979" s="8">
        <v>-86</v>
      </c>
      <c r="E6979" s="8">
        <f>E6978+(0-86)</f>
        <v>8450623.1999995019</v>
      </c>
    </row>
    <row r="6980" spans="1:5" x14ac:dyDescent="0.25">
      <c r="A6980" s="2" t="s">
        <v>242</v>
      </c>
      <c r="B6980" s="6">
        <v>44237</v>
      </c>
      <c r="C6980" s="2" t="s">
        <v>16</v>
      </c>
      <c r="D6980" s="8">
        <v>-100</v>
      </c>
      <c r="E6980" s="8">
        <f>E6979+(0-100)</f>
        <v>8450523.1999995019</v>
      </c>
    </row>
    <row r="6981" spans="1:5" x14ac:dyDescent="0.25">
      <c r="A6981" s="2" t="s">
        <v>242</v>
      </c>
      <c r="B6981" s="6">
        <v>44238</v>
      </c>
      <c r="C6981" s="2" t="s">
        <v>16</v>
      </c>
      <c r="D6981" s="8">
        <v>-50</v>
      </c>
      <c r="E6981" s="8">
        <f>E6980+(0-50)</f>
        <v>8450473.1999995019</v>
      </c>
    </row>
    <row r="6982" spans="1:5" x14ac:dyDescent="0.25">
      <c r="A6982" s="2" t="s">
        <v>242</v>
      </c>
      <c r="B6982" s="6">
        <v>44238</v>
      </c>
      <c r="C6982" s="2" t="s">
        <v>16</v>
      </c>
      <c r="D6982" s="8">
        <v>-350</v>
      </c>
      <c r="E6982" s="8">
        <f>E6981+(0-350)</f>
        <v>8450123.1999995019</v>
      </c>
    </row>
    <row r="6983" spans="1:5" x14ac:dyDescent="0.25">
      <c r="A6983" s="2" t="s">
        <v>242</v>
      </c>
      <c r="B6983" s="6">
        <v>44239</v>
      </c>
      <c r="C6983" s="2" t="s">
        <v>17</v>
      </c>
      <c r="D6983" s="8">
        <v>-20</v>
      </c>
      <c r="E6983" s="8">
        <f>E6982+(0-20)</f>
        <v>8450103.1999995019</v>
      </c>
    </row>
    <row r="6984" spans="1:5" x14ac:dyDescent="0.25">
      <c r="A6984" s="2" t="s">
        <v>242</v>
      </c>
      <c r="B6984" s="6">
        <v>44239</v>
      </c>
      <c r="C6984" s="2" t="s">
        <v>386</v>
      </c>
      <c r="D6984" s="8">
        <v>-53.75</v>
      </c>
      <c r="E6984" s="8">
        <f>E6983+(0-53.75)</f>
        <v>8450049.4499995019</v>
      </c>
    </row>
    <row r="6985" spans="1:5" x14ac:dyDescent="0.25">
      <c r="A6985" s="2" t="s">
        <v>242</v>
      </c>
      <c r="B6985" s="6">
        <v>44239</v>
      </c>
      <c r="C6985" s="2" t="s">
        <v>105</v>
      </c>
      <c r="D6985" s="8">
        <v>-53.75</v>
      </c>
      <c r="E6985" s="8">
        <f>E6984+(0-53.75)</f>
        <v>8449995.6999995019</v>
      </c>
    </row>
    <row r="6986" spans="1:5" x14ac:dyDescent="0.25">
      <c r="A6986" s="2" t="s">
        <v>242</v>
      </c>
      <c r="B6986" s="6">
        <v>44239</v>
      </c>
      <c r="C6986" s="2" t="s">
        <v>387</v>
      </c>
      <c r="D6986" s="8">
        <v>-53.75</v>
      </c>
      <c r="E6986" s="8">
        <f>E6985+(0-53.75)</f>
        <v>8449941.9499995019</v>
      </c>
    </row>
    <row r="6987" spans="1:5" x14ac:dyDescent="0.25">
      <c r="A6987" s="2" t="s">
        <v>242</v>
      </c>
      <c r="B6987" s="6">
        <v>44239</v>
      </c>
      <c r="C6987" s="2" t="s">
        <v>16</v>
      </c>
      <c r="D6987" s="8">
        <v>-400</v>
      </c>
      <c r="E6987" s="8">
        <f>E6986+(0-400)</f>
        <v>8449541.9499995019</v>
      </c>
    </row>
    <row r="6988" spans="1:5" x14ac:dyDescent="0.25">
      <c r="A6988" s="2" t="s">
        <v>242</v>
      </c>
      <c r="B6988" s="6">
        <v>44242</v>
      </c>
      <c r="C6988" s="2" t="s">
        <v>17</v>
      </c>
      <c r="D6988" s="8">
        <v>-48</v>
      </c>
      <c r="E6988" s="8">
        <f>E6987+(0-48)</f>
        <v>8449493.9499995019</v>
      </c>
    </row>
    <row r="6989" spans="1:5" x14ac:dyDescent="0.25">
      <c r="A6989" s="2" t="s">
        <v>242</v>
      </c>
      <c r="B6989" s="6">
        <v>44242</v>
      </c>
      <c r="C6989" s="2" t="s">
        <v>17</v>
      </c>
      <c r="D6989" s="8">
        <v>-44</v>
      </c>
      <c r="E6989" s="8">
        <f>E6988+(0-44)</f>
        <v>8449449.9499995019</v>
      </c>
    </row>
    <row r="6990" spans="1:5" x14ac:dyDescent="0.25">
      <c r="A6990" s="2" t="s">
        <v>242</v>
      </c>
      <c r="B6990" s="6">
        <v>44242</v>
      </c>
      <c r="C6990" s="2" t="s">
        <v>17</v>
      </c>
      <c r="D6990" s="8">
        <v>-44</v>
      </c>
      <c r="E6990" s="8">
        <f>E6989+(0-44)</f>
        <v>8449405.9499995019</v>
      </c>
    </row>
    <row r="6991" spans="1:5" x14ac:dyDescent="0.25">
      <c r="A6991" s="2" t="s">
        <v>242</v>
      </c>
      <c r="B6991" s="6">
        <v>44242</v>
      </c>
      <c r="C6991" s="2" t="s">
        <v>17</v>
      </c>
      <c r="D6991" s="8">
        <v>-68</v>
      </c>
      <c r="E6991" s="8">
        <f>E6990+(0-68)</f>
        <v>8449337.9499995019</v>
      </c>
    </row>
    <row r="6992" spans="1:5" x14ac:dyDescent="0.25">
      <c r="A6992" s="2" t="s">
        <v>242</v>
      </c>
      <c r="B6992" s="6">
        <v>44242</v>
      </c>
      <c r="C6992" s="2" t="s">
        <v>19</v>
      </c>
      <c r="D6992" s="8">
        <v>-64</v>
      </c>
      <c r="E6992" s="8">
        <f>E6991+(0-64)</f>
        <v>8449273.9499995019</v>
      </c>
    </row>
    <row r="6993" spans="1:5" x14ac:dyDescent="0.25">
      <c r="A6993" s="2" t="s">
        <v>242</v>
      </c>
      <c r="B6993" s="6">
        <v>44242</v>
      </c>
      <c r="C6993" s="2" t="s">
        <v>17</v>
      </c>
      <c r="D6993" s="8">
        <v>-4</v>
      </c>
      <c r="E6993" s="8">
        <f>E6992+(0-4)</f>
        <v>8449269.9499995019</v>
      </c>
    </row>
    <row r="6994" spans="1:5" x14ac:dyDescent="0.25">
      <c r="A6994" s="2" t="s">
        <v>242</v>
      </c>
      <c r="B6994" s="6">
        <v>44242</v>
      </c>
      <c r="C6994" s="2" t="s">
        <v>17</v>
      </c>
      <c r="D6994" s="8">
        <v>-4</v>
      </c>
      <c r="E6994" s="8">
        <f>E6993+(0-4)</f>
        <v>8449265.9499995019</v>
      </c>
    </row>
    <row r="6995" spans="1:5" x14ac:dyDescent="0.25">
      <c r="A6995" s="2" t="s">
        <v>242</v>
      </c>
      <c r="B6995" s="6">
        <v>44242</v>
      </c>
      <c r="C6995" s="2" t="s">
        <v>388</v>
      </c>
      <c r="D6995" s="8">
        <v>-26.88</v>
      </c>
      <c r="E6995" s="8">
        <f>E6994+(0-26.88)</f>
        <v>8449239.0699995011</v>
      </c>
    </row>
    <row r="6996" spans="1:5" x14ac:dyDescent="0.25">
      <c r="A6996" s="2" t="s">
        <v>242</v>
      </c>
      <c r="B6996" s="6">
        <v>44242</v>
      </c>
      <c r="C6996" s="2" t="s">
        <v>389</v>
      </c>
      <c r="D6996" s="8">
        <v>-53.75</v>
      </c>
      <c r="E6996" s="8">
        <f>E6995+(0-53.75)</f>
        <v>8449185.3199995011</v>
      </c>
    </row>
    <row r="6997" spans="1:5" x14ac:dyDescent="0.25">
      <c r="A6997" s="2" t="s">
        <v>242</v>
      </c>
      <c r="B6997" s="6">
        <v>44242</v>
      </c>
      <c r="C6997" s="2" t="s">
        <v>16</v>
      </c>
      <c r="D6997" s="8">
        <v>-50</v>
      </c>
      <c r="E6997" s="8">
        <f>E6996+(0-50)</f>
        <v>8449135.3199995011</v>
      </c>
    </row>
    <row r="6998" spans="1:5" x14ac:dyDescent="0.25">
      <c r="A6998" s="2" t="s">
        <v>242</v>
      </c>
      <c r="B6998" s="6">
        <v>44242</v>
      </c>
      <c r="C6998" s="2" t="s">
        <v>16</v>
      </c>
      <c r="D6998" s="8">
        <v>-250</v>
      </c>
      <c r="E6998" s="8">
        <f>E6997+(0-250)</f>
        <v>8448885.3199995011</v>
      </c>
    </row>
    <row r="6999" spans="1:5" x14ac:dyDescent="0.25">
      <c r="A6999" s="2" t="s">
        <v>242</v>
      </c>
      <c r="B6999" s="6">
        <v>44243</v>
      </c>
      <c r="C6999" s="2" t="s">
        <v>16</v>
      </c>
      <c r="D6999" s="8">
        <v>-100</v>
      </c>
      <c r="E6999" s="8">
        <f>E6998+(0-100)</f>
        <v>8448785.3199995011</v>
      </c>
    </row>
    <row r="7000" spans="1:5" x14ac:dyDescent="0.25">
      <c r="A7000" s="2" t="s">
        <v>242</v>
      </c>
      <c r="B7000" s="6">
        <v>44243</v>
      </c>
      <c r="C7000" s="2" t="s">
        <v>16</v>
      </c>
      <c r="D7000" s="8">
        <v>-200</v>
      </c>
      <c r="E7000" s="8">
        <f>E6999+(0-200)</f>
        <v>8448585.3199995011</v>
      </c>
    </row>
    <row r="7001" spans="1:5" x14ac:dyDescent="0.25">
      <c r="A7001" s="2" t="s">
        <v>242</v>
      </c>
      <c r="B7001" s="6">
        <v>44244</v>
      </c>
      <c r="C7001" s="2" t="s">
        <v>16</v>
      </c>
      <c r="D7001" s="8">
        <v>-50</v>
      </c>
      <c r="E7001" s="8">
        <f>E7000+(0-50)</f>
        <v>8448535.3199995011</v>
      </c>
    </row>
    <row r="7002" spans="1:5" x14ac:dyDescent="0.25">
      <c r="A7002" s="2" t="s">
        <v>242</v>
      </c>
      <c r="B7002" s="6">
        <v>44244</v>
      </c>
      <c r="C7002" s="2" t="s">
        <v>16</v>
      </c>
      <c r="D7002" s="8">
        <v>-350</v>
      </c>
      <c r="E7002" s="8">
        <f>E7001+(0-350)</f>
        <v>8448185.3199995011</v>
      </c>
    </row>
    <row r="7003" spans="1:5" x14ac:dyDescent="0.25">
      <c r="A7003" s="2" t="s">
        <v>242</v>
      </c>
      <c r="B7003" s="6">
        <v>44245</v>
      </c>
      <c r="C7003" s="2" t="s">
        <v>16</v>
      </c>
      <c r="D7003" s="8">
        <v>-500</v>
      </c>
      <c r="E7003" s="8">
        <f>E7002+(0-500)</f>
        <v>8447685.3199995011</v>
      </c>
    </row>
    <row r="7004" spans="1:5" x14ac:dyDescent="0.25">
      <c r="A7004" s="2" t="s">
        <v>242</v>
      </c>
      <c r="B7004" s="6">
        <v>44245</v>
      </c>
      <c r="C7004" s="2" t="s">
        <v>16</v>
      </c>
      <c r="D7004" s="8">
        <v>-50</v>
      </c>
      <c r="E7004" s="8">
        <f>E7003+(0-50)</f>
        <v>8447635.3199995011</v>
      </c>
    </row>
    <row r="7005" spans="1:5" x14ac:dyDescent="0.25">
      <c r="A7005" s="2" t="s">
        <v>242</v>
      </c>
      <c r="B7005" s="6">
        <v>44246</v>
      </c>
      <c r="C7005" s="2" t="s">
        <v>17</v>
      </c>
      <c r="D7005" s="8">
        <v>-36</v>
      </c>
      <c r="E7005" s="8">
        <f>E7004+(0-36)</f>
        <v>8447599.3199995011</v>
      </c>
    </row>
    <row r="7006" spans="1:5" x14ac:dyDescent="0.25">
      <c r="A7006" s="2" t="s">
        <v>242</v>
      </c>
      <c r="B7006" s="6">
        <v>44246</v>
      </c>
      <c r="C7006" s="2" t="s">
        <v>17</v>
      </c>
      <c r="D7006" s="8">
        <v>-36</v>
      </c>
      <c r="E7006" s="8">
        <f>E7005+(0-36)</f>
        <v>8447563.3199995011</v>
      </c>
    </row>
    <row r="7007" spans="1:5" x14ac:dyDescent="0.25">
      <c r="A7007" s="2" t="s">
        <v>242</v>
      </c>
      <c r="B7007" s="6">
        <v>44246</v>
      </c>
      <c r="C7007" s="2" t="s">
        <v>17</v>
      </c>
      <c r="D7007" s="8">
        <v>-68</v>
      </c>
      <c r="E7007" s="8">
        <f>E7006+(0-68)</f>
        <v>8447495.3199995011</v>
      </c>
    </row>
    <row r="7008" spans="1:5" x14ac:dyDescent="0.25">
      <c r="A7008" s="2" t="s">
        <v>242</v>
      </c>
      <c r="B7008" s="6">
        <v>44246</v>
      </c>
      <c r="C7008" s="2" t="s">
        <v>17</v>
      </c>
      <c r="D7008" s="8">
        <v>-48</v>
      </c>
      <c r="E7008" s="8">
        <f>E7007+(0-48)</f>
        <v>8447447.3199995011</v>
      </c>
    </row>
    <row r="7009" spans="1:5" x14ac:dyDescent="0.25">
      <c r="A7009" s="2" t="s">
        <v>242</v>
      </c>
      <c r="B7009" s="6">
        <v>44246</v>
      </c>
      <c r="C7009" s="2" t="s">
        <v>16</v>
      </c>
      <c r="D7009" s="8">
        <v>-50</v>
      </c>
      <c r="E7009" s="8">
        <f>E7008+(0-50)</f>
        <v>8447397.3199995011</v>
      </c>
    </row>
    <row r="7010" spans="1:5" x14ac:dyDescent="0.25">
      <c r="A7010" s="2" t="s">
        <v>242</v>
      </c>
      <c r="B7010" s="6">
        <v>44246</v>
      </c>
      <c r="C7010" s="2" t="s">
        <v>16</v>
      </c>
      <c r="D7010" s="8">
        <v>-250</v>
      </c>
      <c r="E7010" s="8">
        <f>E7009+(0-250)</f>
        <v>8447147.3199995011</v>
      </c>
    </row>
    <row r="7011" spans="1:5" x14ac:dyDescent="0.25">
      <c r="A7011" s="2" t="s">
        <v>242</v>
      </c>
      <c r="B7011" s="6">
        <v>44249</v>
      </c>
      <c r="C7011" s="2" t="s">
        <v>17</v>
      </c>
      <c r="D7011" s="8">
        <v>-56</v>
      </c>
      <c r="E7011" s="8">
        <f>E7010+(0-56)</f>
        <v>8447091.3199995011</v>
      </c>
    </row>
    <row r="7012" spans="1:5" x14ac:dyDescent="0.25">
      <c r="A7012" s="2" t="s">
        <v>242</v>
      </c>
      <c r="B7012" s="6">
        <v>44249</v>
      </c>
      <c r="C7012" s="2" t="s">
        <v>386</v>
      </c>
      <c r="D7012" s="8">
        <v>-53.75</v>
      </c>
      <c r="E7012" s="8">
        <f>E7011+(0-53.75)</f>
        <v>8447037.5699995011</v>
      </c>
    </row>
    <row r="7013" spans="1:5" x14ac:dyDescent="0.25">
      <c r="A7013" s="2" t="s">
        <v>242</v>
      </c>
      <c r="B7013" s="6">
        <v>44249</v>
      </c>
      <c r="C7013" s="2" t="s">
        <v>390</v>
      </c>
      <c r="D7013" s="8">
        <v>-26.88</v>
      </c>
      <c r="E7013" s="8">
        <f>E7012+(0-26.88)</f>
        <v>8447010.6899995003</v>
      </c>
    </row>
    <row r="7014" spans="1:5" x14ac:dyDescent="0.25">
      <c r="A7014" s="2" t="s">
        <v>242</v>
      </c>
      <c r="B7014" s="6">
        <v>44249</v>
      </c>
      <c r="C7014" s="2" t="s">
        <v>391</v>
      </c>
      <c r="D7014" s="8">
        <v>-53.75</v>
      </c>
      <c r="E7014" s="8">
        <f>E7013+(0-53.75)</f>
        <v>8446956.9399995003</v>
      </c>
    </row>
    <row r="7015" spans="1:5" x14ac:dyDescent="0.25">
      <c r="A7015" s="2" t="s">
        <v>242</v>
      </c>
      <c r="B7015" s="6">
        <v>44249</v>
      </c>
      <c r="C7015" s="2" t="s">
        <v>16</v>
      </c>
      <c r="D7015" s="8">
        <v>-50</v>
      </c>
      <c r="E7015" s="8">
        <f>E7014+(0-50)</f>
        <v>8446906.9399995003</v>
      </c>
    </row>
    <row r="7016" spans="1:5" x14ac:dyDescent="0.25">
      <c r="A7016" s="2" t="s">
        <v>242</v>
      </c>
      <c r="B7016" s="6">
        <v>44249</v>
      </c>
      <c r="C7016" s="2" t="s">
        <v>16</v>
      </c>
      <c r="D7016" s="8">
        <v>-200</v>
      </c>
      <c r="E7016" s="8">
        <f>E7015+(0-200)</f>
        <v>8446706.9399995003</v>
      </c>
    </row>
    <row r="7017" spans="1:5" x14ac:dyDescent="0.25">
      <c r="A7017" s="2" t="s">
        <v>242</v>
      </c>
      <c r="B7017" s="6">
        <v>44249</v>
      </c>
      <c r="C7017" s="2" t="s">
        <v>16</v>
      </c>
      <c r="D7017" s="8">
        <v>-50</v>
      </c>
      <c r="E7017" s="8">
        <f>E7016+(0-50)</f>
        <v>8446656.9399995003</v>
      </c>
    </row>
    <row r="7018" spans="1:5" x14ac:dyDescent="0.25">
      <c r="A7018" s="2" t="s">
        <v>242</v>
      </c>
      <c r="B7018" s="6">
        <v>44249</v>
      </c>
      <c r="C7018" s="2" t="s">
        <v>392</v>
      </c>
      <c r="D7018" s="8">
        <v>-26.88</v>
      </c>
      <c r="E7018" s="8">
        <f>E7017+(0-26.88)</f>
        <v>8446630.0599994995</v>
      </c>
    </row>
    <row r="7019" spans="1:5" x14ac:dyDescent="0.25">
      <c r="A7019" s="2" t="s">
        <v>242</v>
      </c>
      <c r="B7019" s="6">
        <v>44250</v>
      </c>
      <c r="C7019" s="2" t="s">
        <v>16</v>
      </c>
      <c r="D7019" s="8">
        <v>-50</v>
      </c>
      <c r="E7019" s="8">
        <f>E7018+(0-50)</f>
        <v>8446580.0599994995</v>
      </c>
    </row>
    <row r="7020" spans="1:5" x14ac:dyDescent="0.25">
      <c r="A7020" s="2" t="s">
        <v>242</v>
      </c>
      <c r="B7020" s="6">
        <v>44250</v>
      </c>
      <c r="C7020" s="2" t="s">
        <v>16</v>
      </c>
      <c r="D7020" s="8">
        <v>-350</v>
      </c>
      <c r="E7020" s="8">
        <f>E7019+(0-350)</f>
        <v>8446230.0599994995</v>
      </c>
    </row>
    <row r="7021" spans="1:5" x14ac:dyDescent="0.25">
      <c r="A7021" s="2" t="s">
        <v>242</v>
      </c>
      <c r="B7021" s="6">
        <v>44251</v>
      </c>
      <c r="C7021" s="2" t="s">
        <v>17</v>
      </c>
      <c r="D7021" s="8">
        <v>-8</v>
      </c>
      <c r="E7021" s="8">
        <f>E7020+(0-8)</f>
        <v>8446222.0599994995</v>
      </c>
    </row>
    <row r="7022" spans="1:5" x14ac:dyDescent="0.25">
      <c r="A7022" s="2" t="s">
        <v>242</v>
      </c>
      <c r="B7022" s="6">
        <v>44251</v>
      </c>
      <c r="C7022" s="2" t="s">
        <v>17</v>
      </c>
      <c r="D7022" s="8">
        <v>-48</v>
      </c>
      <c r="E7022" s="8">
        <f>E7021+(0-48)</f>
        <v>8446174.0599994995</v>
      </c>
    </row>
    <row r="7023" spans="1:5" x14ac:dyDescent="0.25">
      <c r="A7023" s="2" t="s">
        <v>242</v>
      </c>
      <c r="B7023" s="6">
        <v>44251</v>
      </c>
      <c r="C7023" s="2" t="s">
        <v>17</v>
      </c>
      <c r="D7023" s="8">
        <v>-60</v>
      </c>
      <c r="E7023" s="8">
        <f>E7022+(0-60)</f>
        <v>8446114.0599994995</v>
      </c>
    </row>
    <row r="7024" spans="1:5" x14ac:dyDescent="0.25">
      <c r="A7024" s="2" t="s">
        <v>242</v>
      </c>
      <c r="B7024" s="6">
        <v>44251</v>
      </c>
      <c r="C7024" s="2" t="s">
        <v>16</v>
      </c>
      <c r="D7024" s="8">
        <v>-300</v>
      </c>
      <c r="E7024" s="8">
        <f>E7023+(0-300)</f>
        <v>8445814.0599994995</v>
      </c>
    </row>
    <row r="7025" spans="1:5" x14ac:dyDescent="0.25">
      <c r="A7025" s="2" t="s">
        <v>242</v>
      </c>
      <c r="B7025" s="6">
        <v>44252</v>
      </c>
      <c r="C7025" s="2" t="s">
        <v>372</v>
      </c>
      <c r="D7025" s="8">
        <v>-53.75</v>
      </c>
      <c r="E7025" s="8">
        <f>E7024+(0-53.75)</f>
        <v>8445760.3099994995</v>
      </c>
    </row>
    <row r="7026" spans="1:5" x14ac:dyDescent="0.25">
      <c r="A7026" s="2" t="s">
        <v>242</v>
      </c>
      <c r="B7026" s="6">
        <v>44252</v>
      </c>
      <c r="C7026" s="2" t="s">
        <v>393</v>
      </c>
      <c r="D7026" s="8">
        <v>-26.88</v>
      </c>
      <c r="E7026" s="8">
        <f>E7025+(0-26.88)</f>
        <v>8445733.4299994987</v>
      </c>
    </row>
    <row r="7027" spans="1:5" x14ac:dyDescent="0.25">
      <c r="A7027" s="2" t="s">
        <v>242</v>
      </c>
      <c r="B7027" s="6">
        <v>44252</v>
      </c>
      <c r="C7027" s="2" t="s">
        <v>31</v>
      </c>
      <c r="D7027" s="8">
        <v>-53.75</v>
      </c>
      <c r="E7027" s="8">
        <f>E7026+(0-53.75)</f>
        <v>8445679.6799994987</v>
      </c>
    </row>
    <row r="7028" spans="1:5" x14ac:dyDescent="0.25">
      <c r="A7028" s="2" t="s">
        <v>242</v>
      </c>
      <c r="B7028" s="6">
        <v>44252</v>
      </c>
      <c r="C7028" s="2" t="s">
        <v>394</v>
      </c>
      <c r="D7028" s="8">
        <v>-53.75</v>
      </c>
      <c r="E7028" s="8">
        <f>E7027+(0-53.75)</f>
        <v>8445625.9299994987</v>
      </c>
    </row>
    <row r="7029" spans="1:5" x14ac:dyDescent="0.25">
      <c r="A7029" s="2" t="s">
        <v>242</v>
      </c>
      <c r="B7029" s="6">
        <v>44252</v>
      </c>
      <c r="C7029" s="2" t="s">
        <v>16</v>
      </c>
      <c r="D7029" s="8">
        <v>-50</v>
      </c>
      <c r="E7029" s="8">
        <f>E7028+(0-50)</f>
        <v>8445575.9299994987</v>
      </c>
    </row>
    <row r="7030" spans="1:5" x14ac:dyDescent="0.25">
      <c r="A7030" s="2" t="s">
        <v>242</v>
      </c>
      <c r="B7030" s="6">
        <v>44252</v>
      </c>
      <c r="C7030" s="2" t="s">
        <v>16</v>
      </c>
      <c r="D7030" s="8">
        <v>-300</v>
      </c>
      <c r="E7030" s="8">
        <f>E7029+(0-300)</f>
        <v>8445275.9299994987</v>
      </c>
    </row>
    <row r="7031" spans="1:5" x14ac:dyDescent="0.25">
      <c r="A7031" s="2" t="s">
        <v>242</v>
      </c>
      <c r="B7031" s="6">
        <v>44253</v>
      </c>
      <c r="C7031" s="2" t="s">
        <v>17</v>
      </c>
      <c r="D7031" s="8">
        <v>-44</v>
      </c>
      <c r="E7031" s="8">
        <f>E7030+(0-44)</f>
        <v>8445231.9299994987</v>
      </c>
    </row>
    <row r="7032" spans="1:5" x14ac:dyDescent="0.25">
      <c r="A7032" s="2" t="s">
        <v>242</v>
      </c>
      <c r="B7032" s="6">
        <v>44253</v>
      </c>
      <c r="C7032" s="2" t="s">
        <v>17</v>
      </c>
      <c r="D7032" s="8">
        <v>-84</v>
      </c>
      <c r="E7032" s="8">
        <f>E7031+(0-84)</f>
        <v>8445147.9299994987</v>
      </c>
    </row>
    <row r="7033" spans="1:5" x14ac:dyDescent="0.25">
      <c r="A7033" s="2" t="s">
        <v>242</v>
      </c>
      <c r="B7033" s="6">
        <v>44253</v>
      </c>
      <c r="C7033" s="2" t="s">
        <v>32</v>
      </c>
      <c r="D7033" s="8">
        <v>-53.75</v>
      </c>
      <c r="E7033" s="8">
        <f>E7032+(0-53.75)</f>
        <v>8445094.1799994987</v>
      </c>
    </row>
    <row r="7034" spans="1:5" x14ac:dyDescent="0.25">
      <c r="A7034" s="2" t="s">
        <v>242</v>
      </c>
      <c r="B7034" s="6">
        <v>44253</v>
      </c>
      <c r="C7034" s="2" t="s">
        <v>395</v>
      </c>
      <c r="D7034" s="8">
        <v>-26.88</v>
      </c>
      <c r="E7034" s="8">
        <f>E7033+(0-26.88)</f>
        <v>8445067.2999994978</v>
      </c>
    </row>
    <row r="7035" spans="1:5" x14ac:dyDescent="0.25">
      <c r="A7035" s="2" t="s">
        <v>242</v>
      </c>
      <c r="B7035" s="6">
        <v>44253</v>
      </c>
      <c r="C7035" s="2" t="s">
        <v>396</v>
      </c>
      <c r="D7035" s="8">
        <v>-53.75</v>
      </c>
      <c r="E7035" s="8">
        <f>E7034+(0-53.75)</f>
        <v>8445013.5499994978</v>
      </c>
    </row>
    <row r="7036" spans="1:5" x14ac:dyDescent="0.25">
      <c r="A7036" s="2" t="s">
        <v>242</v>
      </c>
      <c r="B7036" s="6">
        <v>44253</v>
      </c>
      <c r="C7036" s="2" t="s">
        <v>16</v>
      </c>
      <c r="D7036" s="8">
        <v>-100</v>
      </c>
      <c r="E7036" s="8">
        <f>E7035+(0-100)</f>
        <v>8444913.5499994978</v>
      </c>
    </row>
    <row r="7037" spans="1:5" x14ac:dyDescent="0.25">
      <c r="A7037" s="2" t="s">
        <v>242</v>
      </c>
      <c r="B7037" s="6">
        <v>44253</v>
      </c>
      <c r="C7037" s="2" t="s">
        <v>16</v>
      </c>
      <c r="D7037" s="8">
        <v>-150</v>
      </c>
      <c r="E7037" s="8">
        <f>E7036+(0-150)</f>
        <v>8444763.5499994978</v>
      </c>
    </row>
    <row r="7038" spans="1:5" x14ac:dyDescent="0.25">
      <c r="A7038" s="2" t="s">
        <v>242</v>
      </c>
      <c r="B7038" s="6">
        <v>44256</v>
      </c>
      <c r="C7038" s="2" t="s">
        <v>17</v>
      </c>
      <c r="D7038" s="8">
        <v>-52</v>
      </c>
      <c r="E7038" s="8">
        <f>E7037+(0-52)</f>
        <v>8444711.5499994978</v>
      </c>
    </row>
    <row r="7039" spans="1:5" x14ac:dyDescent="0.25">
      <c r="A7039" s="2" t="s">
        <v>242</v>
      </c>
      <c r="B7039" s="6">
        <v>44256</v>
      </c>
      <c r="C7039" s="2" t="s">
        <v>397</v>
      </c>
      <c r="D7039" s="8">
        <v>-53.75</v>
      </c>
      <c r="E7039" s="8">
        <f>E7038+(0-53.75)</f>
        <v>8444657.7999994978</v>
      </c>
    </row>
    <row r="7040" spans="1:5" x14ac:dyDescent="0.25">
      <c r="A7040" s="2" t="s">
        <v>242</v>
      </c>
      <c r="B7040" s="6">
        <v>44256</v>
      </c>
      <c r="C7040" s="2" t="s">
        <v>16</v>
      </c>
      <c r="D7040" s="8">
        <v>-450</v>
      </c>
      <c r="E7040" s="8">
        <f>E7039+(0-450)</f>
        <v>8444207.7999994978</v>
      </c>
    </row>
    <row r="7041" spans="1:5" x14ac:dyDescent="0.25">
      <c r="A7041" s="2" t="s">
        <v>242</v>
      </c>
      <c r="B7041" s="6">
        <v>44257</v>
      </c>
      <c r="C7041" s="2" t="s">
        <v>17</v>
      </c>
      <c r="D7041" s="8">
        <v>-4</v>
      </c>
      <c r="E7041" s="8">
        <f>E7040+(0-4)</f>
        <v>8444203.7999994978</v>
      </c>
    </row>
    <row r="7042" spans="1:5" x14ac:dyDescent="0.25">
      <c r="A7042" s="2" t="s">
        <v>242</v>
      </c>
      <c r="B7042" s="6">
        <v>44257</v>
      </c>
      <c r="C7042" s="2" t="s">
        <v>17</v>
      </c>
      <c r="D7042" s="8">
        <v>-4</v>
      </c>
      <c r="E7042" s="8">
        <f>E7041+(0-4)</f>
        <v>8444199.7999994978</v>
      </c>
    </row>
    <row r="7043" spans="1:5" x14ac:dyDescent="0.25">
      <c r="A7043" s="2" t="s">
        <v>242</v>
      </c>
      <c r="B7043" s="6">
        <v>44257</v>
      </c>
      <c r="C7043" s="2" t="s">
        <v>369</v>
      </c>
      <c r="D7043" s="8">
        <v>-53.75</v>
      </c>
      <c r="E7043" s="8">
        <f>E7042+(0-53.75)</f>
        <v>8444146.0499994978</v>
      </c>
    </row>
    <row r="7044" spans="1:5" x14ac:dyDescent="0.25">
      <c r="A7044" s="2" t="s">
        <v>242</v>
      </c>
      <c r="B7044" s="6">
        <v>44257</v>
      </c>
      <c r="C7044" s="2" t="s">
        <v>398</v>
      </c>
      <c r="D7044" s="8">
        <v>-53.75</v>
      </c>
      <c r="E7044" s="8">
        <f>E7043+(0-53.75)</f>
        <v>8444092.2999994978</v>
      </c>
    </row>
    <row r="7045" spans="1:5" x14ac:dyDescent="0.25">
      <c r="A7045" s="2" t="s">
        <v>242</v>
      </c>
      <c r="B7045" s="6">
        <v>44257</v>
      </c>
      <c r="C7045" s="2" t="s">
        <v>16</v>
      </c>
      <c r="D7045" s="8">
        <v>-50</v>
      </c>
      <c r="E7045" s="8">
        <f>E7044+(0-50)</f>
        <v>8444042.2999994978</v>
      </c>
    </row>
    <row r="7046" spans="1:5" x14ac:dyDescent="0.25">
      <c r="A7046" s="2" t="s">
        <v>242</v>
      </c>
      <c r="B7046" s="6">
        <v>44257</v>
      </c>
      <c r="C7046" s="2" t="s">
        <v>16</v>
      </c>
      <c r="D7046" s="8">
        <v>-250</v>
      </c>
      <c r="E7046" s="8">
        <f>E7045+(0-250)</f>
        <v>8443792.2999994978</v>
      </c>
    </row>
    <row r="7047" spans="1:5" x14ac:dyDescent="0.25">
      <c r="A7047" s="2" t="s">
        <v>242</v>
      </c>
      <c r="B7047" s="6">
        <v>44258</v>
      </c>
      <c r="C7047" s="2" t="s">
        <v>399</v>
      </c>
      <c r="D7047" s="8">
        <v>-53.75</v>
      </c>
      <c r="E7047" s="8">
        <f>E7046+(0-53.75)</f>
        <v>8443738.5499994978</v>
      </c>
    </row>
    <row r="7048" spans="1:5" x14ac:dyDescent="0.25">
      <c r="A7048" s="2" t="s">
        <v>242</v>
      </c>
      <c r="B7048" s="6">
        <v>44258</v>
      </c>
      <c r="C7048" s="2" t="s">
        <v>16</v>
      </c>
      <c r="D7048" s="8">
        <v>-50</v>
      </c>
      <c r="E7048" s="8">
        <f>E7047+(0-50)</f>
        <v>8443688.5499994978</v>
      </c>
    </row>
    <row r="7049" spans="1:5" x14ac:dyDescent="0.25">
      <c r="A7049" s="2" t="s">
        <v>242</v>
      </c>
      <c r="B7049" s="6">
        <v>44258</v>
      </c>
      <c r="C7049" s="2" t="s">
        <v>16</v>
      </c>
      <c r="D7049" s="8">
        <v>-350</v>
      </c>
      <c r="E7049" s="8">
        <f>E7048+(0-350)</f>
        <v>8443338.5499994978</v>
      </c>
    </row>
    <row r="7050" spans="1:5" x14ac:dyDescent="0.25">
      <c r="A7050" s="2" t="s">
        <v>242</v>
      </c>
      <c r="B7050" s="6">
        <v>44259</v>
      </c>
      <c r="C7050" s="2" t="s">
        <v>400</v>
      </c>
      <c r="D7050" s="8">
        <v>-53.75</v>
      </c>
      <c r="E7050" s="8">
        <f>E7049+(0-53.75)</f>
        <v>8443284.7999994978</v>
      </c>
    </row>
    <row r="7051" spans="1:5" x14ac:dyDescent="0.25">
      <c r="A7051" s="2" t="s">
        <v>242</v>
      </c>
      <c r="B7051" s="6">
        <v>44259</v>
      </c>
      <c r="C7051" s="2" t="s">
        <v>31</v>
      </c>
      <c r="D7051" s="8">
        <v>-53.75</v>
      </c>
      <c r="E7051" s="8">
        <f>E7050+(0-53.75)</f>
        <v>8443231.0499994978</v>
      </c>
    </row>
    <row r="7052" spans="1:5" x14ac:dyDescent="0.25">
      <c r="A7052" s="2" t="s">
        <v>242</v>
      </c>
      <c r="B7052" s="6">
        <v>44259</v>
      </c>
      <c r="C7052" s="2" t="s">
        <v>16</v>
      </c>
      <c r="D7052" s="8">
        <v>-50</v>
      </c>
      <c r="E7052" s="8">
        <f>E7051+(0-50)</f>
        <v>8443181.0499994978</v>
      </c>
    </row>
    <row r="7053" spans="1:5" x14ac:dyDescent="0.25">
      <c r="A7053" s="2" t="s">
        <v>242</v>
      </c>
      <c r="B7053" s="6">
        <v>44259</v>
      </c>
      <c r="C7053" s="2" t="s">
        <v>16</v>
      </c>
      <c r="D7053" s="8">
        <v>-450</v>
      </c>
      <c r="E7053" s="8">
        <f>E7052+(0-450)</f>
        <v>8442731.0499994978</v>
      </c>
    </row>
    <row r="7054" spans="1:5" x14ac:dyDescent="0.25">
      <c r="A7054" s="2" t="s">
        <v>242</v>
      </c>
      <c r="B7054" s="6">
        <v>44260</v>
      </c>
      <c r="C7054" s="2" t="s">
        <v>17</v>
      </c>
      <c r="D7054" s="8">
        <v>-56</v>
      </c>
      <c r="E7054" s="8">
        <f>E7053+(0-56)</f>
        <v>8442675.0499994978</v>
      </c>
    </row>
    <row r="7055" spans="1:5" x14ac:dyDescent="0.25">
      <c r="A7055" s="2" t="s">
        <v>242</v>
      </c>
      <c r="B7055" s="6">
        <v>44260</v>
      </c>
      <c r="C7055" s="2" t="s">
        <v>17</v>
      </c>
      <c r="D7055" s="8">
        <v>-68</v>
      </c>
      <c r="E7055" s="8">
        <f>E7054+(0-68)</f>
        <v>8442607.0499994978</v>
      </c>
    </row>
    <row r="7056" spans="1:5" x14ac:dyDescent="0.25">
      <c r="A7056" s="2" t="s">
        <v>242</v>
      </c>
      <c r="B7056" s="6">
        <v>44260</v>
      </c>
      <c r="C7056" s="2" t="s">
        <v>17</v>
      </c>
      <c r="D7056" s="8">
        <v>-48</v>
      </c>
      <c r="E7056" s="8">
        <f>E7055+(0-48)</f>
        <v>8442559.0499994978</v>
      </c>
    </row>
    <row r="7057" spans="1:5" x14ac:dyDescent="0.25">
      <c r="A7057" s="2" t="s">
        <v>242</v>
      </c>
      <c r="B7057" s="6">
        <v>44260</v>
      </c>
      <c r="C7057" s="2" t="s">
        <v>16</v>
      </c>
      <c r="D7057" s="8">
        <v>-50</v>
      </c>
      <c r="E7057" s="8">
        <f>E7056+(0-50)</f>
        <v>8442509.0499994978</v>
      </c>
    </row>
    <row r="7058" spans="1:5" x14ac:dyDescent="0.25">
      <c r="A7058" s="2" t="s">
        <v>242</v>
      </c>
      <c r="B7058" s="6">
        <v>44260</v>
      </c>
      <c r="C7058" s="2" t="s">
        <v>17</v>
      </c>
      <c r="D7058" s="8">
        <v>-72</v>
      </c>
      <c r="E7058" s="8">
        <f>E7057+(0-72)</f>
        <v>8442437.0499994978</v>
      </c>
    </row>
    <row r="7059" spans="1:5" x14ac:dyDescent="0.25">
      <c r="A7059" s="2" t="s">
        <v>242</v>
      </c>
      <c r="B7059" s="6">
        <v>44260</v>
      </c>
      <c r="C7059" s="2" t="s">
        <v>16</v>
      </c>
      <c r="D7059" s="8">
        <v>-300</v>
      </c>
      <c r="E7059" s="8">
        <f>E7058+(0-300)</f>
        <v>8442137.0499994978</v>
      </c>
    </row>
    <row r="7060" spans="1:5" x14ac:dyDescent="0.25">
      <c r="A7060" s="2" t="s">
        <v>242</v>
      </c>
      <c r="B7060" s="6">
        <v>44263</v>
      </c>
      <c r="C7060" s="2" t="s">
        <v>17</v>
      </c>
      <c r="D7060" s="8">
        <v>-36</v>
      </c>
      <c r="E7060" s="8">
        <f>E7059+(0-36)</f>
        <v>8442101.0499994978</v>
      </c>
    </row>
    <row r="7061" spans="1:5" x14ac:dyDescent="0.25">
      <c r="A7061" s="2" t="s">
        <v>242</v>
      </c>
      <c r="B7061" s="6">
        <v>44263</v>
      </c>
      <c r="C7061" s="2" t="s">
        <v>17</v>
      </c>
      <c r="D7061" s="8">
        <v>-4</v>
      </c>
      <c r="E7061" s="8">
        <f>E7060+(0-4)</f>
        <v>8442097.0499994978</v>
      </c>
    </row>
    <row r="7062" spans="1:5" x14ac:dyDescent="0.25">
      <c r="A7062" s="2" t="s">
        <v>242</v>
      </c>
      <c r="B7062" s="6">
        <v>44263</v>
      </c>
      <c r="C7062" s="2" t="s">
        <v>401</v>
      </c>
      <c r="D7062" s="8">
        <v>-53.75</v>
      </c>
      <c r="E7062" s="8">
        <f>E7061+(0-53.75)</f>
        <v>8442043.2999994978</v>
      </c>
    </row>
    <row r="7063" spans="1:5" x14ac:dyDescent="0.25">
      <c r="A7063" s="2" t="s">
        <v>242</v>
      </c>
      <c r="B7063" s="6">
        <v>44263</v>
      </c>
      <c r="C7063" s="2" t="s">
        <v>17</v>
      </c>
      <c r="D7063" s="8">
        <v>-4</v>
      </c>
      <c r="E7063" s="8">
        <f>E7062+(0-4)</f>
        <v>8442039.2999994978</v>
      </c>
    </row>
    <row r="7064" spans="1:5" x14ac:dyDescent="0.25">
      <c r="A7064" s="2" t="s">
        <v>242</v>
      </c>
      <c r="B7064" s="6">
        <v>44263</v>
      </c>
      <c r="C7064" s="2" t="s">
        <v>17</v>
      </c>
      <c r="D7064" s="8">
        <v>-60</v>
      </c>
      <c r="E7064" s="8">
        <f>E7063+(0-60)</f>
        <v>8441979.2999994978</v>
      </c>
    </row>
    <row r="7065" spans="1:5" x14ac:dyDescent="0.25">
      <c r="A7065" s="2" t="s">
        <v>242</v>
      </c>
      <c r="B7065" s="6">
        <v>44263</v>
      </c>
      <c r="C7065" s="2" t="s">
        <v>16</v>
      </c>
      <c r="D7065" s="8">
        <v>-450</v>
      </c>
      <c r="E7065" s="8">
        <f>E7064+(0-450)</f>
        <v>8441529.2999994978</v>
      </c>
    </row>
    <row r="7066" spans="1:5" x14ac:dyDescent="0.25">
      <c r="A7066" s="2" t="s">
        <v>242</v>
      </c>
      <c r="B7066" s="6">
        <v>44277</v>
      </c>
      <c r="C7066" s="2" t="s">
        <v>17</v>
      </c>
      <c r="D7066" s="8">
        <v>-44</v>
      </c>
      <c r="E7066" s="8">
        <f>E7065+(0-44)</f>
        <v>8441485.2999994978</v>
      </c>
    </row>
    <row r="7067" spans="1:5" x14ac:dyDescent="0.25">
      <c r="A7067" s="2" t="s">
        <v>242</v>
      </c>
      <c r="B7067" s="6">
        <v>44277</v>
      </c>
      <c r="C7067" s="2" t="s">
        <v>17</v>
      </c>
      <c r="D7067" s="8">
        <v>-40</v>
      </c>
      <c r="E7067" s="8">
        <f>E7066+(0-40)</f>
        <v>8441445.2999994978</v>
      </c>
    </row>
    <row r="7068" spans="1:5" x14ac:dyDescent="0.25">
      <c r="A7068" s="2" t="s">
        <v>242</v>
      </c>
      <c r="B7068" s="6">
        <v>44277</v>
      </c>
      <c r="C7068" s="2" t="s">
        <v>24</v>
      </c>
      <c r="D7068" s="8">
        <v>-200</v>
      </c>
      <c r="E7068" s="8">
        <f>E7067+(0-200)</f>
        <v>8441245.2999994978</v>
      </c>
    </row>
    <row r="7069" spans="1:5" x14ac:dyDescent="0.25">
      <c r="A7069" s="2" t="s">
        <v>242</v>
      </c>
      <c r="B7069" s="6">
        <v>44278</v>
      </c>
      <c r="C7069" s="2" t="s">
        <v>17</v>
      </c>
      <c r="D7069" s="8">
        <v>-60</v>
      </c>
      <c r="E7069" s="8">
        <f>E7068+(0-60)</f>
        <v>8441185.2999994978</v>
      </c>
    </row>
    <row r="7070" spans="1:5" x14ac:dyDescent="0.25">
      <c r="A7070" s="2" t="s">
        <v>242</v>
      </c>
      <c r="B7070" s="6">
        <v>44278</v>
      </c>
      <c r="C7070" s="2" t="s">
        <v>402</v>
      </c>
      <c r="D7070" s="8">
        <v>-53.75</v>
      </c>
      <c r="E7070" s="8">
        <f>E7069+(0-53.75)</f>
        <v>8441131.5499994978</v>
      </c>
    </row>
    <row r="7071" spans="1:5" x14ac:dyDescent="0.25">
      <c r="A7071" s="2" t="s">
        <v>242</v>
      </c>
      <c r="B7071" s="6">
        <v>44278</v>
      </c>
      <c r="C7071" s="2" t="s">
        <v>17</v>
      </c>
      <c r="D7071" s="8">
        <v>-44</v>
      </c>
      <c r="E7071" s="8">
        <f>E7070+(0-44)</f>
        <v>8441087.5499994978</v>
      </c>
    </row>
    <row r="7072" spans="1:5" x14ac:dyDescent="0.25">
      <c r="A7072" s="2" t="s">
        <v>242</v>
      </c>
      <c r="B7072" s="6">
        <v>44278</v>
      </c>
      <c r="C7072" s="2" t="s">
        <v>24</v>
      </c>
      <c r="D7072" s="8">
        <v>-50</v>
      </c>
      <c r="E7072" s="8">
        <f>E7071+(0-50)</f>
        <v>8441037.5499994978</v>
      </c>
    </row>
    <row r="7073" spans="1:5" x14ac:dyDescent="0.25">
      <c r="A7073" s="2" t="s">
        <v>242</v>
      </c>
      <c r="B7073" s="6">
        <v>44278</v>
      </c>
      <c r="C7073" s="2" t="s">
        <v>17</v>
      </c>
      <c r="D7073" s="8">
        <v>-8</v>
      </c>
      <c r="E7073" s="8">
        <f>E7072+(0-8)</f>
        <v>8441029.5499994978</v>
      </c>
    </row>
    <row r="7074" spans="1:5" x14ac:dyDescent="0.25">
      <c r="A7074" s="2" t="s">
        <v>242</v>
      </c>
      <c r="B7074" s="6">
        <v>44278</v>
      </c>
      <c r="C7074" s="2" t="s">
        <v>24</v>
      </c>
      <c r="D7074" s="8">
        <v>-50</v>
      </c>
      <c r="E7074" s="8">
        <f>E7073+(0-50)</f>
        <v>8440979.5499994978</v>
      </c>
    </row>
    <row r="7075" spans="1:5" x14ac:dyDescent="0.25">
      <c r="A7075" s="2" t="s">
        <v>242</v>
      </c>
      <c r="B7075" s="6">
        <v>44278</v>
      </c>
      <c r="C7075" s="2" t="s">
        <v>24</v>
      </c>
      <c r="D7075" s="8">
        <v>-50</v>
      </c>
      <c r="E7075" s="8">
        <f>E7074+(0-50)</f>
        <v>8440929.5499994978</v>
      </c>
    </row>
    <row r="7076" spans="1:5" x14ac:dyDescent="0.25">
      <c r="A7076" s="2" t="s">
        <v>242</v>
      </c>
      <c r="B7076" s="6">
        <v>44278</v>
      </c>
      <c r="C7076" s="2" t="s">
        <v>24</v>
      </c>
      <c r="D7076" s="8">
        <v>-200</v>
      </c>
      <c r="E7076" s="8">
        <f>E7075+(0-200)</f>
        <v>8440729.5499994978</v>
      </c>
    </row>
    <row r="7077" spans="1:5" x14ac:dyDescent="0.25">
      <c r="A7077" s="2" t="s">
        <v>242</v>
      </c>
      <c r="B7077" s="6">
        <v>44278</v>
      </c>
      <c r="C7077" s="2" t="s">
        <v>17</v>
      </c>
      <c r="D7077" s="8">
        <v>-56</v>
      </c>
      <c r="E7077" s="8">
        <f>E7076+(0-56)</f>
        <v>8440673.5499994978</v>
      </c>
    </row>
    <row r="7078" spans="1:5" x14ac:dyDescent="0.25">
      <c r="A7078" s="2" t="s">
        <v>242</v>
      </c>
      <c r="B7078" s="6">
        <v>44278</v>
      </c>
      <c r="C7078" s="2" t="s">
        <v>17</v>
      </c>
      <c r="D7078" s="8">
        <v>-68</v>
      </c>
      <c r="E7078" s="8">
        <f>E7077+(0-68)</f>
        <v>8440605.5499994978</v>
      </c>
    </row>
    <row r="7079" spans="1:5" x14ac:dyDescent="0.25">
      <c r="A7079" s="2" t="s">
        <v>242</v>
      </c>
      <c r="B7079" s="6">
        <v>44279</v>
      </c>
      <c r="C7079" s="2" t="s">
        <v>386</v>
      </c>
      <c r="D7079" s="8">
        <v>-53.75</v>
      </c>
      <c r="E7079" s="8">
        <f>E7078+(0-53.75)</f>
        <v>8440551.7999994978</v>
      </c>
    </row>
    <row r="7080" spans="1:5" x14ac:dyDescent="0.25">
      <c r="A7080" s="2" t="s">
        <v>242</v>
      </c>
      <c r="B7080" s="6">
        <v>44279</v>
      </c>
      <c r="C7080" s="2" t="s">
        <v>28</v>
      </c>
      <c r="D7080" s="8">
        <v>-53.75</v>
      </c>
      <c r="E7080" s="8">
        <f>E7079+(0-53.75)</f>
        <v>8440498.0499994978</v>
      </c>
    </row>
    <row r="7081" spans="1:5" x14ac:dyDescent="0.25">
      <c r="A7081" s="2" t="s">
        <v>242</v>
      </c>
      <c r="B7081" s="6">
        <v>44279</v>
      </c>
      <c r="C7081" s="2" t="s">
        <v>17</v>
      </c>
      <c r="D7081" s="8">
        <v>-20</v>
      </c>
      <c r="E7081" s="8">
        <f>E7080+(0-20)</f>
        <v>8440478.0499994978</v>
      </c>
    </row>
    <row r="7082" spans="1:5" x14ac:dyDescent="0.25">
      <c r="A7082" s="2" t="s">
        <v>242</v>
      </c>
      <c r="B7082" s="6">
        <v>44279</v>
      </c>
      <c r="C7082" s="2" t="s">
        <v>24</v>
      </c>
      <c r="D7082" s="8">
        <v>-50</v>
      </c>
      <c r="E7082" s="8">
        <f>E7081+(0-50)</f>
        <v>8440428.0499994978</v>
      </c>
    </row>
    <row r="7083" spans="1:5" x14ac:dyDescent="0.25">
      <c r="A7083" s="2" t="s">
        <v>242</v>
      </c>
      <c r="B7083" s="6">
        <v>44279</v>
      </c>
      <c r="C7083" s="2" t="s">
        <v>24</v>
      </c>
      <c r="D7083" s="8">
        <v>-50</v>
      </c>
      <c r="E7083" s="8">
        <f>E7082+(0-50)</f>
        <v>8440378.0499994978</v>
      </c>
    </row>
    <row r="7084" spans="1:5" x14ac:dyDescent="0.25">
      <c r="A7084" s="2" t="s">
        <v>242</v>
      </c>
      <c r="B7084" s="6">
        <v>44279</v>
      </c>
      <c r="C7084" s="2" t="s">
        <v>17</v>
      </c>
      <c r="D7084" s="8">
        <v>-44</v>
      </c>
      <c r="E7084" s="8">
        <f>E7083+(0-44)</f>
        <v>8440334.0499994978</v>
      </c>
    </row>
    <row r="7085" spans="1:5" x14ac:dyDescent="0.25">
      <c r="A7085" s="2" t="s">
        <v>242</v>
      </c>
      <c r="B7085" s="6">
        <v>44280</v>
      </c>
      <c r="C7085" s="2" t="s">
        <v>403</v>
      </c>
      <c r="D7085" s="8">
        <v>-53.75</v>
      </c>
      <c r="E7085" s="8">
        <f>E7084+(0-53.75)</f>
        <v>8440280.2999994978</v>
      </c>
    </row>
    <row r="7086" spans="1:5" x14ac:dyDescent="0.25">
      <c r="A7086" s="2" t="s">
        <v>242</v>
      </c>
      <c r="B7086" s="6">
        <v>44280</v>
      </c>
      <c r="C7086" s="2" t="s">
        <v>17</v>
      </c>
      <c r="D7086" s="8">
        <v>-68</v>
      </c>
      <c r="E7086" s="8">
        <f>E7085+(0-68)</f>
        <v>8440212.2999994978</v>
      </c>
    </row>
    <row r="7087" spans="1:5" x14ac:dyDescent="0.25">
      <c r="A7087" s="2" t="s">
        <v>242</v>
      </c>
      <c r="B7087" s="6">
        <v>44280</v>
      </c>
      <c r="C7087" s="2" t="s">
        <v>404</v>
      </c>
      <c r="D7087" s="8">
        <v>-53.75</v>
      </c>
      <c r="E7087" s="8">
        <f>E7086+(0-53.75)</f>
        <v>8440158.5499994978</v>
      </c>
    </row>
    <row r="7088" spans="1:5" x14ac:dyDescent="0.25">
      <c r="A7088" s="2" t="s">
        <v>242</v>
      </c>
      <c r="B7088" s="6">
        <v>44280</v>
      </c>
      <c r="C7088" s="2" t="s">
        <v>24</v>
      </c>
      <c r="D7088" s="8">
        <v>-100</v>
      </c>
      <c r="E7088" s="8">
        <f>E7087+(0-100)</f>
        <v>8440058.5499994978</v>
      </c>
    </row>
    <row r="7089" spans="1:5" x14ac:dyDescent="0.25">
      <c r="A7089" s="2" t="s">
        <v>242</v>
      </c>
      <c r="B7089" s="6">
        <v>44280</v>
      </c>
      <c r="C7089" s="2" t="s">
        <v>24</v>
      </c>
      <c r="D7089" s="8">
        <v>-250</v>
      </c>
      <c r="E7089" s="8">
        <f>E7088+(0-250)</f>
        <v>8439808.5499994978</v>
      </c>
    </row>
    <row r="7090" spans="1:5" x14ac:dyDescent="0.25">
      <c r="A7090" s="2" t="s">
        <v>242</v>
      </c>
      <c r="B7090" s="6">
        <v>44281</v>
      </c>
      <c r="C7090" s="2" t="s">
        <v>19</v>
      </c>
      <c r="D7090" s="8">
        <v>-32</v>
      </c>
      <c r="E7090" s="8">
        <f>E7089+(0-32)</f>
        <v>8439776.5499994978</v>
      </c>
    </row>
    <row r="7091" spans="1:5" x14ac:dyDescent="0.25">
      <c r="A7091" s="2" t="s">
        <v>242</v>
      </c>
      <c r="B7091" s="6">
        <v>44281</v>
      </c>
      <c r="C7091" s="2" t="s">
        <v>17</v>
      </c>
      <c r="D7091" s="8">
        <v>-40</v>
      </c>
      <c r="E7091" s="8">
        <f>E7090+(0-40)</f>
        <v>8439736.5499994978</v>
      </c>
    </row>
    <row r="7092" spans="1:5" x14ac:dyDescent="0.25">
      <c r="A7092" s="2" t="s">
        <v>242</v>
      </c>
      <c r="B7092" s="6">
        <v>44281</v>
      </c>
      <c r="C7092" s="2" t="s">
        <v>24</v>
      </c>
      <c r="D7092" s="8">
        <v>-50</v>
      </c>
      <c r="E7092" s="8">
        <f>E7091+(0-50)</f>
        <v>8439686.5499994978</v>
      </c>
    </row>
    <row r="7093" spans="1:5" x14ac:dyDescent="0.25">
      <c r="A7093" s="2" t="s">
        <v>242</v>
      </c>
      <c r="B7093" s="6">
        <v>44281</v>
      </c>
      <c r="C7093" s="2" t="s">
        <v>24</v>
      </c>
      <c r="D7093" s="8">
        <v>-150</v>
      </c>
      <c r="E7093" s="8">
        <f>E7092+(0-150)</f>
        <v>8439536.5499994978</v>
      </c>
    </row>
    <row r="7094" spans="1:5" x14ac:dyDescent="0.25">
      <c r="A7094" s="2" t="s">
        <v>242</v>
      </c>
      <c r="B7094" s="6">
        <v>44281</v>
      </c>
      <c r="C7094" s="2" t="s">
        <v>24</v>
      </c>
      <c r="D7094" s="8">
        <v>-50</v>
      </c>
      <c r="E7094" s="8">
        <f>E7093+(0-50)</f>
        <v>8439486.5499994978</v>
      </c>
    </row>
    <row r="7095" spans="1:5" x14ac:dyDescent="0.25">
      <c r="A7095" s="2" t="s">
        <v>242</v>
      </c>
      <c r="B7095" s="6">
        <v>44281</v>
      </c>
      <c r="C7095" s="2" t="s">
        <v>17</v>
      </c>
      <c r="D7095" s="8">
        <v>-56</v>
      </c>
      <c r="E7095" s="8">
        <f>E7094+(0-56)</f>
        <v>8439430.5499994978</v>
      </c>
    </row>
    <row r="7096" spans="1:5" x14ac:dyDescent="0.25">
      <c r="A7096" s="2" t="s">
        <v>242</v>
      </c>
      <c r="B7096" s="6">
        <v>44284</v>
      </c>
      <c r="C7096" s="2" t="s">
        <v>17</v>
      </c>
      <c r="D7096" s="8">
        <v>-54</v>
      </c>
      <c r="E7096" s="8">
        <f>E7095+(0-54)</f>
        <v>8439376.5499994978</v>
      </c>
    </row>
    <row r="7097" spans="1:5" x14ac:dyDescent="0.25">
      <c r="A7097" s="2" t="s">
        <v>242</v>
      </c>
      <c r="B7097" s="6">
        <v>44284</v>
      </c>
      <c r="C7097" s="2" t="s">
        <v>17</v>
      </c>
      <c r="D7097" s="8">
        <v>-28</v>
      </c>
      <c r="E7097" s="8">
        <f>E7096+(0-28)</f>
        <v>8439348.5499994978</v>
      </c>
    </row>
    <row r="7098" spans="1:5" x14ac:dyDescent="0.25">
      <c r="A7098" s="2" t="s">
        <v>242</v>
      </c>
      <c r="B7098" s="6">
        <v>44284</v>
      </c>
      <c r="C7098" s="2" t="s">
        <v>24</v>
      </c>
      <c r="D7098" s="8">
        <v>-300</v>
      </c>
      <c r="E7098" s="8">
        <f>E7097+(0-300)</f>
        <v>8439048.5499994978</v>
      </c>
    </row>
    <row r="7099" spans="1:5" x14ac:dyDescent="0.25">
      <c r="A7099" s="2" t="s">
        <v>242</v>
      </c>
      <c r="B7099" s="6">
        <v>44284</v>
      </c>
      <c r="C7099" s="2" t="s">
        <v>24</v>
      </c>
      <c r="D7099" s="8">
        <v>-50</v>
      </c>
      <c r="E7099" s="8">
        <f>E7098+(0-50)</f>
        <v>8438998.5499994978</v>
      </c>
    </row>
    <row r="7100" spans="1:5" x14ac:dyDescent="0.25">
      <c r="A7100" s="2" t="s">
        <v>242</v>
      </c>
      <c r="B7100" s="6">
        <v>44285</v>
      </c>
      <c r="C7100" s="2" t="s">
        <v>405</v>
      </c>
      <c r="D7100" s="8">
        <v>-53.75</v>
      </c>
      <c r="E7100" s="8">
        <f>E7099+(0-53.75)</f>
        <v>8438944.7999994978</v>
      </c>
    </row>
    <row r="7101" spans="1:5" x14ac:dyDescent="0.25">
      <c r="A7101" s="2" t="s">
        <v>242</v>
      </c>
      <c r="B7101" s="6">
        <v>44285</v>
      </c>
      <c r="C7101" s="2" t="s">
        <v>32</v>
      </c>
      <c r="D7101" s="8">
        <v>-53.75</v>
      </c>
      <c r="E7101" s="8">
        <f>E7100+(0-53.75)</f>
        <v>8438891.0499994978</v>
      </c>
    </row>
    <row r="7102" spans="1:5" x14ac:dyDescent="0.25">
      <c r="A7102" s="2" t="s">
        <v>242</v>
      </c>
      <c r="B7102" s="6">
        <v>44285</v>
      </c>
      <c r="C7102" s="2" t="s">
        <v>16</v>
      </c>
      <c r="D7102" s="8">
        <v>-50</v>
      </c>
      <c r="E7102" s="8">
        <f>E7101+(0-50)</f>
        <v>8438841.0499994978</v>
      </c>
    </row>
    <row r="7103" spans="1:5" x14ac:dyDescent="0.25">
      <c r="A7103" s="2" t="s">
        <v>242</v>
      </c>
      <c r="B7103" s="6">
        <v>44285</v>
      </c>
      <c r="C7103" s="2" t="s">
        <v>16</v>
      </c>
      <c r="D7103" s="8">
        <v>-50</v>
      </c>
      <c r="E7103" s="8">
        <f>E7102+(0-50)</f>
        <v>8438791.0499994978</v>
      </c>
    </row>
    <row r="7104" spans="1:5" x14ac:dyDescent="0.25">
      <c r="A7104" s="2" t="s">
        <v>242</v>
      </c>
      <c r="B7104" s="6">
        <v>44285</v>
      </c>
      <c r="C7104" s="2" t="s">
        <v>16</v>
      </c>
      <c r="D7104" s="8">
        <v>-400</v>
      </c>
      <c r="E7104" s="8">
        <f>E7103+(0-400)</f>
        <v>8438391.0499994978</v>
      </c>
    </row>
    <row r="7105" spans="1:5" x14ac:dyDescent="0.25">
      <c r="A7105" s="2" t="s">
        <v>242</v>
      </c>
      <c r="B7105" s="6">
        <v>44286</v>
      </c>
      <c r="C7105" s="2" t="s">
        <v>406</v>
      </c>
      <c r="D7105" s="8">
        <v>-26.88</v>
      </c>
      <c r="E7105" s="8">
        <f>E7104+(0-26.88)</f>
        <v>8438364.169999497</v>
      </c>
    </row>
    <row r="7106" spans="1:5" x14ac:dyDescent="0.25">
      <c r="A7106" s="2" t="s">
        <v>242</v>
      </c>
      <c r="B7106" s="6">
        <v>44286</v>
      </c>
      <c r="C7106" s="2" t="s">
        <v>16</v>
      </c>
      <c r="D7106" s="8">
        <v>-300</v>
      </c>
      <c r="E7106" s="8">
        <f>E7105+(0-300)</f>
        <v>8438064.169999497</v>
      </c>
    </row>
    <row r="7107" spans="1:5" x14ac:dyDescent="0.25">
      <c r="A7107" s="2" t="s">
        <v>242</v>
      </c>
      <c r="B7107" s="6">
        <v>44286</v>
      </c>
      <c r="C7107" s="2" t="s">
        <v>16</v>
      </c>
      <c r="D7107" s="8">
        <v>-50</v>
      </c>
      <c r="E7107" s="8">
        <f>E7106+(0-50)</f>
        <v>8438014.169999497</v>
      </c>
    </row>
    <row r="7108" spans="1:5" x14ac:dyDescent="0.25">
      <c r="A7108" s="2" t="s">
        <v>242</v>
      </c>
      <c r="B7108" s="6">
        <v>44286</v>
      </c>
      <c r="C7108" s="2" t="s">
        <v>17</v>
      </c>
      <c r="D7108" s="8">
        <v>-52</v>
      </c>
      <c r="E7108" s="8">
        <f>E7107+(0-52)</f>
        <v>8437962.169999497</v>
      </c>
    </row>
    <row r="7109" spans="1:5" x14ac:dyDescent="0.25">
      <c r="A7109" s="2" t="s">
        <v>242</v>
      </c>
      <c r="B7109" s="6">
        <v>44300</v>
      </c>
      <c r="C7109" s="2" t="s">
        <v>24</v>
      </c>
      <c r="D7109" s="8">
        <v>-50</v>
      </c>
      <c r="E7109" s="8">
        <f>E7108+(0-50)</f>
        <v>8437912.169999497</v>
      </c>
    </row>
    <row r="7110" spans="1:5" x14ac:dyDescent="0.25">
      <c r="A7110" s="2" t="s">
        <v>242</v>
      </c>
      <c r="B7110" s="6">
        <v>44300</v>
      </c>
      <c r="C7110" s="2" t="s">
        <v>17</v>
      </c>
      <c r="D7110" s="8">
        <v>-52</v>
      </c>
      <c r="E7110" s="8">
        <f>E7109+(0-52)</f>
        <v>8437860.169999497</v>
      </c>
    </row>
    <row r="7111" spans="1:5" x14ac:dyDescent="0.25">
      <c r="A7111" s="2" t="s">
        <v>242</v>
      </c>
      <c r="B7111" s="6">
        <v>44300</v>
      </c>
      <c r="C7111" s="2" t="s">
        <v>24</v>
      </c>
      <c r="D7111" s="8">
        <v>-50</v>
      </c>
      <c r="E7111" s="8">
        <f>E7110+(0-50)</f>
        <v>8437810.169999497</v>
      </c>
    </row>
    <row r="7112" spans="1:5" x14ac:dyDescent="0.25">
      <c r="A7112" s="2" t="s">
        <v>242</v>
      </c>
      <c r="B7112" s="6">
        <v>44300</v>
      </c>
      <c r="C7112" s="2" t="s">
        <v>24</v>
      </c>
      <c r="D7112" s="8">
        <v>-150</v>
      </c>
      <c r="E7112" s="8">
        <f>E7111+(0-150)</f>
        <v>8437660.169999497</v>
      </c>
    </row>
    <row r="7113" spans="1:5" x14ac:dyDescent="0.25">
      <c r="A7113" s="2" t="s">
        <v>242</v>
      </c>
      <c r="B7113" s="6">
        <v>44300</v>
      </c>
      <c r="C7113" s="2" t="s">
        <v>24</v>
      </c>
      <c r="D7113" s="8">
        <v>-50</v>
      </c>
      <c r="E7113" s="8">
        <f>E7112+(0-50)</f>
        <v>8437610.169999497</v>
      </c>
    </row>
    <row r="7114" spans="1:5" x14ac:dyDescent="0.25">
      <c r="A7114" s="2" t="s">
        <v>242</v>
      </c>
      <c r="B7114" s="6">
        <v>44301</v>
      </c>
      <c r="C7114" s="2" t="s">
        <v>17</v>
      </c>
      <c r="D7114" s="8">
        <v>-80</v>
      </c>
      <c r="E7114" s="8">
        <f>E7113+(0-80)</f>
        <v>8437530.169999497</v>
      </c>
    </row>
    <row r="7115" spans="1:5" x14ac:dyDescent="0.25">
      <c r="A7115" s="2" t="s">
        <v>242</v>
      </c>
      <c r="B7115" s="6">
        <v>44301</v>
      </c>
      <c r="C7115" s="2" t="s">
        <v>17</v>
      </c>
      <c r="D7115" s="8">
        <v>-40</v>
      </c>
      <c r="E7115" s="8">
        <f>E7114+(0-40)</f>
        <v>8437490.169999497</v>
      </c>
    </row>
    <row r="7116" spans="1:5" x14ac:dyDescent="0.25">
      <c r="A7116" s="2" t="s">
        <v>242</v>
      </c>
      <c r="B7116" s="6">
        <v>44301</v>
      </c>
      <c r="C7116" s="2" t="s">
        <v>407</v>
      </c>
      <c r="D7116" s="8">
        <v>-50</v>
      </c>
      <c r="E7116" s="8">
        <f>E7115+(0-50)</f>
        <v>8437440.169999497</v>
      </c>
    </row>
    <row r="7117" spans="1:5" x14ac:dyDescent="0.25">
      <c r="A7117" s="2" t="s">
        <v>242</v>
      </c>
      <c r="B7117" s="6">
        <v>44301</v>
      </c>
      <c r="C7117" s="2" t="s">
        <v>24</v>
      </c>
      <c r="D7117" s="8">
        <v>-250</v>
      </c>
      <c r="E7117" s="8">
        <f>E7116+(0-250)</f>
        <v>8437190.169999497</v>
      </c>
    </row>
    <row r="7118" spans="1:5" x14ac:dyDescent="0.25">
      <c r="A7118" s="2" t="s">
        <v>242</v>
      </c>
      <c r="B7118" s="6">
        <v>44302</v>
      </c>
      <c r="C7118" s="2" t="s">
        <v>24</v>
      </c>
      <c r="D7118" s="8">
        <v>-500</v>
      </c>
      <c r="E7118" s="8">
        <f>E7117+(0-500)</f>
        <v>8436690.169999497</v>
      </c>
    </row>
    <row r="7119" spans="1:5" x14ac:dyDescent="0.25">
      <c r="A7119" s="2" t="s">
        <v>242</v>
      </c>
      <c r="B7119" s="6">
        <v>44305</v>
      </c>
      <c r="C7119" s="2" t="s">
        <v>17</v>
      </c>
      <c r="D7119" s="8">
        <v>-20</v>
      </c>
      <c r="E7119" s="8">
        <f>E7118+(0-20)</f>
        <v>8436670.169999497</v>
      </c>
    </row>
    <row r="7120" spans="1:5" x14ac:dyDescent="0.25">
      <c r="A7120" s="2" t="s">
        <v>242</v>
      </c>
      <c r="B7120" s="6">
        <v>44305</v>
      </c>
      <c r="C7120" s="2" t="s">
        <v>17</v>
      </c>
      <c r="D7120" s="8">
        <v>-84</v>
      </c>
      <c r="E7120" s="8">
        <f>E7119+(0-84)</f>
        <v>8436586.169999497</v>
      </c>
    </row>
    <row r="7121" spans="1:5" x14ac:dyDescent="0.25">
      <c r="A7121" s="2" t="s">
        <v>242</v>
      </c>
      <c r="B7121" s="6">
        <v>44305</v>
      </c>
      <c r="C7121" s="2" t="s">
        <v>24</v>
      </c>
      <c r="D7121" s="8">
        <v>-50</v>
      </c>
      <c r="E7121" s="8">
        <f>E7120+(0-50)</f>
        <v>8436536.169999497</v>
      </c>
    </row>
    <row r="7122" spans="1:5" x14ac:dyDescent="0.25">
      <c r="A7122" s="2" t="s">
        <v>242</v>
      </c>
      <c r="B7122" s="6">
        <v>44305</v>
      </c>
      <c r="C7122" s="2" t="s">
        <v>24</v>
      </c>
      <c r="D7122" s="8">
        <v>-250</v>
      </c>
      <c r="E7122" s="8">
        <f>E7121+(0-250)</f>
        <v>8436286.169999497</v>
      </c>
    </row>
    <row r="7123" spans="1:5" x14ac:dyDescent="0.25">
      <c r="A7123" s="2" t="s">
        <v>242</v>
      </c>
      <c r="B7123" s="6">
        <v>44305</v>
      </c>
      <c r="C7123" s="2" t="s">
        <v>24</v>
      </c>
      <c r="D7123" s="8">
        <v>-50</v>
      </c>
      <c r="E7123" s="8">
        <f>E7122+(0-50)</f>
        <v>8436236.169999497</v>
      </c>
    </row>
    <row r="7124" spans="1:5" x14ac:dyDescent="0.25">
      <c r="A7124" s="2" t="s">
        <v>242</v>
      </c>
      <c r="B7124" s="6">
        <v>44305</v>
      </c>
      <c r="C7124" s="2" t="s">
        <v>24</v>
      </c>
      <c r="D7124" s="8">
        <v>-350</v>
      </c>
      <c r="E7124" s="8">
        <f>E7123+(0-350)</f>
        <v>8435886.169999497</v>
      </c>
    </row>
    <row r="7125" spans="1:5" x14ac:dyDescent="0.25">
      <c r="A7125" s="2" t="s">
        <v>242</v>
      </c>
      <c r="B7125" s="6">
        <v>44306</v>
      </c>
      <c r="C7125" s="2" t="s">
        <v>24</v>
      </c>
      <c r="D7125" s="8">
        <v>-50</v>
      </c>
      <c r="E7125" s="8">
        <f>E7124+(0-50)</f>
        <v>8435836.169999497</v>
      </c>
    </row>
    <row r="7126" spans="1:5" x14ac:dyDescent="0.25">
      <c r="A7126" s="2" t="s">
        <v>242</v>
      </c>
      <c r="B7126" s="6">
        <v>44306</v>
      </c>
      <c r="C7126" s="2" t="s">
        <v>408</v>
      </c>
      <c r="D7126" s="8">
        <v>-53.75</v>
      </c>
      <c r="E7126" s="8">
        <f>E7125+(0-53.75)</f>
        <v>8435782.419999497</v>
      </c>
    </row>
    <row r="7127" spans="1:5" x14ac:dyDescent="0.25">
      <c r="A7127" s="2" t="s">
        <v>242</v>
      </c>
      <c r="B7127" s="6">
        <v>44307</v>
      </c>
      <c r="C7127" s="2" t="s">
        <v>24</v>
      </c>
      <c r="D7127" s="8">
        <v>-100</v>
      </c>
      <c r="E7127" s="8">
        <f>E7126+(0-100)</f>
        <v>8435682.419999497</v>
      </c>
    </row>
    <row r="7128" spans="1:5" x14ac:dyDescent="0.25">
      <c r="A7128" s="2" t="s">
        <v>242</v>
      </c>
      <c r="B7128" s="6">
        <v>44308</v>
      </c>
      <c r="C7128" s="2" t="s">
        <v>24</v>
      </c>
      <c r="D7128" s="8">
        <v>-100</v>
      </c>
      <c r="E7128" s="8">
        <f>E7127+(0-100)</f>
        <v>8435582.419999497</v>
      </c>
    </row>
    <row r="7129" spans="1:5" x14ac:dyDescent="0.25">
      <c r="A7129" s="2" t="s">
        <v>242</v>
      </c>
      <c r="B7129" s="6">
        <v>44308</v>
      </c>
      <c r="C7129" s="2" t="s">
        <v>24</v>
      </c>
      <c r="D7129" s="8">
        <v>-100</v>
      </c>
      <c r="E7129" s="8">
        <f>E7128+(0-100)</f>
        <v>8435482.419999497</v>
      </c>
    </row>
    <row r="7130" spans="1:5" x14ac:dyDescent="0.25">
      <c r="A7130" s="2" t="s">
        <v>242</v>
      </c>
      <c r="B7130" s="6">
        <v>44309</v>
      </c>
      <c r="C7130" s="2" t="s">
        <v>24</v>
      </c>
      <c r="D7130" s="8">
        <v>-50</v>
      </c>
      <c r="E7130" s="8">
        <f>E7129+(0-50)</f>
        <v>8435432.419999497</v>
      </c>
    </row>
    <row r="7131" spans="1:5" x14ac:dyDescent="0.25">
      <c r="A7131" s="2" t="s">
        <v>242</v>
      </c>
      <c r="B7131" s="6">
        <v>44309</v>
      </c>
      <c r="C7131" s="2" t="s">
        <v>24</v>
      </c>
      <c r="D7131" s="8">
        <v>-600</v>
      </c>
      <c r="E7131" s="8">
        <f>E7130+(0-600)</f>
        <v>8434832.419999497</v>
      </c>
    </row>
    <row r="7132" spans="1:5" x14ac:dyDescent="0.25">
      <c r="A7132" s="2" t="s">
        <v>242</v>
      </c>
      <c r="B7132" s="6">
        <v>44312</v>
      </c>
      <c r="C7132" s="2" t="s">
        <v>17</v>
      </c>
      <c r="D7132" s="8">
        <v>-4</v>
      </c>
      <c r="E7132" s="8">
        <f>E7131+(0-4)</f>
        <v>8434828.419999497</v>
      </c>
    </row>
    <row r="7133" spans="1:5" x14ac:dyDescent="0.25">
      <c r="A7133" s="2" t="s">
        <v>242</v>
      </c>
      <c r="B7133" s="6">
        <v>44312</v>
      </c>
      <c r="C7133" s="2" t="s">
        <v>17</v>
      </c>
      <c r="D7133" s="8">
        <v>-24</v>
      </c>
      <c r="E7133" s="8">
        <f>E7132+(0-24)</f>
        <v>8434804.419999497</v>
      </c>
    </row>
    <row r="7134" spans="1:5" x14ac:dyDescent="0.25">
      <c r="A7134" s="2" t="s">
        <v>242</v>
      </c>
      <c r="B7134" s="6">
        <v>44312</v>
      </c>
      <c r="C7134" s="2" t="s">
        <v>19</v>
      </c>
      <c r="D7134" s="8">
        <v>-52</v>
      </c>
      <c r="E7134" s="8">
        <f>E7133+(0-52)</f>
        <v>8434752.419999497</v>
      </c>
    </row>
    <row r="7135" spans="1:5" x14ac:dyDescent="0.25">
      <c r="A7135" s="2" t="s">
        <v>242</v>
      </c>
      <c r="B7135" s="6">
        <v>44312</v>
      </c>
      <c r="C7135" s="2" t="s">
        <v>17</v>
      </c>
      <c r="D7135" s="8">
        <v>-36</v>
      </c>
      <c r="E7135" s="8">
        <f>E7134+(0-36)</f>
        <v>8434716.419999497</v>
      </c>
    </row>
    <row r="7136" spans="1:5" x14ac:dyDescent="0.25">
      <c r="A7136" s="2" t="s">
        <v>242</v>
      </c>
      <c r="B7136" s="6">
        <v>44312</v>
      </c>
      <c r="C7136" s="2" t="s">
        <v>17</v>
      </c>
      <c r="D7136" s="8">
        <v>-44</v>
      </c>
      <c r="E7136" s="8">
        <f>E7135+(0-44)</f>
        <v>8434672.419999497</v>
      </c>
    </row>
    <row r="7137" spans="1:5" x14ac:dyDescent="0.25">
      <c r="A7137" s="2" t="s">
        <v>242</v>
      </c>
      <c r="B7137" s="6">
        <v>44312</v>
      </c>
      <c r="C7137" s="2" t="s">
        <v>17</v>
      </c>
      <c r="D7137" s="8">
        <v>-56</v>
      </c>
      <c r="E7137" s="8">
        <f>E7136+(0-56)</f>
        <v>8434616.419999497</v>
      </c>
    </row>
    <row r="7138" spans="1:5" x14ac:dyDescent="0.25">
      <c r="A7138" s="2" t="s">
        <v>242</v>
      </c>
      <c r="B7138" s="6">
        <v>44312</v>
      </c>
      <c r="C7138" s="2" t="s">
        <v>24</v>
      </c>
      <c r="D7138" s="8">
        <v>-400</v>
      </c>
      <c r="E7138" s="8">
        <f>E7137+(0-400)</f>
        <v>8434216.419999497</v>
      </c>
    </row>
    <row r="7139" spans="1:5" x14ac:dyDescent="0.25">
      <c r="A7139" s="2" t="s">
        <v>242</v>
      </c>
      <c r="B7139" s="6">
        <v>44312</v>
      </c>
      <c r="C7139" s="2" t="s">
        <v>24</v>
      </c>
      <c r="D7139" s="8">
        <v>-50</v>
      </c>
      <c r="E7139" s="8">
        <f>E7138+(0-50)</f>
        <v>8434166.419999497</v>
      </c>
    </row>
    <row r="7140" spans="1:5" x14ac:dyDescent="0.25">
      <c r="A7140" s="2" t="s">
        <v>242</v>
      </c>
      <c r="B7140" s="6">
        <v>44313</v>
      </c>
      <c r="C7140" s="2" t="s">
        <v>24</v>
      </c>
      <c r="D7140" s="8">
        <v>-100</v>
      </c>
      <c r="E7140" s="8">
        <f>E7139+(0-100)</f>
        <v>8434066.419999497</v>
      </c>
    </row>
    <row r="7141" spans="1:5" x14ac:dyDescent="0.25">
      <c r="A7141" s="2" t="s">
        <v>242</v>
      </c>
      <c r="B7141" s="6">
        <v>44314</v>
      </c>
      <c r="C7141" s="2" t="s">
        <v>409</v>
      </c>
      <c r="D7141" s="8">
        <v>-26.88</v>
      </c>
      <c r="E7141" s="8">
        <f>E7140+(0-26.88)</f>
        <v>8434039.5399994962</v>
      </c>
    </row>
    <row r="7142" spans="1:5" x14ac:dyDescent="0.25">
      <c r="A7142" s="2" t="s">
        <v>242</v>
      </c>
      <c r="B7142" s="6">
        <v>44314</v>
      </c>
      <c r="C7142" s="2" t="s">
        <v>17</v>
      </c>
      <c r="D7142" s="8">
        <v>-40</v>
      </c>
      <c r="E7142" s="8">
        <f>E7141+(0-40)</f>
        <v>8433999.5399994962</v>
      </c>
    </row>
    <row r="7143" spans="1:5" x14ac:dyDescent="0.25">
      <c r="A7143" s="2" t="s">
        <v>242</v>
      </c>
      <c r="B7143" s="6">
        <v>44314</v>
      </c>
      <c r="C7143" s="2" t="s">
        <v>31</v>
      </c>
      <c r="D7143" s="8">
        <v>-53.75</v>
      </c>
      <c r="E7143" s="8">
        <f>E7142+(0-53.75)</f>
        <v>8433945.7899994962</v>
      </c>
    </row>
    <row r="7144" spans="1:5" x14ac:dyDescent="0.25">
      <c r="A7144" s="2" t="s">
        <v>242</v>
      </c>
      <c r="B7144" s="6">
        <v>44314</v>
      </c>
      <c r="C7144" s="2" t="s">
        <v>17</v>
      </c>
      <c r="D7144" s="8">
        <v>-24</v>
      </c>
      <c r="E7144" s="8">
        <f>E7143+(0-24)</f>
        <v>8433921.7899994962</v>
      </c>
    </row>
    <row r="7145" spans="1:5" x14ac:dyDescent="0.25">
      <c r="A7145" s="2" t="s">
        <v>242</v>
      </c>
      <c r="B7145" s="6">
        <v>44314</v>
      </c>
      <c r="C7145" s="2" t="s">
        <v>24</v>
      </c>
      <c r="D7145" s="8">
        <v>-50</v>
      </c>
      <c r="E7145" s="8">
        <f>E7144+(0-50)</f>
        <v>8433871.7899994962</v>
      </c>
    </row>
    <row r="7146" spans="1:5" x14ac:dyDescent="0.25">
      <c r="A7146" s="2" t="s">
        <v>242</v>
      </c>
      <c r="B7146" s="6">
        <v>44314</v>
      </c>
      <c r="C7146" s="2" t="s">
        <v>19</v>
      </c>
      <c r="D7146" s="8">
        <v>-100</v>
      </c>
      <c r="E7146" s="8">
        <f>E7145+(0-100)</f>
        <v>8433771.7899994962</v>
      </c>
    </row>
    <row r="7147" spans="1:5" x14ac:dyDescent="0.25">
      <c r="A7147" s="2" t="s">
        <v>242</v>
      </c>
      <c r="B7147" s="6">
        <v>44315</v>
      </c>
      <c r="C7147" s="2" t="s">
        <v>17</v>
      </c>
      <c r="D7147" s="8">
        <v>-48</v>
      </c>
      <c r="E7147" s="8">
        <f>E7146+(0-48)</f>
        <v>8433723.7899994962</v>
      </c>
    </row>
    <row r="7148" spans="1:5" x14ac:dyDescent="0.25">
      <c r="A7148" s="2" t="s">
        <v>242</v>
      </c>
      <c r="B7148" s="6">
        <v>44315</v>
      </c>
      <c r="C7148" s="2" t="s">
        <v>24</v>
      </c>
      <c r="D7148" s="8">
        <v>-250</v>
      </c>
      <c r="E7148" s="8">
        <f>E7147+(0-250)</f>
        <v>8433473.7899994962</v>
      </c>
    </row>
    <row r="7149" spans="1:5" x14ac:dyDescent="0.25">
      <c r="A7149" s="2" t="s">
        <v>242</v>
      </c>
      <c r="B7149" s="6">
        <v>44315</v>
      </c>
      <c r="C7149" s="2" t="s">
        <v>24</v>
      </c>
      <c r="D7149" s="8">
        <v>-100</v>
      </c>
      <c r="E7149" s="8">
        <f>E7148+(0-100)</f>
        <v>8433373.7899994962</v>
      </c>
    </row>
    <row r="7150" spans="1:5" x14ac:dyDescent="0.25">
      <c r="A7150" s="2" t="s">
        <v>242</v>
      </c>
      <c r="B7150" s="6">
        <v>44316</v>
      </c>
      <c r="C7150" s="2" t="s">
        <v>24</v>
      </c>
      <c r="D7150" s="8">
        <v>-50</v>
      </c>
      <c r="E7150" s="8">
        <f>E7149+(0-50)</f>
        <v>8433323.7899994962</v>
      </c>
    </row>
    <row r="7151" spans="1:5" x14ac:dyDescent="0.25">
      <c r="A7151" s="2" t="s">
        <v>242</v>
      </c>
      <c r="B7151" s="6">
        <v>44316</v>
      </c>
      <c r="C7151" s="2" t="s">
        <v>410</v>
      </c>
      <c r="D7151" s="8">
        <v>-26.88</v>
      </c>
      <c r="E7151" s="8">
        <f>E7150+(0-26.88)</f>
        <v>8433296.9099994954</v>
      </c>
    </row>
    <row r="7152" spans="1:5" x14ac:dyDescent="0.25">
      <c r="A7152" s="2" t="s">
        <v>242</v>
      </c>
      <c r="B7152" s="6">
        <v>44316</v>
      </c>
      <c r="C7152" s="2" t="s">
        <v>411</v>
      </c>
      <c r="D7152" s="8">
        <v>-53.75</v>
      </c>
      <c r="E7152" s="8">
        <f>E7151+(0-53.75)</f>
        <v>8433243.1599994954</v>
      </c>
    </row>
    <row r="7153" spans="1:5" x14ac:dyDescent="0.25">
      <c r="A7153" s="2" t="s">
        <v>242</v>
      </c>
      <c r="B7153" s="6">
        <v>44316</v>
      </c>
      <c r="C7153" s="2" t="s">
        <v>412</v>
      </c>
      <c r="D7153" s="8">
        <v>-26.88</v>
      </c>
      <c r="E7153" s="8">
        <f>E7152+(0-26.88)</f>
        <v>8433216.2799994946</v>
      </c>
    </row>
    <row r="7154" spans="1:5" x14ac:dyDescent="0.25">
      <c r="A7154" s="2" t="s">
        <v>242</v>
      </c>
      <c r="B7154" s="6">
        <v>44316</v>
      </c>
      <c r="C7154" s="2" t="s">
        <v>413</v>
      </c>
      <c r="D7154" s="8">
        <v>-112.5</v>
      </c>
      <c r="E7154" s="8">
        <f>E7153+(0-112.5)</f>
        <v>8433103.7799994946</v>
      </c>
    </row>
    <row r="7155" spans="1:5" x14ac:dyDescent="0.25">
      <c r="A7155" s="2" t="s">
        <v>242</v>
      </c>
      <c r="B7155" s="6">
        <v>44316</v>
      </c>
      <c r="C7155" s="2" t="s">
        <v>93</v>
      </c>
      <c r="D7155" s="8">
        <v>-1500</v>
      </c>
      <c r="E7155" s="8">
        <f>E7154+(0-1500)</f>
        <v>8431603.7799994946</v>
      </c>
    </row>
    <row r="7156" spans="1:5" x14ac:dyDescent="0.25">
      <c r="A7156" s="2" t="s">
        <v>242</v>
      </c>
      <c r="B7156" s="6">
        <v>44316</v>
      </c>
      <c r="C7156" s="2" t="s">
        <v>17</v>
      </c>
      <c r="D7156" s="8">
        <v>-56</v>
      </c>
      <c r="E7156" s="8">
        <f>E7155+(0-56)</f>
        <v>8431547.7799994946</v>
      </c>
    </row>
    <row r="7157" spans="1:5" x14ac:dyDescent="0.25">
      <c r="A7157" s="2" t="s">
        <v>242</v>
      </c>
      <c r="B7157" s="6">
        <v>44316</v>
      </c>
      <c r="C7157" s="2" t="s">
        <v>137</v>
      </c>
      <c r="D7157" s="8">
        <v>-53.75</v>
      </c>
      <c r="E7157" s="8">
        <f>E7156+(0-53.75)</f>
        <v>8431494.0299994946</v>
      </c>
    </row>
    <row r="7158" spans="1:5" x14ac:dyDescent="0.25">
      <c r="A7158" s="2" t="s">
        <v>242</v>
      </c>
      <c r="B7158" s="6">
        <v>44316</v>
      </c>
      <c r="C7158" s="2" t="s">
        <v>16</v>
      </c>
      <c r="D7158" s="8">
        <v>-50</v>
      </c>
      <c r="E7158" s="8">
        <f>E7157+(0-50)</f>
        <v>8431444.0299994946</v>
      </c>
    </row>
    <row r="7159" spans="1:5" x14ac:dyDescent="0.25">
      <c r="A7159" s="2" t="s">
        <v>242</v>
      </c>
      <c r="B7159" s="6">
        <v>44316</v>
      </c>
      <c r="C7159" s="2" t="s">
        <v>16</v>
      </c>
      <c r="D7159" s="8">
        <v>-150</v>
      </c>
      <c r="E7159" s="8">
        <f>E7158+(0-150)</f>
        <v>8431294.0299994946</v>
      </c>
    </row>
    <row r="7160" spans="1:5" x14ac:dyDescent="0.25">
      <c r="A7160" s="2" t="s">
        <v>242</v>
      </c>
      <c r="B7160" s="6">
        <v>44363</v>
      </c>
      <c r="C7160" s="2" t="s">
        <v>358</v>
      </c>
      <c r="D7160" s="8">
        <v>-40</v>
      </c>
      <c r="E7160" s="8">
        <f>E7159+(0-40)</f>
        <v>8431254.0299994946</v>
      </c>
    </row>
    <row r="7161" spans="1:5" x14ac:dyDescent="0.25">
      <c r="A7161" s="2" t="s">
        <v>242</v>
      </c>
      <c r="B7161" s="6">
        <v>44369</v>
      </c>
      <c r="C7161" s="2" t="s">
        <v>16</v>
      </c>
      <c r="D7161" s="8">
        <v>-50</v>
      </c>
      <c r="E7161" s="8">
        <f>E7160+(0-50)</f>
        <v>8431204.0299994946</v>
      </c>
    </row>
    <row r="7162" spans="1:5" x14ac:dyDescent="0.25">
      <c r="A7162" s="2" t="s">
        <v>242</v>
      </c>
      <c r="B7162" s="6">
        <v>44369</v>
      </c>
      <c r="C7162" s="2" t="s">
        <v>16</v>
      </c>
      <c r="D7162" s="8">
        <v>-250</v>
      </c>
      <c r="E7162" s="8">
        <f>E7161+(0-250)</f>
        <v>8430954.0299994946</v>
      </c>
    </row>
    <row r="7163" spans="1:5" x14ac:dyDescent="0.25">
      <c r="A7163" s="2" t="s">
        <v>242</v>
      </c>
      <c r="B7163" s="6">
        <v>44370</v>
      </c>
      <c r="C7163" s="2" t="s">
        <v>414</v>
      </c>
      <c r="D7163" s="8">
        <v>-53.75</v>
      </c>
      <c r="E7163" s="8">
        <f>E7162+(0-53.75)</f>
        <v>8430900.2799994946</v>
      </c>
    </row>
    <row r="7164" spans="1:5" x14ac:dyDescent="0.25">
      <c r="A7164" s="2" t="s">
        <v>242</v>
      </c>
      <c r="B7164" s="6">
        <v>44370</v>
      </c>
      <c r="C7164" s="2" t="s">
        <v>17</v>
      </c>
      <c r="D7164" s="8">
        <v>-12</v>
      </c>
      <c r="E7164" s="8">
        <f>E7163+(0-12)</f>
        <v>8430888.2799994946</v>
      </c>
    </row>
    <row r="7165" spans="1:5" x14ac:dyDescent="0.25">
      <c r="A7165" s="2" t="s">
        <v>242</v>
      </c>
      <c r="B7165" s="6">
        <v>44370</v>
      </c>
      <c r="C7165" s="2" t="s">
        <v>16</v>
      </c>
      <c r="D7165" s="8">
        <v>-250</v>
      </c>
      <c r="E7165" s="8">
        <f>E7164+(0-250)</f>
        <v>8430638.2799994946</v>
      </c>
    </row>
    <row r="7166" spans="1:5" x14ac:dyDescent="0.25">
      <c r="A7166" s="2" t="s">
        <v>242</v>
      </c>
      <c r="B7166" s="6">
        <v>44370</v>
      </c>
      <c r="C7166" s="2" t="s">
        <v>131</v>
      </c>
      <c r="D7166" s="8">
        <v>-56</v>
      </c>
      <c r="E7166" s="8">
        <f>E7165+(0-56)</f>
        <v>8430582.2799994946</v>
      </c>
    </row>
    <row r="7167" spans="1:5" x14ac:dyDescent="0.25">
      <c r="A7167" s="2" t="s">
        <v>242</v>
      </c>
      <c r="B7167" s="6">
        <v>44371</v>
      </c>
      <c r="C7167" s="2" t="s">
        <v>16</v>
      </c>
      <c r="D7167" s="8">
        <v>-200</v>
      </c>
      <c r="E7167" s="8">
        <f>E7166+(0-200)</f>
        <v>8430382.2799994946</v>
      </c>
    </row>
    <row r="7168" spans="1:5" x14ac:dyDescent="0.25">
      <c r="A7168" s="2" t="s">
        <v>242</v>
      </c>
      <c r="B7168" s="6">
        <v>44371</v>
      </c>
      <c r="C7168" s="2" t="s">
        <v>16</v>
      </c>
      <c r="D7168" s="8">
        <v>-50</v>
      </c>
      <c r="E7168" s="8">
        <f>E7167+(0-50)</f>
        <v>8430332.2799994946</v>
      </c>
    </row>
    <row r="7169" spans="1:5" x14ac:dyDescent="0.25">
      <c r="A7169" s="2" t="s">
        <v>242</v>
      </c>
      <c r="B7169" s="6">
        <v>44372</v>
      </c>
      <c r="C7169" s="2" t="s">
        <v>415</v>
      </c>
      <c r="D7169" s="8">
        <v>-53.75</v>
      </c>
      <c r="E7169" s="8">
        <f>E7168+(0-53.75)</f>
        <v>8430278.5299994946</v>
      </c>
    </row>
    <row r="7170" spans="1:5" x14ac:dyDescent="0.25">
      <c r="A7170" s="2" t="s">
        <v>242</v>
      </c>
      <c r="B7170" s="6">
        <v>44372</v>
      </c>
      <c r="C7170" s="2" t="s">
        <v>17</v>
      </c>
      <c r="D7170" s="8">
        <v>-56</v>
      </c>
      <c r="E7170" s="8">
        <f>E7169+(0-56)</f>
        <v>8430222.5299994946</v>
      </c>
    </row>
    <row r="7171" spans="1:5" x14ac:dyDescent="0.25">
      <c r="A7171" s="2" t="s">
        <v>242</v>
      </c>
      <c r="B7171" s="6">
        <v>44372</v>
      </c>
      <c r="C7171" s="2" t="s">
        <v>17</v>
      </c>
      <c r="D7171" s="8">
        <v>-48</v>
      </c>
      <c r="E7171" s="8">
        <f>E7170+(0-48)</f>
        <v>8430174.5299994946</v>
      </c>
    </row>
    <row r="7172" spans="1:5" x14ac:dyDescent="0.25">
      <c r="A7172" s="2" t="s">
        <v>242</v>
      </c>
      <c r="B7172" s="6">
        <v>44372</v>
      </c>
      <c r="C7172" s="2" t="s">
        <v>16</v>
      </c>
      <c r="D7172" s="8">
        <v>-300</v>
      </c>
      <c r="E7172" s="8">
        <f>E7171+(0-300)</f>
        <v>8429874.5299994946</v>
      </c>
    </row>
    <row r="7173" spans="1:5" x14ac:dyDescent="0.25">
      <c r="A7173" s="2" t="s">
        <v>242</v>
      </c>
      <c r="B7173" s="6">
        <v>44375</v>
      </c>
      <c r="C7173" s="2" t="s">
        <v>28</v>
      </c>
      <c r="D7173" s="8">
        <v>-53.75</v>
      </c>
      <c r="E7173" s="8">
        <f>E7172+(0-53.75)</f>
        <v>8429820.7799994946</v>
      </c>
    </row>
    <row r="7174" spans="1:5" x14ac:dyDescent="0.25">
      <c r="A7174" s="2" t="s">
        <v>242</v>
      </c>
      <c r="B7174" s="6">
        <v>44375</v>
      </c>
      <c r="C7174" s="2" t="s">
        <v>386</v>
      </c>
      <c r="D7174" s="8">
        <v>-53.75</v>
      </c>
      <c r="E7174" s="8">
        <f>E7173+(0-53.75)</f>
        <v>8429767.0299994946</v>
      </c>
    </row>
    <row r="7175" spans="1:5" x14ac:dyDescent="0.25">
      <c r="A7175" s="2" t="s">
        <v>242</v>
      </c>
      <c r="B7175" s="6">
        <v>44375</v>
      </c>
      <c r="C7175" s="2" t="s">
        <v>416</v>
      </c>
      <c r="D7175" s="8">
        <v>-53.75</v>
      </c>
      <c r="E7175" s="8">
        <f>E7174+(0-53.75)</f>
        <v>8429713.2799994946</v>
      </c>
    </row>
    <row r="7176" spans="1:5" x14ac:dyDescent="0.25">
      <c r="A7176" s="2" t="s">
        <v>242</v>
      </c>
      <c r="B7176" s="6">
        <v>44375</v>
      </c>
      <c r="C7176" s="2" t="s">
        <v>16</v>
      </c>
      <c r="D7176" s="8">
        <v>-100</v>
      </c>
      <c r="E7176" s="8">
        <f>E7175+(0-100)</f>
        <v>8429613.2799994946</v>
      </c>
    </row>
    <row r="7177" spans="1:5" x14ac:dyDescent="0.25">
      <c r="A7177" s="2" t="s">
        <v>242</v>
      </c>
      <c r="B7177" s="6">
        <v>44375</v>
      </c>
      <c r="C7177" s="2" t="s">
        <v>17</v>
      </c>
      <c r="D7177" s="8">
        <v>-52</v>
      </c>
      <c r="E7177" s="8">
        <f>E7176+(0-52)</f>
        <v>8429561.2799994946</v>
      </c>
    </row>
    <row r="7178" spans="1:5" x14ac:dyDescent="0.25">
      <c r="A7178" s="2" t="s">
        <v>242</v>
      </c>
      <c r="B7178" s="6">
        <v>44375</v>
      </c>
      <c r="C7178" s="2" t="s">
        <v>17</v>
      </c>
      <c r="D7178" s="8">
        <v>-4</v>
      </c>
      <c r="E7178" s="8">
        <f>E7177+(0-4)</f>
        <v>8429557.2799994946</v>
      </c>
    </row>
    <row r="7179" spans="1:5" x14ac:dyDescent="0.25">
      <c r="A7179" s="2" t="s">
        <v>242</v>
      </c>
      <c r="B7179" s="6">
        <v>44376</v>
      </c>
      <c r="C7179" s="2" t="s">
        <v>17</v>
      </c>
      <c r="D7179" s="8">
        <v>-52</v>
      </c>
      <c r="E7179" s="8">
        <f>E7178+(0-52)</f>
        <v>8429505.2799994946</v>
      </c>
    </row>
    <row r="7180" spans="1:5" x14ac:dyDescent="0.25">
      <c r="A7180" s="2" t="s">
        <v>242</v>
      </c>
      <c r="B7180" s="6">
        <v>44376</v>
      </c>
      <c r="C7180" s="2" t="s">
        <v>24</v>
      </c>
      <c r="D7180" s="8">
        <v>-50</v>
      </c>
      <c r="E7180" s="8">
        <f>E7179+(0-50)</f>
        <v>8429455.2799994946</v>
      </c>
    </row>
    <row r="7181" spans="1:5" x14ac:dyDescent="0.25">
      <c r="A7181" s="2" t="s">
        <v>242</v>
      </c>
      <c r="B7181" s="6">
        <v>44376</v>
      </c>
      <c r="C7181" s="2" t="s">
        <v>16</v>
      </c>
      <c r="D7181" s="8">
        <v>-50</v>
      </c>
      <c r="E7181" s="8">
        <f>E7180+(0-50)</f>
        <v>8429405.2799994946</v>
      </c>
    </row>
    <row r="7182" spans="1:5" x14ac:dyDescent="0.25">
      <c r="A7182" s="2" t="s">
        <v>242</v>
      </c>
      <c r="B7182" s="6">
        <v>44376</v>
      </c>
      <c r="C7182" s="2" t="s">
        <v>417</v>
      </c>
      <c r="D7182" s="8">
        <v>-53.75</v>
      </c>
      <c r="E7182" s="8">
        <f>E7181+(0-53.75)</f>
        <v>8429351.5299994946</v>
      </c>
    </row>
    <row r="7183" spans="1:5" x14ac:dyDescent="0.25">
      <c r="A7183" s="2" t="s">
        <v>242</v>
      </c>
      <c r="B7183" s="6">
        <v>44376</v>
      </c>
      <c r="C7183" s="2" t="s">
        <v>16</v>
      </c>
      <c r="D7183" s="8">
        <v>-50</v>
      </c>
      <c r="E7183" s="8">
        <f>E7182+(0-50)</f>
        <v>8429301.5299994946</v>
      </c>
    </row>
    <row r="7184" spans="1:5" x14ac:dyDescent="0.25">
      <c r="A7184" s="2" t="s">
        <v>242</v>
      </c>
      <c r="B7184" s="6">
        <v>44376</v>
      </c>
      <c r="C7184" s="2" t="s">
        <v>16</v>
      </c>
      <c r="D7184" s="8">
        <v>-400</v>
      </c>
      <c r="E7184" s="8">
        <f>E7183+(0-400)</f>
        <v>8428901.5299994946</v>
      </c>
    </row>
    <row r="7185" spans="1:5" x14ac:dyDescent="0.25">
      <c r="A7185" s="2" t="s">
        <v>242</v>
      </c>
      <c r="B7185" s="6">
        <v>44376</v>
      </c>
      <c r="C7185" s="2" t="s">
        <v>16</v>
      </c>
      <c r="D7185" s="8">
        <v>-50</v>
      </c>
      <c r="E7185" s="8">
        <f>E7184+(0-50)</f>
        <v>8428851.5299994946</v>
      </c>
    </row>
    <row r="7186" spans="1:5" x14ac:dyDescent="0.25">
      <c r="A7186" s="2" t="s">
        <v>242</v>
      </c>
      <c r="B7186" s="6">
        <v>44377</v>
      </c>
      <c r="C7186" s="2" t="s">
        <v>17</v>
      </c>
      <c r="D7186" s="8">
        <v>-84</v>
      </c>
      <c r="E7186" s="8">
        <f>E7185+(0-84)</f>
        <v>8428767.5299994946</v>
      </c>
    </row>
    <row r="7187" spans="1:5" x14ac:dyDescent="0.25">
      <c r="A7187" s="2" t="s">
        <v>242</v>
      </c>
      <c r="B7187" s="6">
        <v>44377</v>
      </c>
      <c r="C7187" s="2" t="s">
        <v>16</v>
      </c>
      <c r="D7187" s="8">
        <v>-200</v>
      </c>
      <c r="E7187" s="8">
        <f>E7186+(0-200)</f>
        <v>8428567.5299994946</v>
      </c>
    </row>
    <row r="7188" spans="1:5" x14ac:dyDescent="0.25">
      <c r="A7188" s="2" t="s">
        <v>242</v>
      </c>
      <c r="B7188" s="6">
        <v>44377</v>
      </c>
      <c r="C7188" s="2" t="s">
        <v>16</v>
      </c>
      <c r="D7188" s="8">
        <v>-50</v>
      </c>
      <c r="E7188" s="8">
        <f>E7187+(0-50)</f>
        <v>8428517.5299994946</v>
      </c>
    </row>
    <row r="7189" spans="1:5" x14ac:dyDescent="0.25">
      <c r="A7189" s="2" t="s">
        <v>242</v>
      </c>
      <c r="B7189" s="6">
        <v>44390</v>
      </c>
      <c r="C7189" s="2" t="s">
        <v>418</v>
      </c>
      <c r="D7189" s="8">
        <v>-26.88</v>
      </c>
      <c r="E7189" s="8">
        <f>E7188+(0-26.88)</f>
        <v>8428490.6499994937</v>
      </c>
    </row>
    <row r="7190" spans="1:5" x14ac:dyDescent="0.25">
      <c r="A7190" s="2" t="s">
        <v>242</v>
      </c>
      <c r="B7190" s="6">
        <v>44390</v>
      </c>
      <c r="C7190" s="2" t="s">
        <v>17</v>
      </c>
      <c r="D7190" s="8">
        <v>-52</v>
      </c>
      <c r="E7190" s="8">
        <f>E7189+(0-52)</f>
        <v>8428438.6499994937</v>
      </c>
    </row>
    <row r="7191" spans="1:5" x14ac:dyDescent="0.25">
      <c r="A7191" s="2" t="s">
        <v>242</v>
      </c>
      <c r="B7191" s="6">
        <v>44390</v>
      </c>
      <c r="C7191" s="2" t="s">
        <v>419</v>
      </c>
      <c r="D7191" s="8">
        <v>-53.75</v>
      </c>
      <c r="E7191" s="8">
        <f>E7190+(0-53.75)</f>
        <v>8428384.8999994937</v>
      </c>
    </row>
    <row r="7192" spans="1:5" x14ac:dyDescent="0.25">
      <c r="A7192" s="2" t="s">
        <v>242</v>
      </c>
      <c r="B7192" s="6">
        <v>44390</v>
      </c>
      <c r="C7192" s="2" t="s">
        <v>24</v>
      </c>
      <c r="D7192" s="8">
        <v>-450</v>
      </c>
      <c r="E7192" s="8">
        <f>E7191+(0-450)</f>
        <v>8427934.8999994937</v>
      </c>
    </row>
    <row r="7193" spans="1:5" x14ac:dyDescent="0.25">
      <c r="A7193" s="2" t="s">
        <v>242</v>
      </c>
      <c r="B7193" s="6">
        <v>44390</v>
      </c>
      <c r="C7193" s="2" t="s">
        <v>52</v>
      </c>
      <c r="D7193" s="8">
        <v>-50</v>
      </c>
      <c r="E7193" s="8">
        <f>E7192+(0-50)</f>
        <v>8427884.8999994937</v>
      </c>
    </row>
    <row r="7194" spans="1:5" x14ac:dyDescent="0.25">
      <c r="A7194" s="2" t="s">
        <v>242</v>
      </c>
      <c r="B7194" s="6">
        <v>44391</v>
      </c>
      <c r="C7194" s="2" t="s">
        <v>420</v>
      </c>
      <c r="D7194" s="8">
        <v>-53.75</v>
      </c>
      <c r="E7194" s="8">
        <f>E7193+(0-53.75)</f>
        <v>8427831.1499994937</v>
      </c>
    </row>
    <row r="7195" spans="1:5" x14ac:dyDescent="0.25">
      <c r="A7195" s="2" t="s">
        <v>242</v>
      </c>
      <c r="B7195" s="6">
        <v>44391</v>
      </c>
      <c r="C7195" s="2" t="s">
        <v>24</v>
      </c>
      <c r="D7195" s="8">
        <v>-250</v>
      </c>
      <c r="E7195" s="8">
        <f>E7194+(0-250)</f>
        <v>8427581.1499994937</v>
      </c>
    </row>
    <row r="7196" spans="1:5" x14ac:dyDescent="0.25">
      <c r="A7196" s="2" t="s">
        <v>242</v>
      </c>
      <c r="B7196" s="6">
        <v>44391</v>
      </c>
      <c r="C7196" s="2" t="s">
        <v>24</v>
      </c>
      <c r="D7196" s="8">
        <v>-50</v>
      </c>
      <c r="E7196" s="8">
        <f>E7195+(0-50)</f>
        <v>8427531.1499994937</v>
      </c>
    </row>
    <row r="7197" spans="1:5" x14ac:dyDescent="0.25">
      <c r="A7197" s="2" t="s">
        <v>242</v>
      </c>
      <c r="B7197" s="6">
        <v>44391</v>
      </c>
      <c r="C7197" s="2" t="s">
        <v>19</v>
      </c>
      <c r="D7197" s="8">
        <v>-80</v>
      </c>
      <c r="E7197" s="8">
        <f>E7196+(0-80)</f>
        <v>8427451.1499994937</v>
      </c>
    </row>
    <row r="7198" spans="1:5" x14ac:dyDescent="0.25">
      <c r="A7198" s="2" t="s">
        <v>242</v>
      </c>
      <c r="B7198" s="6">
        <v>44392</v>
      </c>
      <c r="C7198" s="2" t="s">
        <v>19</v>
      </c>
      <c r="D7198" s="8">
        <v>-56</v>
      </c>
      <c r="E7198" s="8">
        <f>E7197+(0-56)</f>
        <v>8427395.1499994937</v>
      </c>
    </row>
    <row r="7199" spans="1:5" x14ac:dyDescent="0.25">
      <c r="A7199" s="2" t="s">
        <v>242</v>
      </c>
      <c r="B7199" s="6">
        <v>44392</v>
      </c>
      <c r="C7199" s="2" t="s">
        <v>24</v>
      </c>
      <c r="D7199" s="8">
        <v>-100</v>
      </c>
      <c r="E7199" s="8">
        <f>E7198+(0-100)</f>
        <v>8427295.1499994937</v>
      </c>
    </row>
    <row r="7200" spans="1:5" x14ac:dyDescent="0.25">
      <c r="A7200" s="2" t="s">
        <v>242</v>
      </c>
      <c r="B7200" s="6">
        <v>44392</v>
      </c>
      <c r="C7200" s="2" t="s">
        <v>24</v>
      </c>
      <c r="D7200" s="8">
        <v>-50</v>
      </c>
      <c r="E7200" s="8">
        <f>E7199+(0-50)</f>
        <v>8427245.1499994937</v>
      </c>
    </row>
    <row r="7201" spans="1:5" x14ac:dyDescent="0.25">
      <c r="A7201" s="2" t="s">
        <v>242</v>
      </c>
      <c r="B7201" s="6">
        <v>44393</v>
      </c>
      <c r="C7201" s="2" t="s">
        <v>24</v>
      </c>
      <c r="D7201" s="8">
        <v>-300</v>
      </c>
      <c r="E7201" s="8">
        <f>E7200+(0-300)</f>
        <v>8426945.1499994937</v>
      </c>
    </row>
    <row r="7202" spans="1:5" x14ac:dyDescent="0.25">
      <c r="A7202" s="2" t="s">
        <v>242</v>
      </c>
      <c r="B7202" s="6">
        <v>44393</v>
      </c>
      <c r="C7202" s="2" t="s">
        <v>17</v>
      </c>
      <c r="D7202" s="8">
        <v>-24</v>
      </c>
      <c r="E7202" s="8">
        <f>E7201+(0-24)</f>
        <v>8426921.1499994937</v>
      </c>
    </row>
    <row r="7203" spans="1:5" x14ac:dyDescent="0.25">
      <c r="A7203" s="2" t="s">
        <v>242</v>
      </c>
      <c r="B7203" s="6">
        <v>44396</v>
      </c>
      <c r="C7203" s="2" t="s">
        <v>421</v>
      </c>
      <c r="D7203" s="8">
        <v>-53.75</v>
      </c>
      <c r="E7203" s="8">
        <f>E7202+(0-53.75)</f>
        <v>8426867.3999994937</v>
      </c>
    </row>
    <row r="7204" spans="1:5" x14ac:dyDescent="0.25">
      <c r="A7204" s="2" t="s">
        <v>242</v>
      </c>
      <c r="B7204" s="6">
        <v>44396</v>
      </c>
      <c r="C7204" s="2" t="s">
        <v>24</v>
      </c>
      <c r="D7204" s="8">
        <v>-50</v>
      </c>
      <c r="E7204" s="8">
        <f>E7203+(0-50)</f>
        <v>8426817.3999994937</v>
      </c>
    </row>
    <row r="7205" spans="1:5" x14ac:dyDescent="0.25">
      <c r="A7205" s="2" t="s">
        <v>242</v>
      </c>
      <c r="B7205" s="6">
        <v>44396</v>
      </c>
      <c r="C7205" s="2" t="s">
        <v>24</v>
      </c>
      <c r="D7205" s="8">
        <v>-400</v>
      </c>
      <c r="E7205" s="8">
        <f>E7204+(0-400)</f>
        <v>8426417.3999994937</v>
      </c>
    </row>
    <row r="7206" spans="1:5" x14ac:dyDescent="0.25">
      <c r="A7206" s="2" t="s">
        <v>242</v>
      </c>
      <c r="B7206" s="6">
        <v>44399</v>
      </c>
      <c r="C7206" s="2" t="s">
        <v>17</v>
      </c>
      <c r="D7206" s="8">
        <v>-4</v>
      </c>
      <c r="E7206" s="8">
        <f>E7205+(0-4)</f>
        <v>8426413.3999994937</v>
      </c>
    </row>
    <row r="7207" spans="1:5" x14ac:dyDescent="0.25">
      <c r="A7207" s="2" t="s">
        <v>242</v>
      </c>
      <c r="B7207" s="6">
        <v>44399</v>
      </c>
      <c r="C7207" s="2" t="s">
        <v>131</v>
      </c>
      <c r="D7207" s="8">
        <v>-44</v>
      </c>
      <c r="E7207" s="8">
        <f>E7206+(0-44)</f>
        <v>8426369.3999994937</v>
      </c>
    </row>
    <row r="7208" spans="1:5" x14ac:dyDescent="0.25">
      <c r="A7208" s="2" t="s">
        <v>242</v>
      </c>
      <c r="B7208" s="6">
        <v>44399</v>
      </c>
      <c r="C7208" s="2" t="s">
        <v>19</v>
      </c>
      <c r="D7208" s="8">
        <v>-8</v>
      </c>
      <c r="E7208" s="8">
        <f>E7207+(0-8)</f>
        <v>8426361.3999994937</v>
      </c>
    </row>
    <row r="7209" spans="1:5" x14ac:dyDescent="0.25">
      <c r="A7209" s="2" t="s">
        <v>242</v>
      </c>
      <c r="B7209" s="6">
        <v>44399</v>
      </c>
      <c r="C7209" s="2" t="s">
        <v>422</v>
      </c>
      <c r="D7209" s="8">
        <v>-26.88</v>
      </c>
      <c r="E7209" s="8">
        <f>E7208+(0-26.88)</f>
        <v>8426334.5199994929</v>
      </c>
    </row>
    <row r="7210" spans="1:5" x14ac:dyDescent="0.25">
      <c r="A7210" s="2" t="s">
        <v>242</v>
      </c>
      <c r="B7210" s="6">
        <v>44399</v>
      </c>
      <c r="C7210" s="2" t="s">
        <v>422</v>
      </c>
      <c r="D7210" s="8">
        <v>-26.88</v>
      </c>
      <c r="E7210" s="8">
        <f>E7209+(0-26.88)</f>
        <v>8426307.6399994921</v>
      </c>
    </row>
    <row r="7211" spans="1:5" x14ac:dyDescent="0.25">
      <c r="A7211" s="2" t="s">
        <v>242</v>
      </c>
      <c r="B7211" s="6">
        <v>44399</v>
      </c>
      <c r="C7211" s="2" t="s">
        <v>24</v>
      </c>
      <c r="D7211" s="8">
        <v>-450</v>
      </c>
      <c r="E7211" s="8">
        <f>E7210+(0-450)</f>
        <v>8425857.6399994921</v>
      </c>
    </row>
    <row r="7212" spans="1:5" x14ac:dyDescent="0.25">
      <c r="A7212" s="2" t="s">
        <v>242</v>
      </c>
      <c r="B7212" s="6">
        <v>44399</v>
      </c>
      <c r="C7212" s="2" t="s">
        <v>24</v>
      </c>
      <c r="D7212" s="8">
        <v>-50</v>
      </c>
      <c r="E7212" s="8">
        <f>E7211+(0-50)</f>
        <v>8425807.6399994921</v>
      </c>
    </row>
    <row r="7213" spans="1:5" x14ac:dyDescent="0.25">
      <c r="A7213" s="2" t="s">
        <v>242</v>
      </c>
      <c r="B7213" s="6">
        <v>44400</v>
      </c>
      <c r="C7213" s="2" t="s">
        <v>24</v>
      </c>
      <c r="D7213" s="8">
        <v>-50</v>
      </c>
      <c r="E7213" s="8">
        <f>E7212+(0-50)</f>
        <v>8425757.6399994921</v>
      </c>
    </row>
    <row r="7214" spans="1:5" x14ac:dyDescent="0.25">
      <c r="A7214" s="2" t="s">
        <v>242</v>
      </c>
      <c r="B7214" s="6">
        <v>44400</v>
      </c>
      <c r="C7214" s="2" t="s">
        <v>24</v>
      </c>
      <c r="D7214" s="8">
        <v>-150</v>
      </c>
      <c r="E7214" s="8">
        <f>E7213+(0-150)</f>
        <v>8425607.6399994921</v>
      </c>
    </row>
    <row r="7215" spans="1:5" x14ac:dyDescent="0.25">
      <c r="A7215" s="2" t="s">
        <v>242</v>
      </c>
      <c r="B7215" s="6">
        <v>44403</v>
      </c>
      <c r="C7215" s="2" t="s">
        <v>423</v>
      </c>
      <c r="D7215" s="8">
        <v>-96</v>
      </c>
      <c r="E7215" s="8">
        <f>E7214+(0-96)</f>
        <v>8425511.6399994921</v>
      </c>
    </row>
    <row r="7216" spans="1:5" x14ac:dyDescent="0.25">
      <c r="A7216" s="2" t="s">
        <v>242</v>
      </c>
      <c r="B7216" s="6">
        <v>44403</v>
      </c>
      <c r="C7216" s="2" t="s">
        <v>389</v>
      </c>
      <c r="D7216" s="8">
        <v>-53.75</v>
      </c>
      <c r="E7216" s="8">
        <f>E7215+(0-53.75)</f>
        <v>8425457.8899994921</v>
      </c>
    </row>
    <row r="7217" spans="1:5" x14ac:dyDescent="0.25">
      <c r="A7217" s="2" t="s">
        <v>242</v>
      </c>
      <c r="B7217" s="6">
        <v>44403</v>
      </c>
      <c r="C7217" s="2" t="s">
        <v>24</v>
      </c>
      <c r="D7217" s="8">
        <v>-550</v>
      </c>
      <c r="E7217" s="8">
        <f>E7216+(0-550)</f>
        <v>8424907.8899994921</v>
      </c>
    </row>
    <row r="7218" spans="1:5" x14ac:dyDescent="0.25">
      <c r="A7218" s="2" t="s">
        <v>242</v>
      </c>
      <c r="B7218" s="6">
        <v>44404</v>
      </c>
      <c r="C7218" s="2" t="s">
        <v>424</v>
      </c>
      <c r="D7218" s="8">
        <v>-32</v>
      </c>
      <c r="E7218" s="8">
        <f>E7217+(0-32)</f>
        <v>8424875.8899994921</v>
      </c>
    </row>
    <row r="7219" spans="1:5" x14ac:dyDescent="0.25">
      <c r="A7219" s="2" t="s">
        <v>242</v>
      </c>
      <c r="B7219" s="6">
        <v>44404</v>
      </c>
      <c r="C7219" s="2" t="s">
        <v>17</v>
      </c>
      <c r="D7219" s="8">
        <v>-8</v>
      </c>
      <c r="E7219" s="8">
        <f>E7218+(0-8)</f>
        <v>8424867.8899994921</v>
      </c>
    </row>
    <row r="7220" spans="1:5" x14ac:dyDescent="0.25">
      <c r="A7220" s="2" t="s">
        <v>242</v>
      </c>
      <c r="B7220" s="6">
        <v>44404</v>
      </c>
      <c r="C7220" s="2" t="s">
        <v>24</v>
      </c>
      <c r="D7220" s="8">
        <v>-50</v>
      </c>
      <c r="E7220" s="8">
        <f>E7219+(0-50)</f>
        <v>8424817.8899994921</v>
      </c>
    </row>
    <row r="7221" spans="1:5" x14ac:dyDescent="0.25">
      <c r="A7221" s="2" t="s">
        <v>242</v>
      </c>
      <c r="B7221" s="6">
        <v>44404</v>
      </c>
      <c r="C7221" s="2" t="s">
        <v>137</v>
      </c>
      <c r="D7221" s="8">
        <v>-53.75</v>
      </c>
      <c r="E7221" s="8">
        <f>E7220+(0-53.75)</f>
        <v>8424764.1399994921</v>
      </c>
    </row>
    <row r="7222" spans="1:5" x14ac:dyDescent="0.25">
      <c r="A7222" s="2" t="s">
        <v>242</v>
      </c>
      <c r="B7222" s="6">
        <v>44404</v>
      </c>
      <c r="C7222" s="2" t="s">
        <v>24</v>
      </c>
      <c r="D7222" s="8">
        <v>-50</v>
      </c>
      <c r="E7222" s="8">
        <f>E7221+(0-50)</f>
        <v>8424714.1399994921</v>
      </c>
    </row>
    <row r="7223" spans="1:5" x14ac:dyDescent="0.25">
      <c r="A7223" s="2" t="s">
        <v>242</v>
      </c>
      <c r="B7223" s="6">
        <v>44404</v>
      </c>
      <c r="C7223" s="2" t="s">
        <v>425</v>
      </c>
      <c r="D7223" s="8">
        <v>-26.88</v>
      </c>
      <c r="E7223" s="8">
        <f>E7222+(0-26.88)</f>
        <v>8424687.2599994913</v>
      </c>
    </row>
    <row r="7224" spans="1:5" x14ac:dyDescent="0.25">
      <c r="A7224" s="2" t="s">
        <v>242</v>
      </c>
      <c r="B7224" s="6">
        <v>44404</v>
      </c>
      <c r="C7224" s="2" t="s">
        <v>426</v>
      </c>
      <c r="D7224" s="8">
        <v>-26.88</v>
      </c>
      <c r="E7224" s="8">
        <f>E7223+(0-26.88)</f>
        <v>8424660.3799994905</v>
      </c>
    </row>
    <row r="7225" spans="1:5" x14ac:dyDescent="0.25">
      <c r="A7225" s="2" t="s">
        <v>242</v>
      </c>
      <c r="B7225" s="6">
        <v>44404</v>
      </c>
      <c r="C7225" s="2" t="s">
        <v>24</v>
      </c>
      <c r="D7225" s="8">
        <v>-53.75</v>
      </c>
      <c r="E7225" s="8">
        <f>E7224+(0-53.75)</f>
        <v>8424606.6299994905</v>
      </c>
    </row>
    <row r="7226" spans="1:5" x14ac:dyDescent="0.25">
      <c r="A7226" s="2" t="s">
        <v>242</v>
      </c>
      <c r="B7226" s="6">
        <v>44404</v>
      </c>
      <c r="C7226" s="2" t="s">
        <v>24</v>
      </c>
      <c r="D7226" s="8">
        <v>-300</v>
      </c>
      <c r="E7226" s="8">
        <f>E7225+(0-300)</f>
        <v>8424306.6299994905</v>
      </c>
    </row>
    <row r="7227" spans="1:5" x14ac:dyDescent="0.25">
      <c r="A7227" s="2" t="s">
        <v>242</v>
      </c>
      <c r="B7227" s="6">
        <v>44404</v>
      </c>
      <c r="C7227" s="2" t="s">
        <v>24</v>
      </c>
      <c r="D7227" s="8">
        <v>-100</v>
      </c>
      <c r="E7227" s="8">
        <f>E7226+(0-100)</f>
        <v>8424206.6299994905</v>
      </c>
    </row>
    <row r="7228" spans="1:5" x14ac:dyDescent="0.25">
      <c r="A7228" s="2" t="s">
        <v>242</v>
      </c>
      <c r="B7228" s="6">
        <v>44405</v>
      </c>
      <c r="C7228" s="2" t="s">
        <v>427</v>
      </c>
      <c r="D7228" s="8">
        <v>-53.75</v>
      </c>
      <c r="E7228" s="8">
        <f>E7227+(0-53.75)</f>
        <v>8424152.8799994905</v>
      </c>
    </row>
    <row r="7229" spans="1:5" x14ac:dyDescent="0.25">
      <c r="A7229" s="2" t="s">
        <v>242</v>
      </c>
      <c r="B7229" s="6">
        <v>44405</v>
      </c>
      <c r="C7229" s="2" t="s">
        <v>24</v>
      </c>
      <c r="D7229" s="8">
        <v>-200</v>
      </c>
      <c r="E7229" s="8">
        <f>E7228+(0-200)</f>
        <v>8423952.8799994905</v>
      </c>
    </row>
    <row r="7230" spans="1:5" x14ac:dyDescent="0.25">
      <c r="A7230" s="2" t="s">
        <v>242</v>
      </c>
      <c r="B7230" s="6">
        <v>44405</v>
      </c>
      <c r="C7230" s="2" t="s">
        <v>428</v>
      </c>
      <c r="D7230" s="8">
        <v>-53.75</v>
      </c>
      <c r="E7230" s="8">
        <f>E7229+(0-53.75)</f>
        <v>8423899.1299994905</v>
      </c>
    </row>
    <row r="7231" spans="1:5" x14ac:dyDescent="0.25">
      <c r="A7231" s="2" t="s">
        <v>242</v>
      </c>
      <c r="B7231" s="6">
        <v>44405</v>
      </c>
      <c r="C7231" s="2" t="s">
        <v>17</v>
      </c>
      <c r="D7231" s="8">
        <v>-104</v>
      </c>
      <c r="E7231" s="8">
        <f>E7230+(0-104)</f>
        <v>8423795.1299994905</v>
      </c>
    </row>
    <row r="7232" spans="1:5" x14ac:dyDescent="0.25">
      <c r="A7232" s="2" t="s">
        <v>242</v>
      </c>
      <c r="B7232" s="6">
        <v>44406</v>
      </c>
      <c r="C7232" s="2" t="s">
        <v>429</v>
      </c>
      <c r="D7232" s="8">
        <v>-26.88</v>
      </c>
      <c r="E7232" s="8">
        <f>E7231+(0-26.88)</f>
        <v>8423768.2499994896</v>
      </c>
    </row>
    <row r="7233" spans="1:5" x14ac:dyDescent="0.25">
      <c r="A7233" s="2" t="s">
        <v>242</v>
      </c>
      <c r="B7233" s="6">
        <v>44406</v>
      </c>
      <c r="C7233" s="2" t="s">
        <v>24</v>
      </c>
      <c r="D7233" s="8">
        <v>-500</v>
      </c>
      <c r="E7233" s="8">
        <f>E7232+(0-500)</f>
        <v>8423268.2499994896</v>
      </c>
    </row>
    <row r="7234" spans="1:5" x14ac:dyDescent="0.25">
      <c r="A7234" s="2" t="s">
        <v>242</v>
      </c>
      <c r="B7234" s="6">
        <v>44406</v>
      </c>
      <c r="C7234" s="2" t="s">
        <v>24</v>
      </c>
      <c r="D7234" s="8">
        <v>-50</v>
      </c>
      <c r="E7234" s="8">
        <f>E7233+(0-50)</f>
        <v>8423218.2499994896</v>
      </c>
    </row>
    <row r="7235" spans="1:5" x14ac:dyDescent="0.25">
      <c r="A7235" s="2" t="s">
        <v>242</v>
      </c>
      <c r="B7235" s="6">
        <v>44406</v>
      </c>
      <c r="C7235" s="2" t="s">
        <v>17</v>
      </c>
      <c r="D7235" s="8">
        <v>-76</v>
      </c>
      <c r="E7235" s="8">
        <f>E7234+(0-76)</f>
        <v>8423142.2499994896</v>
      </c>
    </row>
    <row r="7236" spans="1:5" x14ac:dyDescent="0.25">
      <c r="A7236" s="2" t="s">
        <v>242</v>
      </c>
      <c r="B7236" s="6">
        <v>44407</v>
      </c>
      <c r="C7236" s="2" t="s">
        <v>430</v>
      </c>
      <c r="D7236" s="8">
        <v>-53.75</v>
      </c>
      <c r="E7236" s="8">
        <f>E7235+(0-53.75)</f>
        <v>8423088.4999994896</v>
      </c>
    </row>
    <row r="7237" spans="1:5" x14ac:dyDescent="0.25">
      <c r="A7237" s="2" t="s">
        <v>242</v>
      </c>
      <c r="B7237" s="6">
        <v>44407</v>
      </c>
      <c r="C7237" s="2" t="s">
        <v>24</v>
      </c>
      <c r="D7237" s="8">
        <v>-100</v>
      </c>
      <c r="E7237" s="8">
        <f>E7236+(0-100)</f>
        <v>8422988.4999994896</v>
      </c>
    </row>
    <row r="7238" spans="1:5" x14ac:dyDescent="0.25">
      <c r="A7238" s="2" t="s">
        <v>242</v>
      </c>
      <c r="B7238" s="6">
        <v>44407</v>
      </c>
      <c r="C7238" s="2" t="s">
        <v>24</v>
      </c>
      <c r="D7238" s="8">
        <v>-300</v>
      </c>
      <c r="E7238" s="8">
        <f>E7237+(0-300)</f>
        <v>8422688.4999994896</v>
      </c>
    </row>
    <row r="7239" spans="1:5" x14ac:dyDescent="0.25">
      <c r="A7239" s="2" t="s">
        <v>242</v>
      </c>
      <c r="B7239" s="6">
        <v>44410</v>
      </c>
      <c r="C7239" s="2" t="s">
        <v>19</v>
      </c>
      <c r="D7239" s="8">
        <v>-44</v>
      </c>
      <c r="E7239" s="8">
        <f>E7238+(0-44)</f>
        <v>8422644.4999994896</v>
      </c>
    </row>
    <row r="7240" spans="1:5" x14ac:dyDescent="0.25">
      <c r="A7240" s="2" t="s">
        <v>242</v>
      </c>
      <c r="B7240" s="6">
        <v>44410</v>
      </c>
      <c r="C7240" s="2" t="s">
        <v>431</v>
      </c>
      <c r="D7240" s="8">
        <v>-64</v>
      </c>
      <c r="E7240" s="8">
        <f>E7239+(0-64)</f>
        <v>8422580.4999994896</v>
      </c>
    </row>
    <row r="7241" spans="1:5" x14ac:dyDescent="0.25">
      <c r="A7241" s="2" t="s">
        <v>242</v>
      </c>
      <c r="B7241" s="6">
        <v>44414</v>
      </c>
      <c r="C7241" s="2" t="s">
        <v>432</v>
      </c>
      <c r="D7241" s="8">
        <v>-26.88</v>
      </c>
      <c r="E7241" s="8">
        <f>E7240+(0-26.88)</f>
        <v>8422553.6199994888</v>
      </c>
    </row>
    <row r="7242" spans="1:5" x14ac:dyDescent="0.25">
      <c r="A7242" s="2" t="s">
        <v>242</v>
      </c>
      <c r="B7242" s="6">
        <v>44414</v>
      </c>
      <c r="C7242" s="2" t="s">
        <v>16</v>
      </c>
      <c r="D7242" s="8">
        <v>-200</v>
      </c>
      <c r="E7242" s="8">
        <f>E7241+(0-200)</f>
        <v>8422353.6199994888</v>
      </c>
    </row>
    <row r="7243" spans="1:5" x14ac:dyDescent="0.25">
      <c r="A7243" s="2" t="s">
        <v>242</v>
      </c>
      <c r="B7243" s="6">
        <v>44417</v>
      </c>
      <c r="C7243" s="2" t="s">
        <v>16</v>
      </c>
      <c r="D7243" s="8">
        <v>-50</v>
      </c>
      <c r="E7243" s="8">
        <f>E7242+(0-50)</f>
        <v>8422303.6199994888</v>
      </c>
    </row>
    <row r="7244" spans="1:5" x14ac:dyDescent="0.25">
      <c r="A7244" s="2" t="s">
        <v>242</v>
      </c>
      <c r="B7244" s="6">
        <v>44417</v>
      </c>
      <c r="C7244" s="2" t="s">
        <v>16</v>
      </c>
      <c r="D7244" s="8">
        <v>-450</v>
      </c>
      <c r="E7244" s="8">
        <f>E7243+(0-450)</f>
        <v>8421853.6199994888</v>
      </c>
    </row>
    <row r="7245" spans="1:5" x14ac:dyDescent="0.25">
      <c r="A7245" s="2" t="s">
        <v>242</v>
      </c>
      <c r="B7245" s="6">
        <v>44418</v>
      </c>
      <c r="C7245" s="2" t="s">
        <v>433</v>
      </c>
      <c r="D7245" s="8">
        <v>-53.75</v>
      </c>
      <c r="E7245" s="8">
        <f>E7244+(0-53.75)</f>
        <v>8421799.8699994888</v>
      </c>
    </row>
    <row r="7246" spans="1:5" x14ac:dyDescent="0.25">
      <c r="A7246" s="2" t="s">
        <v>242</v>
      </c>
      <c r="B7246" s="6">
        <v>44418</v>
      </c>
      <c r="C7246" s="2" t="s">
        <v>16</v>
      </c>
      <c r="D7246" s="8">
        <v>-500</v>
      </c>
      <c r="E7246" s="8">
        <f>E7245+(0-500)</f>
        <v>8421299.8699994888</v>
      </c>
    </row>
    <row r="7247" spans="1:5" x14ac:dyDescent="0.25">
      <c r="A7247" s="2" t="s">
        <v>242</v>
      </c>
      <c r="B7247" s="6">
        <v>44419</v>
      </c>
      <c r="C7247" s="2" t="s">
        <v>16</v>
      </c>
      <c r="D7247" s="8">
        <v>-50</v>
      </c>
      <c r="E7247" s="8">
        <f>E7246+(0-50)</f>
        <v>8421249.8699994888</v>
      </c>
    </row>
    <row r="7248" spans="1:5" x14ac:dyDescent="0.25">
      <c r="A7248" s="2" t="s">
        <v>242</v>
      </c>
      <c r="B7248" s="6">
        <v>44419</v>
      </c>
      <c r="C7248" s="2" t="s">
        <v>16</v>
      </c>
      <c r="D7248" s="8">
        <v>-200</v>
      </c>
      <c r="E7248" s="8">
        <f>E7247+(0-200)</f>
        <v>8421049.8699994888</v>
      </c>
    </row>
    <row r="7249" spans="1:5" x14ac:dyDescent="0.25">
      <c r="A7249" s="2" t="s">
        <v>242</v>
      </c>
      <c r="B7249" s="6">
        <v>44420</v>
      </c>
      <c r="C7249" s="2" t="s">
        <v>16</v>
      </c>
      <c r="D7249" s="8">
        <v>-50</v>
      </c>
      <c r="E7249" s="8">
        <f>E7248+(0-50)</f>
        <v>8420999.8699994888</v>
      </c>
    </row>
    <row r="7250" spans="1:5" x14ac:dyDescent="0.25">
      <c r="A7250" s="2" t="s">
        <v>242</v>
      </c>
      <c r="B7250" s="6">
        <v>44420</v>
      </c>
      <c r="C7250" s="2" t="s">
        <v>16</v>
      </c>
      <c r="D7250" s="8">
        <v>-50</v>
      </c>
      <c r="E7250" s="8">
        <f>E7249+(0-50)</f>
        <v>8420949.8699994888</v>
      </c>
    </row>
    <row r="7251" spans="1:5" x14ac:dyDescent="0.25">
      <c r="A7251" s="2" t="s">
        <v>242</v>
      </c>
      <c r="B7251" s="6">
        <v>44420</v>
      </c>
      <c r="C7251" s="2" t="s">
        <v>16</v>
      </c>
      <c r="D7251" s="8">
        <v>-50</v>
      </c>
      <c r="E7251" s="8">
        <f>E7250+(0-50)</f>
        <v>8420899.8699994888</v>
      </c>
    </row>
    <row r="7252" spans="1:5" x14ac:dyDescent="0.25">
      <c r="A7252" s="2" t="s">
        <v>242</v>
      </c>
      <c r="B7252" s="6">
        <v>44420</v>
      </c>
      <c r="C7252" s="2" t="s">
        <v>16</v>
      </c>
      <c r="D7252" s="8">
        <v>-50</v>
      </c>
      <c r="E7252" s="8">
        <f>E7251+(0-50)</f>
        <v>8420849.8699994888</v>
      </c>
    </row>
    <row r="7253" spans="1:5" x14ac:dyDescent="0.25">
      <c r="A7253" s="2" t="s">
        <v>242</v>
      </c>
      <c r="B7253" s="6">
        <v>44420</v>
      </c>
      <c r="C7253" s="2" t="s">
        <v>16</v>
      </c>
      <c r="D7253" s="8">
        <v>-50</v>
      </c>
      <c r="E7253" s="8">
        <f>E7252+(0-50)</f>
        <v>8420799.8699994888</v>
      </c>
    </row>
    <row r="7254" spans="1:5" x14ac:dyDescent="0.25">
      <c r="A7254" s="2" t="s">
        <v>242</v>
      </c>
      <c r="B7254" s="6">
        <v>44420</v>
      </c>
      <c r="C7254" s="2" t="s">
        <v>16</v>
      </c>
      <c r="D7254" s="8">
        <v>-300</v>
      </c>
      <c r="E7254" s="8">
        <f>E7253+(0-300)</f>
        <v>8420499.8699994888</v>
      </c>
    </row>
    <row r="7255" spans="1:5" x14ac:dyDescent="0.25">
      <c r="A7255" s="2" t="s">
        <v>242</v>
      </c>
      <c r="B7255" s="6">
        <v>44420</v>
      </c>
      <c r="C7255" s="2" t="s">
        <v>52</v>
      </c>
      <c r="D7255" s="8">
        <v>-50</v>
      </c>
      <c r="E7255" s="8">
        <f>E7254+(0-50)</f>
        <v>8420449.8699994888</v>
      </c>
    </row>
    <row r="7256" spans="1:5" x14ac:dyDescent="0.25">
      <c r="A7256" s="2" t="s">
        <v>242</v>
      </c>
      <c r="B7256" s="6">
        <v>44420</v>
      </c>
      <c r="C7256" s="2" t="s">
        <v>52</v>
      </c>
      <c r="D7256" s="8">
        <v>-50</v>
      </c>
      <c r="E7256" s="8">
        <f>E7255+(0-50)</f>
        <v>8420399.8699994888</v>
      </c>
    </row>
    <row r="7257" spans="1:5" x14ac:dyDescent="0.25">
      <c r="A7257" s="2" t="s">
        <v>242</v>
      </c>
      <c r="B7257" s="6">
        <v>44421</v>
      </c>
      <c r="C7257" s="2" t="s">
        <v>434</v>
      </c>
      <c r="D7257" s="8">
        <v>-53.75</v>
      </c>
      <c r="E7257" s="8">
        <f>E7256+(0-53.75)</f>
        <v>8420346.1199994888</v>
      </c>
    </row>
    <row r="7258" spans="1:5" x14ac:dyDescent="0.25">
      <c r="A7258" s="2" t="s">
        <v>242</v>
      </c>
      <c r="B7258" s="6">
        <v>44421</v>
      </c>
      <c r="C7258" s="2" t="s">
        <v>19</v>
      </c>
      <c r="D7258" s="8">
        <v>-16</v>
      </c>
      <c r="E7258" s="8">
        <f>E7257+(0-16)</f>
        <v>8420330.1199994888</v>
      </c>
    </row>
    <row r="7259" spans="1:5" x14ac:dyDescent="0.25">
      <c r="A7259" s="2" t="s">
        <v>242</v>
      </c>
      <c r="B7259" s="6">
        <v>44421</v>
      </c>
      <c r="C7259" s="2" t="s">
        <v>17</v>
      </c>
      <c r="D7259" s="8">
        <v>-40</v>
      </c>
      <c r="E7259" s="8">
        <f>E7258+(0-40)</f>
        <v>8420290.1199994888</v>
      </c>
    </row>
    <row r="7260" spans="1:5" x14ac:dyDescent="0.25">
      <c r="A7260" s="2" t="s">
        <v>242</v>
      </c>
      <c r="B7260" s="6">
        <v>44421</v>
      </c>
      <c r="C7260" s="2" t="s">
        <v>19</v>
      </c>
      <c r="D7260" s="8">
        <v>-12</v>
      </c>
      <c r="E7260" s="8">
        <f>E7259+(0-12)</f>
        <v>8420278.1199994888</v>
      </c>
    </row>
    <row r="7261" spans="1:5" x14ac:dyDescent="0.25">
      <c r="A7261" s="2" t="s">
        <v>242</v>
      </c>
      <c r="B7261" s="6">
        <v>44421</v>
      </c>
      <c r="C7261" s="2" t="s">
        <v>16</v>
      </c>
      <c r="D7261" s="8">
        <v>-50</v>
      </c>
      <c r="E7261" s="8">
        <f>E7260+(0-50)</f>
        <v>8420228.1199994888</v>
      </c>
    </row>
    <row r="7262" spans="1:5" x14ac:dyDescent="0.25">
      <c r="A7262" s="2" t="s">
        <v>242</v>
      </c>
      <c r="B7262" s="6">
        <v>44421</v>
      </c>
      <c r="C7262" s="2" t="s">
        <v>16</v>
      </c>
      <c r="D7262" s="8">
        <v>-250</v>
      </c>
      <c r="E7262" s="8">
        <f>E7261+(0-250)</f>
        <v>8419978.1199994888</v>
      </c>
    </row>
    <row r="7263" spans="1:5" x14ac:dyDescent="0.25">
      <c r="A7263" s="2" t="s">
        <v>242</v>
      </c>
      <c r="B7263" s="6">
        <v>44424</v>
      </c>
      <c r="C7263" s="2" t="s">
        <v>17</v>
      </c>
      <c r="D7263" s="8">
        <v>-4</v>
      </c>
      <c r="E7263" s="8">
        <f>E7262+(0-4)</f>
        <v>8419974.1199994888</v>
      </c>
    </row>
    <row r="7264" spans="1:5" x14ac:dyDescent="0.25">
      <c r="A7264" s="2" t="s">
        <v>242</v>
      </c>
      <c r="B7264" s="6">
        <v>44424</v>
      </c>
      <c r="C7264" s="2" t="s">
        <v>17</v>
      </c>
      <c r="D7264" s="8">
        <v>-36</v>
      </c>
      <c r="E7264" s="8">
        <f>E7263+(0-36)</f>
        <v>8419938.1199994888</v>
      </c>
    </row>
    <row r="7265" spans="1:5" x14ac:dyDescent="0.25">
      <c r="A7265" s="2" t="s">
        <v>242</v>
      </c>
      <c r="B7265" s="6">
        <v>44424</v>
      </c>
      <c r="C7265" s="2" t="s">
        <v>17</v>
      </c>
      <c r="D7265" s="8">
        <v>-60</v>
      </c>
      <c r="E7265" s="8">
        <f>E7264+(0-60)</f>
        <v>8419878.1199994888</v>
      </c>
    </row>
    <row r="7266" spans="1:5" x14ac:dyDescent="0.25">
      <c r="A7266" s="2" t="s">
        <v>242</v>
      </c>
      <c r="B7266" s="6">
        <v>44424</v>
      </c>
      <c r="C7266" s="2" t="s">
        <v>17</v>
      </c>
      <c r="D7266" s="8">
        <v>-20</v>
      </c>
      <c r="E7266" s="8">
        <f>E7265+(0-20)</f>
        <v>8419858.1199994888</v>
      </c>
    </row>
    <row r="7267" spans="1:5" x14ac:dyDescent="0.25">
      <c r="A7267" s="2" t="s">
        <v>242</v>
      </c>
      <c r="B7267" s="6">
        <v>44424</v>
      </c>
      <c r="C7267" s="2" t="s">
        <v>17</v>
      </c>
      <c r="D7267" s="8">
        <v>-64</v>
      </c>
      <c r="E7267" s="8">
        <f>E7266+(0-64)</f>
        <v>8419794.1199994888</v>
      </c>
    </row>
    <row r="7268" spans="1:5" x14ac:dyDescent="0.25">
      <c r="A7268" s="2" t="s">
        <v>242</v>
      </c>
      <c r="B7268" s="6">
        <v>44424</v>
      </c>
      <c r="C7268" s="2" t="s">
        <v>17</v>
      </c>
      <c r="D7268" s="8">
        <v>-68</v>
      </c>
      <c r="E7268" s="8">
        <f>E7267+(0-68)</f>
        <v>8419726.1199994888</v>
      </c>
    </row>
    <row r="7269" spans="1:5" x14ac:dyDescent="0.25">
      <c r="A7269" s="2" t="s">
        <v>242</v>
      </c>
      <c r="B7269" s="6">
        <v>44424</v>
      </c>
      <c r="C7269" s="2" t="s">
        <v>17</v>
      </c>
      <c r="D7269" s="8">
        <v>-12</v>
      </c>
      <c r="E7269" s="8">
        <f>E7268+(0-12)</f>
        <v>8419714.1199994888</v>
      </c>
    </row>
    <row r="7270" spans="1:5" x14ac:dyDescent="0.25">
      <c r="A7270" s="2" t="s">
        <v>242</v>
      </c>
      <c r="B7270" s="6">
        <v>44424</v>
      </c>
      <c r="C7270" s="2" t="s">
        <v>17</v>
      </c>
      <c r="D7270" s="8">
        <v>-4</v>
      </c>
      <c r="E7270" s="8">
        <f>E7269+(0-4)</f>
        <v>8419710.1199994888</v>
      </c>
    </row>
    <row r="7271" spans="1:5" x14ac:dyDescent="0.25">
      <c r="A7271" s="2" t="s">
        <v>242</v>
      </c>
      <c r="B7271" s="6">
        <v>44424</v>
      </c>
      <c r="C7271" s="2" t="s">
        <v>24</v>
      </c>
      <c r="D7271" s="8">
        <v>-50</v>
      </c>
      <c r="E7271" s="8">
        <f>E7270+(0-50)</f>
        <v>8419660.1199994888</v>
      </c>
    </row>
    <row r="7272" spans="1:5" x14ac:dyDescent="0.25">
      <c r="A7272" s="2" t="s">
        <v>242</v>
      </c>
      <c r="B7272" s="6">
        <v>44424</v>
      </c>
      <c r="C7272" s="2" t="s">
        <v>24</v>
      </c>
      <c r="D7272" s="8">
        <v>-50</v>
      </c>
      <c r="E7272" s="8">
        <f>E7271+(0-50)</f>
        <v>8419610.1199994888</v>
      </c>
    </row>
    <row r="7273" spans="1:5" x14ac:dyDescent="0.25">
      <c r="A7273" s="2" t="s">
        <v>242</v>
      </c>
      <c r="B7273" s="6">
        <v>44424</v>
      </c>
      <c r="C7273" s="2" t="s">
        <v>16</v>
      </c>
      <c r="D7273" s="8">
        <v>-450</v>
      </c>
      <c r="E7273" s="8">
        <f>E7272+(0-450)</f>
        <v>8419160.1199994888</v>
      </c>
    </row>
    <row r="7274" spans="1:5" x14ac:dyDescent="0.25">
      <c r="A7274" s="2" t="s">
        <v>242</v>
      </c>
      <c r="B7274" s="6">
        <v>44425</v>
      </c>
      <c r="C7274" s="2" t="s">
        <v>17</v>
      </c>
      <c r="D7274" s="8">
        <v>-56</v>
      </c>
      <c r="E7274" s="8">
        <f>E7273+(0-56)</f>
        <v>8419104.1199994888</v>
      </c>
    </row>
    <row r="7275" spans="1:5" x14ac:dyDescent="0.25">
      <c r="A7275" s="2" t="s">
        <v>242</v>
      </c>
      <c r="B7275" s="6">
        <v>44425</v>
      </c>
      <c r="C7275" s="2" t="s">
        <v>16</v>
      </c>
      <c r="D7275" s="8">
        <v>-100</v>
      </c>
      <c r="E7275" s="8">
        <f>E7274+(0-100)</f>
        <v>8419004.1199994888</v>
      </c>
    </row>
    <row r="7276" spans="1:5" x14ac:dyDescent="0.25">
      <c r="A7276" s="2" t="s">
        <v>242</v>
      </c>
      <c r="B7276" s="6">
        <v>44425</v>
      </c>
      <c r="C7276" s="2" t="s">
        <v>16</v>
      </c>
      <c r="D7276" s="8">
        <v>-200</v>
      </c>
      <c r="E7276" s="8">
        <f>E7275+(0-200)</f>
        <v>8418804.1199994888</v>
      </c>
    </row>
    <row r="7277" spans="1:5" x14ac:dyDescent="0.25">
      <c r="A7277" s="2" t="s">
        <v>242</v>
      </c>
      <c r="B7277" s="6">
        <v>44426</v>
      </c>
      <c r="C7277" s="2" t="s">
        <v>16</v>
      </c>
      <c r="D7277" s="8">
        <v>-400</v>
      </c>
      <c r="E7277" s="8">
        <f>E7276+(0-400)</f>
        <v>8418404.1199994888</v>
      </c>
    </row>
    <row r="7278" spans="1:5" x14ac:dyDescent="0.25">
      <c r="A7278" s="2" t="s">
        <v>242</v>
      </c>
      <c r="B7278" s="6">
        <v>44427</v>
      </c>
      <c r="C7278" s="2" t="s">
        <v>24</v>
      </c>
      <c r="D7278" s="8">
        <v>-50</v>
      </c>
      <c r="E7278" s="8">
        <f>E7277+(0-50)</f>
        <v>8418354.1199994888</v>
      </c>
    </row>
    <row r="7279" spans="1:5" x14ac:dyDescent="0.25">
      <c r="A7279" s="2" t="s">
        <v>242</v>
      </c>
      <c r="B7279" s="6">
        <v>44427</v>
      </c>
      <c r="C7279" s="2" t="s">
        <v>435</v>
      </c>
      <c r="D7279" s="8">
        <v>-53.75</v>
      </c>
      <c r="E7279" s="8">
        <f>E7278+(0-53.75)</f>
        <v>8418300.3699994888</v>
      </c>
    </row>
    <row r="7280" spans="1:5" x14ac:dyDescent="0.25">
      <c r="A7280" s="2" t="s">
        <v>242</v>
      </c>
      <c r="B7280" s="6">
        <v>44427</v>
      </c>
      <c r="C7280" s="2" t="s">
        <v>24</v>
      </c>
      <c r="D7280" s="8">
        <v>-250</v>
      </c>
      <c r="E7280" s="8">
        <f>E7279+(0-250)</f>
        <v>8418050.3699994888</v>
      </c>
    </row>
    <row r="7281" spans="1:5" x14ac:dyDescent="0.25">
      <c r="A7281" s="2" t="s">
        <v>242</v>
      </c>
      <c r="B7281" s="6">
        <v>44428</v>
      </c>
      <c r="C7281" s="2" t="s">
        <v>17</v>
      </c>
      <c r="D7281" s="8">
        <v>-40</v>
      </c>
      <c r="E7281" s="8">
        <f>E7280+(0-40)</f>
        <v>8418010.3699994888</v>
      </c>
    </row>
    <row r="7282" spans="1:5" x14ac:dyDescent="0.25">
      <c r="A7282" s="2" t="s">
        <v>242</v>
      </c>
      <c r="B7282" s="6">
        <v>44428</v>
      </c>
      <c r="C7282" s="2" t="s">
        <v>17</v>
      </c>
      <c r="D7282" s="8">
        <v>-40</v>
      </c>
      <c r="E7282" s="8">
        <f>E7281+(0-40)</f>
        <v>8417970.3699994888</v>
      </c>
    </row>
    <row r="7283" spans="1:5" x14ac:dyDescent="0.25">
      <c r="A7283" s="2" t="s">
        <v>242</v>
      </c>
      <c r="B7283" s="6">
        <v>44428</v>
      </c>
      <c r="C7283" s="2" t="s">
        <v>17</v>
      </c>
      <c r="D7283" s="8">
        <v>-44</v>
      </c>
      <c r="E7283" s="8">
        <f>E7282+(0-44)</f>
        <v>8417926.3699994888</v>
      </c>
    </row>
    <row r="7284" spans="1:5" x14ac:dyDescent="0.25">
      <c r="A7284" s="2" t="s">
        <v>242</v>
      </c>
      <c r="B7284" s="6">
        <v>44428</v>
      </c>
      <c r="C7284" s="2" t="s">
        <v>24</v>
      </c>
      <c r="D7284" s="8">
        <v>-600</v>
      </c>
      <c r="E7284" s="8">
        <f>E7283+(0-600)</f>
        <v>8417326.3699994888</v>
      </c>
    </row>
    <row r="7285" spans="1:5" x14ac:dyDescent="0.25">
      <c r="A7285" s="2" t="s">
        <v>242</v>
      </c>
      <c r="B7285" s="6">
        <v>44428</v>
      </c>
      <c r="C7285" s="2" t="s">
        <v>17</v>
      </c>
      <c r="D7285" s="8">
        <v>-36</v>
      </c>
      <c r="E7285" s="8">
        <f>E7284+(0-36)</f>
        <v>8417290.3699994888</v>
      </c>
    </row>
    <row r="7286" spans="1:5" x14ac:dyDescent="0.25">
      <c r="A7286" s="2" t="s">
        <v>242</v>
      </c>
      <c r="B7286" s="6">
        <v>44431</v>
      </c>
      <c r="C7286" s="2" t="s">
        <v>16</v>
      </c>
      <c r="D7286" s="8">
        <v>-150</v>
      </c>
      <c r="E7286" s="8">
        <f>E7285+(0-150)</f>
        <v>8417140.3699994888</v>
      </c>
    </row>
    <row r="7287" spans="1:5" x14ac:dyDescent="0.25">
      <c r="A7287" s="2" t="s">
        <v>242</v>
      </c>
      <c r="B7287" s="6">
        <v>44432</v>
      </c>
      <c r="C7287" s="2" t="s">
        <v>24</v>
      </c>
      <c r="D7287" s="8">
        <v>-300</v>
      </c>
      <c r="E7287" s="8">
        <f>E7286+(0-300)</f>
        <v>8416840.3699994888</v>
      </c>
    </row>
    <row r="7288" spans="1:5" x14ac:dyDescent="0.25">
      <c r="A7288" s="2" t="s">
        <v>242</v>
      </c>
      <c r="B7288" s="6">
        <v>44433</v>
      </c>
      <c r="C7288" s="2" t="s">
        <v>24</v>
      </c>
      <c r="D7288" s="8">
        <v>-150</v>
      </c>
      <c r="E7288" s="8">
        <f>E7287+(0-150)</f>
        <v>8416690.3699994888</v>
      </c>
    </row>
    <row r="7289" spans="1:5" x14ac:dyDescent="0.25">
      <c r="A7289" s="2" t="s">
        <v>242</v>
      </c>
      <c r="B7289" s="6">
        <v>44433</v>
      </c>
      <c r="C7289" s="2" t="s">
        <v>24</v>
      </c>
      <c r="D7289" s="8">
        <v>-150</v>
      </c>
      <c r="E7289" s="8">
        <f>E7288+(0-150)</f>
        <v>8416540.3699994888</v>
      </c>
    </row>
    <row r="7290" spans="1:5" x14ac:dyDescent="0.25">
      <c r="A7290" s="2" t="s">
        <v>242</v>
      </c>
      <c r="B7290" s="6">
        <v>44434</v>
      </c>
      <c r="C7290" s="2" t="s">
        <v>436</v>
      </c>
      <c r="D7290" s="8">
        <v>-600</v>
      </c>
      <c r="E7290" s="8">
        <f>E7289+(0-600)</f>
        <v>8415940.3699994888</v>
      </c>
    </row>
    <row r="7291" spans="1:5" x14ac:dyDescent="0.25">
      <c r="A7291" s="2" t="s">
        <v>242</v>
      </c>
      <c r="B7291" s="6">
        <v>44435</v>
      </c>
      <c r="C7291" s="2" t="s">
        <v>24</v>
      </c>
      <c r="D7291" s="8">
        <v>-50</v>
      </c>
      <c r="E7291" s="8">
        <f>E7290+(0-50)</f>
        <v>8415890.3699994888</v>
      </c>
    </row>
    <row r="7292" spans="1:5" x14ac:dyDescent="0.25">
      <c r="A7292" s="2" t="s">
        <v>242</v>
      </c>
      <c r="B7292" s="6">
        <v>44435</v>
      </c>
      <c r="C7292" s="2" t="s">
        <v>24</v>
      </c>
      <c r="D7292" s="8">
        <v>-350</v>
      </c>
      <c r="E7292" s="8">
        <f>E7291+(0-350)</f>
        <v>8415540.3699994888</v>
      </c>
    </row>
    <row r="7293" spans="1:5" x14ac:dyDescent="0.25">
      <c r="A7293" s="2" t="s">
        <v>242</v>
      </c>
      <c r="B7293" s="6">
        <v>44435</v>
      </c>
      <c r="C7293" s="2" t="s">
        <v>24</v>
      </c>
      <c r="D7293" s="8">
        <v>-200</v>
      </c>
      <c r="E7293" s="8">
        <f>E7292+(0-200)</f>
        <v>8415340.3699994888</v>
      </c>
    </row>
    <row r="7294" spans="1:5" x14ac:dyDescent="0.25">
      <c r="A7294" s="2" t="s">
        <v>242</v>
      </c>
      <c r="B7294" s="6">
        <v>44438</v>
      </c>
      <c r="C7294" s="2" t="s">
        <v>17</v>
      </c>
      <c r="D7294" s="8">
        <v>-56</v>
      </c>
      <c r="E7294" s="8">
        <f>E7293+(0-56)</f>
        <v>8415284.3699994888</v>
      </c>
    </row>
    <row r="7295" spans="1:5" x14ac:dyDescent="0.25">
      <c r="A7295" s="2" t="s">
        <v>242</v>
      </c>
      <c r="B7295" s="6">
        <v>44438</v>
      </c>
      <c r="C7295" s="2" t="s">
        <v>17</v>
      </c>
      <c r="D7295" s="8">
        <v>-24</v>
      </c>
      <c r="E7295" s="8">
        <f>E7294+(0-24)</f>
        <v>8415260.3699994888</v>
      </c>
    </row>
    <row r="7296" spans="1:5" x14ac:dyDescent="0.25">
      <c r="A7296" s="2" t="s">
        <v>242</v>
      </c>
      <c r="B7296" s="6">
        <v>44438</v>
      </c>
      <c r="C7296" s="2" t="s">
        <v>17</v>
      </c>
      <c r="D7296" s="8">
        <v>-56</v>
      </c>
      <c r="E7296" s="8">
        <f>E7295+(0-56)</f>
        <v>8415204.3699994888</v>
      </c>
    </row>
    <row r="7297" spans="1:5" x14ac:dyDescent="0.25">
      <c r="A7297" s="2" t="s">
        <v>242</v>
      </c>
      <c r="B7297" s="6">
        <v>44438</v>
      </c>
      <c r="C7297" s="2" t="s">
        <v>17</v>
      </c>
      <c r="D7297" s="8">
        <v>-20</v>
      </c>
      <c r="E7297" s="8">
        <f>E7296+(0-20)</f>
        <v>8415184.3699994888</v>
      </c>
    </row>
    <row r="7298" spans="1:5" x14ac:dyDescent="0.25">
      <c r="A7298" s="2" t="s">
        <v>242</v>
      </c>
      <c r="B7298" s="6">
        <v>44438</v>
      </c>
      <c r="C7298" s="2" t="s">
        <v>17</v>
      </c>
      <c r="D7298" s="8">
        <v>-40</v>
      </c>
      <c r="E7298" s="8">
        <f>E7297+(0-40)</f>
        <v>8415144.3699994888</v>
      </c>
    </row>
    <row r="7299" spans="1:5" x14ac:dyDescent="0.25">
      <c r="A7299" s="2" t="s">
        <v>242</v>
      </c>
      <c r="B7299" s="6">
        <v>44438</v>
      </c>
      <c r="C7299" s="2" t="s">
        <v>17</v>
      </c>
      <c r="D7299" s="8">
        <v>-92</v>
      </c>
      <c r="E7299" s="8">
        <f>E7298+(0-92)</f>
        <v>8415052.3699994888</v>
      </c>
    </row>
    <row r="7300" spans="1:5" x14ac:dyDescent="0.25">
      <c r="A7300" s="2" t="s">
        <v>242</v>
      </c>
      <c r="B7300" s="6">
        <v>44438</v>
      </c>
      <c r="C7300" s="2" t="s">
        <v>16</v>
      </c>
      <c r="D7300" s="8">
        <v>-50</v>
      </c>
      <c r="E7300" s="8">
        <f>E7299+(0-50)</f>
        <v>8415002.3699994888</v>
      </c>
    </row>
    <row r="7301" spans="1:5" x14ac:dyDescent="0.25">
      <c r="A7301" s="2" t="s">
        <v>242</v>
      </c>
      <c r="B7301" s="6">
        <v>44438</v>
      </c>
      <c r="C7301" s="2" t="s">
        <v>137</v>
      </c>
      <c r="D7301" s="8">
        <v>-53.75</v>
      </c>
      <c r="E7301" s="8">
        <f>E7300+(0-53.75)</f>
        <v>8414948.6199994888</v>
      </c>
    </row>
    <row r="7302" spans="1:5" x14ac:dyDescent="0.25">
      <c r="A7302" s="2" t="s">
        <v>242</v>
      </c>
      <c r="B7302" s="6">
        <v>44438</v>
      </c>
      <c r="C7302" s="2" t="s">
        <v>16</v>
      </c>
      <c r="D7302" s="8">
        <v>-50</v>
      </c>
      <c r="E7302" s="8">
        <f>E7301+(0-50)</f>
        <v>8414898.6199994888</v>
      </c>
    </row>
    <row r="7303" spans="1:5" x14ac:dyDescent="0.25">
      <c r="A7303" s="2" t="s">
        <v>242</v>
      </c>
      <c r="B7303" s="6">
        <v>44438</v>
      </c>
      <c r="C7303" s="2" t="s">
        <v>16</v>
      </c>
      <c r="D7303" s="8">
        <v>-350</v>
      </c>
      <c r="E7303" s="8">
        <f>E7302+(0-350)</f>
        <v>8414548.6199994888</v>
      </c>
    </row>
    <row r="7304" spans="1:5" x14ac:dyDescent="0.25">
      <c r="A7304" s="2" t="s">
        <v>242</v>
      </c>
      <c r="B7304" s="6">
        <v>44438</v>
      </c>
      <c r="C7304" s="2" t="s">
        <v>16</v>
      </c>
      <c r="D7304" s="8">
        <v>-50</v>
      </c>
      <c r="E7304" s="8">
        <f>E7303+(0-50)</f>
        <v>8414498.6199994888</v>
      </c>
    </row>
    <row r="7305" spans="1:5" x14ac:dyDescent="0.25">
      <c r="A7305" s="2" t="s">
        <v>242</v>
      </c>
      <c r="B7305" s="6">
        <v>44439</v>
      </c>
      <c r="C7305" s="2" t="s">
        <v>16</v>
      </c>
      <c r="D7305" s="8">
        <v>-50</v>
      </c>
      <c r="E7305" s="8">
        <f>E7304+(0-50)</f>
        <v>8414448.6199994888</v>
      </c>
    </row>
    <row r="7306" spans="1:5" x14ac:dyDescent="0.25">
      <c r="A7306" s="2" t="s">
        <v>242</v>
      </c>
      <c r="B7306" s="6">
        <v>44439</v>
      </c>
      <c r="C7306" s="2" t="s">
        <v>16</v>
      </c>
      <c r="D7306" s="8">
        <v>-250</v>
      </c>
      <c r="E7306" s="8">
        <f>E7305+(0-250)</f>
        <v>8414198.6199994888</v>
      </c>
    </row>
    <row r="7307" spans="1:5" x14ac:dyDescent="0.25">
      <c r="A7307" s="2" t="s">
        <v>242</v>
      </c>
      <c r="B7307" s="6">
        <v>44439</v>
      </c>
      <c r="C7307" s="2" t="s">
        <v>17</v>
      </c>
      <c r="D7307" s="8">
        <v>-4</v>
      </c>
      <c r="E7307" s="8">
        <f>E7306+(0-4)</f>
        <v>8414194.6199994888</v>
      </c>
    </row>
    <row r="7308" spans="1:5" x14ac:dyDescent="0.25">
      <c r="A7308" s="2" t="s">
        <v>242</v>
      </c>
      <c r="B7308" s="6">
        <v>44439</v>
      </c>
      <c r="C7308" s="2" t="s">
        <v>17</v>
      </c>
      <c r="D7308" s="8">
        <v>-8</v>
      </c>
      <c r="E7308" s="8">
        <f>E7307+(0-8)</f>
        <v>8414186.6199994888</v>
      </c>
    </row>
    <row r="7309" spans="1:5" x14ac:dyDescent="0.25">
      <c r="A7309" s="2" t="s">
        <v>242</v>
      </c>
      <c r="B7309" s="6">
        <v>44439</v>
      </c>
      <c r="C7309" s="2" t="s">
        <v>17</v>
      </c>
      <c r="D7309" s="8">
        <v>-52</v>
      </c>
      <c r="E7309" s="8">
        <f>E7308+(0-52)</f>
        <v>8414134.6199994888</v>
      </c>
    </row>
    <row r="7310" spans="1:5" x14ac:dyDescent="0.25">
      <c r="A7310" s="2" t="s">
        <v>242</v>
      </c>
      <c r="B7310" s="6">
        <v>44439</v>
      </c>
      <c r="C7310" s="2" t="s">
        <v>437</v>
      </c>
      <c r="D7310" s="8">
        <v>-26.88</v>
      </c>
      <c r="E7310" s="8">
        <f>E7309+(0-26.88)</f>
        <v>8414107.739999488</v>
      </c>
    </row>
    <row r="7311" spans="1:5" x14ac:dyDescent="0.25">
      <c r="A7311" s="2" t="s">
        <v>242</v>
      </c>
      <c r="B7311" s="6">
        <v>44439</v>
      </c>
      <c r="C7311" s="2" t="s">
        <v>438</v>
      </c>
      <c r="D7311" s="8">
        <v>-53.75</v>
      </c>
      <c r="E7311" s="8">
        <f>E7310+(0-53.75)</f>
        <v>8414053.989999488</v>
      </c>
    </row>
    <row r="7312" spans="1:5" x14ac:dyDescent="0.25">
      <c r="A7312" s="2" t="s">
        <v>242</v>
      </c>
      <c r="B7312" s="6">
        <v>44439</v>
      </c>
      <c r="C7312" s="2" t="s">
        <v>439</v>
      </c>
      <c r="D7312" s="8">
        <v>-26.88</v>
      </c>
      <c r="E7312" s="8">
        <f>E7311+(0-26.88)</f>
        <v>8414027.1099994872</v>
      </c>
    </row>
    <row r="7313" spans="1:5" x14ac:dyDescent="0.25">
      <c r="A7313" s="2" t="s">
        <v>242</v>
      </c>
      <c r="B7313" s="6">
        <v>44441</v>
      </c>
      <c r="C7313" s="2" t="s">
        <v>52</v>
      </c>
      <c r="D7313" s="8">
        <v>-50</v>
      </c>
      <c r="E7313" s="8">
        <f>E7312+(0-50)</f>
        <v>8413977.1099994872</v>
      </c>
    </row>
    <row r="7314" spans="1:5" x14ac:dyDescent="0.25">
      <c r="A7314" s="2" t="s">
        <v>242</v>
      </c>
      <c r="B7314" s="6">
        <v>44447</v>
      </c>
      <c r="C7314" s="2" t="s">
        <v>19</v>
      </c>
      <c r="D7314" s="8">
        <v>-84</v>
      </c>
      <c r="E7314" s="8">
        <f>E7313+(0-84)</f>
        <v>8413893.1099994872</v>
      </c>
    </row>
    <row r="7315" spans="1:5" x14ac:dyDescent="0.25">
      <c r="A7315" s="2" t="s">
        <v>242</v>
      </c>
      <c r="B7315" s="6">
        <v>44448</v>
      </c>
      <c r="C7315" s="2" t="s">
        <v>24</v>
      </c>
      <c r="D7315" s="8">
        <v>-50</v>
      </c>
      <c r="E7315" s="8">
        <f>E7314+(0-50)</f>
        <v>8413843.1099994872</v>
      </c>
    </row>
    <row r="7316" spans="1:5" x14ac:dyDescent="0.25">
      <c r="A7316" s="2" t="s">
        <v>242</v>
      </c>
      <c r="B7316" s="6">
        <v>44448</v>
      </c>
      <c r="C7316" s="2" t="s">
        <v>17</v>
      </c>
      <c r="D7316" s="8">
        <v>-64</v>
      </c>
      <c r="E7316" s="8">
        <f>E7315+(0-64)</f>
        <v>8413779.1099994872</v>
      </c>
    </row>
    <row r="7317" spans="1:5" x14ac:dyDescent="0.25">
      <c r="A7317" s="2" t="s">
        <v>242</v>
      </c>
      <c r="B7317" s="6">
        <v>44448</v>
      </c>
      <c r="C7317" s="2" t="s">
        <v>24</v>
      </c>
      <c r="D7317" s="8">
        <v>-50</v>
      </c>
      <c r="E7317" s="8">
        <f>E7316+(0-50)</f>
        <v>8413729.1099994872</v>
      </c>
    </row>
    <row r="7318" spans="1:5" x14ac:dyDescent="0.25">
      <c r="A7318" s="2" t="s">
        <v>242</v>
      </c>
      <c r="B7318" s="6">
        <v>44448</v>
      </c>
      <c r="C7318" s="2" t="s">
        <v>24</v>
      </c>
      <c r="D7318" s="8">
        <v>-50</v>
      </c>
      <c r="E7318" s="8">
        <f>E7317+(0-50)</f>
        <v>8413679.1099994872</v>
      </c>
    </row>
    <row r="7319" spans="1:5" x14ac:dyDescent="0.25">
      <c r="A7319" s="2" t="s">
        <v>242</v>
      </c>
      <c r="B7319" s="6">
        <v>44448</v>
      </c>
      <c r="C7319" s="2" t="s">
        <v>24</v>
      </c>
      <c r="D7319" s="8">
        <v>-300</v>
      </c>
      <c r="E7319" s="8">
        <f>E7318+(0-300)</f>
        <v>8413379.1099994872</v>
      </c>
    </row>
    <row r="7320" spans="1:5" x14ac:dyDescent="0.25">
      <c r="A7320" s="2" t="s">
        <v>242</v>
      </c>
      <c r="B7320" s="6">
        <v>44449</v>
      </c>
      <c r="C7320" s="2" t="s">
        <v>24</v>
      </c>
      <c r="D7320" s="8">
        <v>-50</v>
      </c>
      <c r="E7320" s="8">
        <f>E7319+(0-50)</f>
        <v>8413329.1099994872</v>
      </c>
    </row>
    <row r="7321" spans="1:5" x14ac:dyDescent="0.25">
      <c r="A7321" s="2" t="s">
        <v>242</v>
      </c>
      <c r="B7321" s="6">
        <v>44449</v>
      </c>
      <c r="C7321" s="2" t="s">
        <v>24</v>
      </c>
      <c r="D7321" s="8">
        <v>-600</v>
      </c>
      <c r="E7321" s="8">
        <f>E7320+(0-600)</f>
        <v>8412729.1099994872</v>
      </c>
    </row>
    <row r="7322" spans="1:5" x14ac:dyDescent="0.25">
      <c r="A7322" s="2" t="s">
        <v>242</v>
      </c>
      <c r="B7322" s="6">
        <v>44452</v>
      </c>
      <c r="C7322" s="2" t="s">
        <v>24</v>
      </c>
      <c r="D7322" s="8">
        <v>-50</v>
      </c>
      <c r="E7322" s="8">
        <f>E7321+(0-50)</f>
        <v>8412679.1099994872</v>
      </c>
    </row>
    <row r="7323" spans="1:5" x14ac:dyDescent="0.25">
      <c r="A7323" s="2" t="s">
        <v>242</v>
      </c>
      <c r="B7323" s="6">
        <v>44452</v>
      </c>
      <c r="C7323" s="2" t="s">
        <v>17</v>
      </c>
      <c r="D7323" s="8">
        <v>-60</v>
      </c>
      <c r="E7323" s="8">
        <f>E7322+(0-60)</f>
        <v>8412619.1099994872</v>
      </c>
    </row>
    <row r="7324" spans="1:5" x14ac:dyDescent="0.25">
      <c r="A7324" s="2" t="s">
        <v>242</v>
      </c>
      <c r="B7324" s="6">
        <v>44452</v>
      </c>
      <c r="C7324" s="2" t="s">
        <v>24</v>
      </c>
      <c r="D7324" s="8">
        <v>-50</v>
      </c>
      <c r="E7324" s="8">
        <f>E7323+(0-50)</f>
        <v>8412569.1099994872</v>
      </c>
    </row>
    <row r="7325" spans="1:5" x14ac:dyDescent="0.25">
      <c r="A7325" s="2" t="s">
        <v>242</v>
      </c>
      <c r="B7325" s="6">
        <v>44452</v>
      </c>
      <c r="C7325" s="2" t="s">
        <v>19</v>
      </c>
      <c r="D7325" s="8">
        <v>-76</v>
      </c>
      <c r="E7325" s="8">
        <f>E7324+(0-76)</f>
        <v>8412493.1099994872</v>
      </c>
    </row>
    <row r="7326" spans="1:5" x14ac:dyDescent="0.25">
      <c r="A7326" s="2" t="s">
        <v>242</v>
      </c>
      <c r="B7326" s="6">
        <v>44452</v>
      </c>
      <c r="C7326" s="2" t="s">
        <v>24</v>
      </c>
      <c r="D7326" s="8">
        <v>-300</v>
      </c>
      <c r="E7326" s="8">
        <f>E7325+(0-300)</f>
        <v>8412193.1099994872</v>
      </c>
    </row>
    <row r="7327" spans="1:5" x14ac:dyDescent="0.25">
      <c r="A7327" s="2" t="s">
        <v>242</v>
      </c>
      <c r="B7327" s="6">
        <v>44452</v>
      </c>
      <c r="C7327" s="2" t="s">
        <v>17</v>
      </c>
      <c r="D7327" s="8">
        <v>-4</v>
      </c>
      <c r="E7327" s="8">
        <f>E7326+(0-4)</f>
        <v>8412189.1099994872</v>
      </c>
    </row>
    <row r="7328" spans="1:5" x14ac:dyDescent="0.25">
      <c r="A7328" s="2" t="s">
        <v>242</v>
      </c>
      <c r="B7328" s="6">
        <v>44453</v>
      </c>
      <c r="C7328" s="2" t="s">
        <v>24</v>
      </c>
      <c r="D7328" s="8">
        <v>-50</v>
      </c>
      <c r="E7328" s="8">
        <f>E7327+(0-50)</f>
        <v>8412139.1099994872</v>
      </c>
    </row>
    <row r="7329" spans="1:5" x14ac:dyDescent="0.25">
      <c r="A7329" s="2" t="s">
        <v>242</v>
      </c>
      <c r="B7329" s="6">
        <v>44453</v>
      </c>
      <c r="C7329" s="2" t="s">
        <v>24</v>
      </c>
      <c r="D7329" s="8">
        <v>-50</v>
      </c>
      <c r="E7329" s="8">
        <f>E7328+(0-50)</f>
        <v>8412089.1099994872</v>
      </c>
    </row>
    <row r="7330" spans="1:5" x14ac:dyDescent="0.25">
      <c r="A7330" s="2" t="s">
        <v>242</v>
      </c>
      <c r="B7330" s="6">
        <v>44453</v>
      </c>
      <c r="C7330" s="2" t="s">
        <v>24</v>
      </c>
      <c r="D7330" s="8">
        <v>-50</v>
      </c>
      <c r="E7330" s="8">
        <f>E7329+(0-50)</f>
        <v>8412039.1099994872</v>
      </c>
    </row>
    <row r="7331" spans="1:5" x14ac:dyDescent="0.25">
      <c r="A7331" s="2" t="s">
        <v>242</v>
      </c>
      <c r="B7331" s="6">
        <v>44453</v>
      </c>
      <c r="C7331" s="2" t="s">
        <v>24</v>
      </c>
      <c r="D7331" s="8">
        <v>-50</v>
      </c>
      <c r="E7331" s="8">
        <f>E7330+(0-50)</f>
        <v>8411989.1099994872</v>
      </c>
    </row>
    <row r="7332" spans="1:5" x14ac:dyDescent="0.25">
      <c r="A7332" s="2" t="s">
        <v>242</v>
      </c>
      <c r="B7332" s="6">
        <v>44453</v>
      </c>
      <c r="C7332" s="2" t="s">
        <v>24</v>
      </c>
      <c r="D7332" s="8">
        <v>-50</v>
      </c>
      <c r="E7332" s="8">
        <f>E7331+(0-50)</f>
        <v>8411939.1099994872</v>
      </c>
    </row>
    <row r="7333" spans="1:5" x14ac:dyDescent="0.25">
      <c r="A7333" s="2" t="s">
        <v>242</v>
      </c>
      <c r="B7333" s="6">
        <v>44453</v>
      </c>
      <c r="C7333" s="2" t="s">
        <v>24</v>
      </c>
      <c r="D7333" s="8">
        <v>-50</v>
      </c>
      <c r="E7333" s="8">
        <f>E7332+(0-50)</f>
        <v>8411889.1099994872</v>
      </c>
    </row>
    <row r="7334" spans="1:5" x14ac:dyDescent="0.25">
      <c r="A7334" s="2" t="s">
        <v>242</v>
      </c>
      <c r="B7334" s="6">
        <v>44453</v>
      </c>
      <c r="C7334" s="2" t="s">
        <v>17</v>
      </c>
      <c r="D7334" s="8">
        <v>-74</v>
      </c>
      <c r="E7334" s="8">
        <f>E7333+(0-74)</f>
        <v>8411815.1099994872</v>
      </c>
    </row>
    <row r="7335" spans="1:5" x14ac:dyDescent="0.25">
      <c r="A7335" s="2" t="s">
        <v>242</v>
      </c>
      <c r="B7335" s="6">
        <v>44453</v>
      </c>
      <c r="C7335" s="2" t="s">
        <v>24</v>
      </c>
      <c r="D7335" s="8">
        <v>-300</v>
      </c>
      <c r="E7335" s="8">
        <f>E7334+(0-300)</f>
        <v>8411515.1099994872</v>
      </c>
    </row>
    <row r="7336" spans="1:5" x14ac:dyDescent="0.25">
      <c r="A7336" s="2" t="s">
        <v>242</v>
      </c>
      <c r="B7336" s="6">
        <v>44453</v>
      </c>
      <c r="C7336" s="2" t="s">
        <v>24</v>
      </c>
      <c r="D7336" s="8">
        <v>-50</v>
      </c>
      <c r="E7336" s="8">
        <f>E7335+(0-50)</f>
        <v>8411465.1099994872</v>
      </c>
    </row>
    <row r="7337" spans="1:5" x14ac:dyDescent="0.25">
      <c r="A7337" s="2" t="s">
        <v>242</v>
      </c>
      <c r="B7337" s="6">
        <v>44454</v>
      </c>
      <c r="C7337" s="2" t="s">
        <v>19</v>
      </c>
      <c r="D7337" s="8">
        <v>-76</v>
      </c>
      <c r="E7337" s="8">
        <f>E7336+(0-76)</f>
        <v>8411389.1099994872</v>
      </c>
    </row>
    <row r="7338" spans="1:5" x14ac:dyDescent="0.25">
      <c r="A7338" s="2" t="s">
        <v>242</v>
      </c>
      <c r="B7338" s="6">
        <v>44454</v>
      </c>
      <c r="C7338" s="2" t="s">
        <v>24</v>
      </c>
      <c r="D7338" s="8">
        <v>-250</v>
      </c>
      <c r="E7338" s="8">
        <f>E7337+(0-250)</f>
        <v>8411139.1099994872</v>
      </c>
    </row>
    <row r="7339" spans="1:5" x14ac:dyDescent="0.25">
      <c r="A7339" s="2" t="s">
        <v>242</v>
      </c>
      <c r="B7339" s="6">
        <v>44454</v>
      </c>
      <c r="C7339" s="2" t="s">
        <v>24</v>
      </c>
      <c r="D7339" s="8">
        <v>-50</v>
      </c>
      <c r="E7339" s="8">
        <f>E7338+(0-50)</f>
        <v>8411089.1099994872</v>
      </c>
    </row>
    <row r="7340" spans="1:5" x14ac:dyDescent="0.25">
      <c r="A7340" s="2" t="s">
        <v>242</v>
      </c>
      <c r="B7340" s="6">
        <v>44455</v>
      </c>
      <c r="C7340" s="2" t="s">
        <v>19</v>
      </c>
      <c r="D7340" s="8">
        <v>-24</v>
      </c>
      <c r="E7340" s="8">
        <f>E7339+(0-24)</f>
        <v>8411065.1099994872</v>
      </c>
    </row>
    <row r="7341" spans="1:5" x14ac:dyDescent="0.25">
      <c r="A7341" s="2" t="s">
        <v>242</v>
      </c>
      <c r="B7341" s="6">
        <v>44455</v>
      </c>
      <c r="C7341" s="2" t="s">
        <v>24</v>
      </c>
      <c r="D7341" s="8">
        <v>-50</v>
      </c>
      <c r="E7341" s="8">
        <f>E7340+(0-50)</f>
        <v>8411015.1099994872</v>
      </c>
    </row>
    <row r="7342" spans="1:5" x14ac:dyDescent="0.25">
      <c r="A7342" s="2" t="s">
        <v>242</v>
      </c>
      <c r="B7342" s="6">
        <v>44455</v>
      </c>
      <c r="C7342" s="2" t="s">
        <v>24</v>
      </c>
      <c r="D7342" s="8">
        <v>-50</v>
      </c>
      <c r="E7342" s="8">
        <f>E7341+(0-50)</f>
        <v>8410965.1099994872</v>
      </c>
    </row>
    <row r="7343" spans="1:5" x14ac:dyDescent="0.25">
      <c r="A7343" s="2" t="s">
        <v>242</v>
      </c>
      <c r="B7343" s="6">
        <v>44455</v>
      </c>
      <c r="C7343" s="2" t="s">
        <v>24</v>
      </c>
      <c r="D7343" s="8">
        <v>-50</v>
      </c>
      <c r="E7343" s="8">
        <f>E7342+(0-50)</f>
        <v>8410915.1099994872</v>
      </c>
    </row>
    <row r="7344" spans="1:5" x14ac:dyDescent="0.25">
      <c r="A7344" s="2" t="s">
        <v>242</v>
      </c>
      <c r="B7344" s="6">
        <v>44455</v>
      </c>
      <c r="C7344" s="2" t="s">
        <v>24</v>
      </c>
      <c r="D7344" s="8">
        <v>-600</v>
      </c>
      <c r="E7344" s="8">
        <f>E7343+(0-600)</f>
        <v>8410315.1099994872</v>
      </c>
    </row>
    <row r="7345" spans="1:5" x14ac:dyDescent="0.25">
      <c r="A7345" s="2" t="s">
        <v>242</v>
      </c>
      <c r="B7345" s="6">
        <v>44456</v>
      </c>
      <c r="C7345" s="2" t="s">
        <v>440</v>
      </c>
      <c r="D7345" s="8">
        <v>-26.88</v>
      </c>
      <c r="E7345" s="8">
        <f>E7344+(0-26.88)</f>
        <v>8410288.2299994864</v>
      </c>
    </row>
    <row r="7346" spans="1:5" x14ac:dyDescent="0.25">
      <c r="A7346" s="2" t="s">
        <v>242</v>
      </c>
      <c r="B7346" s="6">
        <v>44456</v>
      </c>
      <c r="C7346" s="2" t="s">
        <v>28</v>
      </c>
      <c r="D7346" s="8">
        <v>-53.75</v>
      </c>
      <c r="E7346" s="8">
        <f>E7345+(0-53.75)</f>
        <v>8410234.4799994864</v>
      </c>
    </row>
    <row r="7347" spans="1:5" x14ac:dyDescent="0.25">
      <c r="A7347" s="2" t="s">
        <v>242</v>
      </c>
      <c r="B7347" s="6">
        <v>44456</v>
      </c>
      <c r="C7347" s="2" t="s">
        <v>24</v>
      </c>
      <c r="D7347" s="8">
        <v>-300</v>
      </c>
      <c r="E7347" s="8">
        <f>E7346+(0-300)</f>
        <v>8409934.4799994864</v>
      </c>
    </row>
    <row r="7348" spans="1:5" x14ac:dyDescent="0.25">
      <c r="A7348" s="2" t="s">
        <v>242</v>
      </c>
      <c r="B7348" s="6">
        <v>44459</v>
      </c>
      <c r="C7348" s="2" t="s">
        <v>107</v>
      </c>
      <c r="D7348" s="8">
        <v>-26.88</v>
      </c>
      <c r="E7348" s="8">
        <f>E7347+(0-26.88)</f>
        <v>8409907.5999994855</v>
      </c>
    </row>
    <row r="7349" spans="1:5" x14ac:dyDescent="0.25">
      <c r="A7349" s="2" t="s">
        <v>242</v>
      </c>
      <c r="B7349" s="6">
        <v>44459</v>
      </c>
      <c r="C7349" s="2" t="s">
        <v>17</v>
      </c>
      <c r="D7349" s="8">
        <v>-84</v>
      </c>
      <c r="E7349" s="8">
        <f>E7348+(0-84)</f>
        <v>8409823.5999994855</v>
      </c>
    </row>
    <row r="7350" spans="1:5" x14ac:dyDescent="0.25">
      <c r="A7350" s="2" t="s">
        <v>242</v>
      </c>
      <c r="B7350" s="6">
        <v>44459</v>
      </c>
      <c r="C7350" s="2" t="s">
        <v>19</v>
      </c>
      <c r="D7350" s="8">
        <v>-76</v>
      </c>
      <c r="E7350" s="8">
        <f>E7349+(0-76)</f>
        <v>8409747.5999994855</v>
      </c>
    </row>
    <row r="7351" spans="1:5" x14ac:dyDescent="0.25">
      <c r="A7351" s="2" t="s">
        <v>242</v>
      </c>
      <c r="B7351" s="6">
        <v>44459</v>
      </c>
      <c r="C7351" s="2" t="s">
        <v>441</v>
      </c>
      <c r="D7351" s="8">
        <v>-26.88</v>
      </c>
      <c r="E7351" s="8">
        <f>E7350+(0-26.88)</f>
        <v>8409720.7199994847</v>
      </c>
    </row>
    <row r="7352" spans="1:5" x14ac:dyDescent="0.25">
      <c r="A7352" s="2" t="s">
        <v>242</v>
      </c>
      <c r="B7352" s="6">
        <v>44459</v>
      </c>
      <c r="C7352" s="2" t="s">
        <v>17</v>
      </c>
      <c r="D7352" s="8">
        <v>-8</v>
      </c>
      <c r="E7352" s="8">
        <f>E7351+(0-8)</f>
        <v>8409712.7199994847</v>
      </c>
    </row>
    <row r="7353" spans="1:5" x14ac:dyDescent="0.25">
      <c r="A7353" s="2" t="s">
        <v>242</v>
      </c>
      <c r="B7353" s="6">
        <v>44459</v>
      </c>
      <c r="C7353" s="2" t="s">
        <v>24</v>
      </c>
      <c r="D7353" s="8">
        <v>-8</v>
      </c>
      <c r="E7353" s="8">
        <f>E7352+(0-8)</f>
        <v>8409704.7199994847</v>
      </c>
    </row>
    <row r="7354" spans="1:5" x14ac:dyDescent="0.25">
      <c r="A7354" s="2" t="s">
        <v>242</v>
      </c>
      <c r="B7354" s="6">
        <v>44459</v>
      </c>
      <c r="C7354" s="2" t="s">
        <v>24</v>
      </c>
      <c r="D7354" s="8">
        <v>-350</v>
      </c>
      <c r="E7354" s="8">
        <f>E7353+(0-350)</f>
        <v>8409354.7199994847</v>
      </c>
    </row>
    <row r="7355" spans="1:5" x14ac:dyDescent="0.25">
      <c r="A7355" s="2" t="s">
        <v>242</v>
      </c>
      <c r="B7355" s="6">
        <v>44459</v>
      </c>
      <c r="C7355" s="2" t="s">
        <v>24</v>
      </c>
      <c r="D7355" s="8">
        <v>-50</v>
      </c>
      <c r="E7355" s="8">
        <f>E7354+(0-50)</f>
        <v>8409304.7199994847</v>
      </c>
    </row>
    <row r="7356" spans="1:5" x14ac:dyDescent="0.25">
      <c r="A7356" s="2" t="s">
        <v>242</v>
      </c>
      <c r="B7356" s="6">
        <v>44460</v>
      </c>
      <c r="C7356" s="2" t="s">
        <v>19</v>
      </c>
      <c r="D7356" s="8">
        <v>-56</v>
      </c>
      <c r="E7356" s="8">
        <f>E7355+(0-56)</f>
        <v>8409248.7199994847</v>
      </c>
    </row>
    <row r="7357" spans="1:5" x14ac:dyDescent="0.25">
      <c r="A7357" s="2" t="s">
        <v>242</v>
      </c>
      <c r="B7357" s="6">
        <v>44460</v>
      </c>
      <c r="C7357" s="2" t="s">
        <v>442</v>
      </c>
      <c r="D7357" s="8">
        <v>-26.88</v>
      </c>
      <c r="E7357" s="8">
        <f>E7356+(0-26.88)</f>
        <v>8409221.8399994839</v>
      </c>
    </row>
    <row r="7358" spans="1:5" x14ac:dyDescent="0.25">
      <c r="A7358" s="2" t="s">
        <v>242</v>
      </c>
      <c r="B7358" s="6">
        <v>44460</v>
      </c>
      <c r="C7358" s="2" t="s">
        <v>24</v>
      </c>
      <c r="D7358" s="8">
        <v>-50</v>
      </c>
      <c r="E7358" s="8">
        <f>E7357+(0-50)</f>
        <v>8409171.8399994839</v>
      </c>
    </row>
    <row r="7359" spans="1:5" x14ac:dyDescent="0.25">
      <c r="A7359" s="2" t="s">
        <v>242</v>
      </c>
      <c r="B7359" s="6">
        <v>44460</v>
      </c>
      <c r="C7359" s="2" t="s">
        <v>24</v>
      </c>
      <c r="D7359" s="8">
        <v>-400</v>
      </c>
      <c r="E7359" s="8">
        <f>E7358+(0-400)</f>
        <v>8408771.8399994839</v>
      </c>
    </row>
    <row r="7360" spans="1:5" x14ac:dyDescent="0.25">
      <c r="A7360" s="2" t="s">
        <v>242</v>
      </c>
      <c r="B7360" s="6">
        <v>44460</v>
      </c>
      <c r="C7360" s="2" t="s">
        <v>17</v>
      </c>
      <c r="D7360" s="8">
        <v>-44</v>
      </c>
      <c r="E7360" s="8">
        <f>E7359+(0-44)</f>
        <v>8408727.8399994839</v>
      </c>
    </row>
    <row r="7361" spans="1:5" x14ac:dyDescent="0.25">
      <c r="A7361" s="2" t="s">
        <v>242</v>
      </c>
      <c r="B7361" s="6">
        <v>44461</v>
      </c>
      <c r="C7361" s="2" t="s">
        <v>24</v>
      </c>
      <c r="D7361" s="8">
        <v>-200</v>
      </c>
      <c r="E7361" s="8">
        <f>E7360+(0-200)</f>
        <v>8408527.8399994839</v>
      </c>
    </row>
    <row r="7362" spans="1:5" x14ac:dyDescent="0.25">
      <c r="A7362" s="2" t="s">
        <v>242</v>
      </c>
      <c r="B7362" s="6">
        <v>44462</v>
      </c>
      <c r="C7362" s="2" t="s">
        <v>129</v>
      </c>
      <c r="D7362" s="8">
        <v>-53.75</v>
      </c>
      <c r="E7362" s="8">
        <f>E7361+(0-53.75)</f>
        <v>8408474.0899994839</v>
      </c>
    </row>
    <row r="7363" spans="1:5" x14ac:dyDescent="0.25">
      <c r="A7363" s="2" t="s">
        <v>242</v>
      </c>
      <c r="B7363" s="6">
        <v>44462</v>
      </c>
      <c r="C7363" s="2" t="s">
        <v>24</v>
      </c>
      <c r="D7363" s="8">
        <v>-100</v>
      </c>
      <c r="E7363" s="8">
        <f>E7362+(0-100)</f>
        <v>8408374.0899994839</v>
      </c>
    </row>
    <row r="7364" spans="1:5" x14ac:dyDescent="0.25">
      <c r="A7364" s="2" t="s">
        <v>242</v>
      </c>
      <c r="B7364" s="6">
        <v>44462</v>
      </c>
      <c r="C7364" s="2" t="s">
        <v>167</v>
      </c>
      <c r="D7364" s="8">
        <v>-53.75</v>
      </c>
      <c r="E7364" s="8">
        <f>E7363+(0-53.75)</f>
        <v>8408320.3399994839</v>
      </c>
    </row>
    <row r="7365" spans="1:5" x14ac:dyDescent="0.25">
      <c r="A7365" s="2" t="s">
        <v>242</v>
      </c>
      <c r="B7365" s="6">
        <v>44463</v>
      </c>
      <c r="C7365" s="2" t="s">
        <v>17</v>
      </c>
      <c r="D7365" s="8">
        <v>-36</v>
      </c>
      <c r="E7365" s="8">
        <f>E7364+(0-36)</f>
        <v>8408284.3399994839</v>
      </c>
    </row>
    <row r="7366" spans="1:5" x14ac:dyDescent="0.25">
      <c r="A7366" s="2" t="s">
        <v>242</v>
      </c>
      <c r="B7366" s="6">
        <v>44463</v>
      </c>
      <c r="C7366" s="2" t="s">
        <v>17</v>
      </c>
      <c r="D7366" s="8">
        <v>-68</v>
      </c>
      <c r="E7366" s="8">
        <f>E7365+(0-68)</f>
        <v>8408216.3399994839</v>
      </c>
    </row>
    <row r="7367" spans="1:5" x14ac:dyDescent="0.25">
      <c r="A7367" s="2" t="s">
        <v>242</v>
      </c>
      <c r="B7367" s="6">
        <v>44463</v>
      </c>
      <c r="C7367" s="2" t="s">
        <v>24</v>
      </c>
      <c r="D7367" s="8">
        <v>-50</v>
      </c>
      <c r="E7367" s="8">
        <f>E7366+(0-50)</f>
        <v>8408166.3399994839</v>
      </c>
    </row>
    <row r="7368" spans="1:5" x14ac:dyDescent="0.25">
      <c r="A7368" s="2" t="s">
        <v>242</v>
      </c>
      <c r="B7368" s="6">
        <v>44463</v>
      </c>
      <c r="C7368" s="2" t="s">
        <v>24</v>
      </c>
      <c r="D7368" s="8">
        <v>-450</v>
      </c>
      <c r="E7368" s="8">
        <f>E7367+(0-450)</f>
        <v>8407716.3399994839</v>
      </c>
    </row>
    <row r="7369" spans="1:5" x14ac:dyDescent="0.25">
      <c r="A7369" s="2" t="s">
        <v>242</v>
      </c>
      <c r="B7369" s="6">
        <v>44466</v>
      </c>
      <c r="C7369" s="2" t="s">
        <v>17</v>
      </c>
      <c r="D7369" s="8">
        <v>-48</v>
      </c>
      <c r="E7369" s="8">
        <f>E7368+(0-48)</f>
        <v>8407668.3399994839</v>
      </c>
    </row>
    <row r="7370" spans="1:5" x14ac:dyDescent="0.25">
      <c r="A7370" s="2" t="s">
        <v>242</v>
      </c>
      <c r="B7370" s="6">
        <v>44466</v>
      </c>
      <c r="C7370" s="2" t="s">
        <v>17</v>
      </c>
      <c r="D7370" s="8">
        <v>-12</v>
      </c>
      <c r="E7370" s="8">
        <f>E7369+(0-12)</f>
        <v>8407656.3399994839</v>
      </c>
    </row>
    <row r="7371" spans="1:5" x14ac:dyDescent="0.25">
      <c r="A7371" s="2" t="s">
        <v>242</v>
      </c>
      <c r="B7371" s="6">
        <v>44466</v>
      </c>
      <c r="C7371" s="2" t="s">
        <v>24</v>
      </c>
      <c r="D7371" s="8">
        <v>-50</v>
      </c>
      <c r="E7371" s="8">
        <f>E7370+(0-50)</f>
        <v>8407606.3399994839</v>
      </c>
    </row>
    <row r="7372" spans="1:5" x14ac:dyDescent="0.25">
      <c r="A7372" s="2" t="s">
        <v>242</v>
      </c>
      <c r="B7372" s="6">
        <v>44466</v>
      </c>
      <c r="C7372" s="2" t="s">
        <v>443</v>
      </c>
      <c r="D7372" s="8">
        <v>-225</v>
      </c>
      <c r="E7372" s="8">
        <f>E7371+(0-225)</f>
        <v>8407381.3399994839</v>
      </c>
    </row>
    <row r="7373" spans="1:5" x14ac:dyDescent="0.25">
      <c r="A7373" s="2" t="s">
        <v>242</v>
      </c>
      <c r="B7373" s="6">
        <v>44466</v>
      </c>
      <c r="C7373" s="2" t="s">
        <v>93</v>
      </c>
      <c r="D7373" s="8">
        <v>-3000</v>
      </c>
      <c r="E7373" s="8">
        <f>E7372+(0-3000)</f>
        <v>8404381.3399994839</v>
      </c>
    </row>
    <row r="7374" spans="1:5" x14ac:dyDescent="0.25">
      <c r="A7374" s="2" t="s">
        <v>242</v>
      </c>
      <c r="B7374" s="6">
        <v>44466</v>
      </c>
      <c r="C7374" s="2" t="s">
        <v>372</v>
      </c>
      <c r="D7374" s="8">
        <v>-26.88</v>
      </c>
      <c r="E7374" s="8">
        <f>E7373+(0-26.88)</f>
        <v>8404354.4599994831</v>
      </c>
    </row>
    <row r="7375" spans="1:5" x14ac:dyDescent="0.25">
      <c r="A7375" s="2" t="s">
        <v>242</v>
      </c>
      <c r="B7375" s="6">
        <v>44466</v>
      </c>
      <c r="C7375" s="2" t="s">
        <v>24</v>
      </c>
      <c r="D7375" s="8">
        <v>-450</v>
      </c>
      <c r="E7375" s="8">
        <f>E7374+(0-450)</f>
        <v>8403904.4599994831</v>
      </c>
    </row>
    <row r="7376" spans="1:5" x14ac:dyDescent="0.25">
      <c r="A7376" s="2" t="s">
        <v>242</v>
      </c>
      <c r="B7376" s="6">
        <v>44467</v>
      </c>
      <c r="C7376" s="2" t="s">
        <v>444</v>
      </c>
      <c r="D7376" s="8">
        <v>-53.75</v>
      </c>
      <c r="E7376" s="8">
        <f>E7375+(0-53.75)</f>
        <v>8403850.7099994831</v>
      </c>
    </row>
    <row r="7377" spans="1:5" x14ac:dyDescent="0.25">
      <c r="A7377" s="2" t="s">
        <v>242</v>
      </c>
      <c r="B7377" s="6">
        <v>44467</v>
      </c>
      <c r="C7377" s="2" t="s">
        <v>17</v>
      </c>
      <c r="D7377" s="8">
        <v>-68</v>
      </c>
      <c r="E7377" s="8">
        <f>E7376+(0-68)</f>
        <v>8403782.7099994831</v>
      </c>
    </row>
    <row r="7378" spans="1:5" x14ac:dyDescent="0.25">
      <c r="A7378" s="2" t="s">
        <v>242</v>
      </c>
      <c r="B7378" s="6">
        <v>44467</v>
      </c>
      <c r="C7378" s="2" t="s">
        <v>24</v>
      </c>
      <c r="D7378" s="8">
        <v>-50</v>
      </c>
      <c r="E7378" s="8">
        <f>E7377+(0-50)</f>
        <v>8403732.7099994831</v>
      </c>
    </row>
    <row r="7379" spans="1:5" x14ac:dyDescent="0.25">
      <c r="A7379" s="2" t="s">
        <v>242</v>
      </c>
      <c r="B7379" s="6">
        <v>44467</v>
      </c>
      <c r="C7379" s="2" t="s">
        <v>24</v>
      </c>
      <c r="D7379" s="8">
        <v>-300</v>
      </c>
      <c r="E7379" s="8">
        <f>E7378+(0-300)</f>
        <v>8403432.7099994831</v>
      </c>
    </row>
    <row r="7380" spans="1:5" x14ac:dyDescent="0.25">
      <c r="A7380" s="2" t="s">
        <v>242</v>
      </c>
      <c r="B7380" s="6">
        <v>44468</v>
      </c>
      <c r="C7380" s="2" t="s">
        <v>19</v>
      </c>
      <c r="D7380" s="8">
        <v>-68</v>
      </c>
      <c r="E7380" s="8">
        <f>E7379+(0-68)</f>
        <v>8403364.7099994831</v>
      </c>
    </row>
    <row r="7381" spans="1:5" x14ac:dyDescent="0.25">
      <c r="A7381" s="2" t="s">
        <v>242</v>
      </c>
      <c r="B7381" s="6">
        <v>44468</v>
      </c>
      <c r="C7381" s="2" t="s">
        <v>445</v>
      </c>
      <c r="D7381" s="8">
        <v>-53.75</v>
      </c>
      <c r="E7381" s="8">
        <f>E7380+(0-53.75)</f>
        <v>8403310.9599994831</v>
      </c>
    </row>
    <row r="7382" spans="1:5" x14ac:dyDescent="0.25">
      <c r="A7382" s="2" t="s">
        <v>242</v>
      </c>
      <c r="B7382" s="6">
        <v>44468</v>
      </c>
      <c r="C7382" s="2" t="s">
        <v>446</v>
      </c>
      <c r="D7382" s="8">
        <v>-26.88</v>
      </c>
      <c r="E7382" s="8">
        <f>E7381+(0-26.88)</f>
        <v>8403284.0799994823</v>
      </c>
    </row>
    <row r="7383" spans="1:5" x14ac:dyDescent="0.25">
      <c r="A7383" s="2" t="s">
        <v>242</v>
      </c>
      <c r="B7383" s="6">
        <v>44468</v>
      </c>
      <c r="C7383" s="2" t="s">
        <v>24</v>
      </c>
      <c r="D7383" s="8">
        <v>-250</v>
      </c>
      <c r="E7383" s="8">
        <f>E7382+(0-250)</f>
        <v>8403034.0799994823</v>
      </c>
    </row>
    <row r="7384" spans="1:5" x14ac:dyDescent="0.25">
      <c r="A7384" s="2" t="s">
        <v>242</v>
      </c>
      <c r="B7384" s="6">
        <v>44468</v>
      </c>
      <c r="C7384" s="2" t="s">
        <v>447</v>
      </c>
      <c r="D7384" s="8">
        <v>-26.88</v>
      </c>
      <c r="E7384" s="8">
        <f>E7383+(0-26.88)</f>
        <v>8403007.1999994814</v>
      </c>
    </row>
    <row r="7385" spans="1:5" x14ac:dyDescent="0.25">
      <c r="A7385" s="2" t="s">
        <v>242</v>
      </c>
      <c r="B7385" s="6">
        <v>44469</v>
      </c>
      <c r="C7385" s="2" t="s">
        <v>17</v>
      </c>
      <c r="D7385" s="8">
        <v>-72</v>
      </c>
      <c r="E7385" s="8">
        <f>E7384+(0-72)</f>
        <v>8402935.1999994814</v>
      </c>
    </row>
    <row r="7386" spans="1:5" x14ac:dyDescent="0.25">
      <c r="A7386" s="2" t="s">
        <v>242</v>
      </c>
      <c r="B7386" s="6">
        <v>44469</v>
      </c>
      <c r="C7386" s="2" t="s">
        <v>24</v>
      </c>
      <c r="D7386" s="8">
        <v>-50</v>
      </c>
      <c r="E7386" s="8">
        <f>E7385+(0-50)</f>
        <v>8402885.1999994814</v>
      </c>
    </row>
    <row r="7387" spans="1:5" x14ac:dyDescent="0.25">
      <c r="A7387" s="2" t="s">
        <v>242</v>
      </c>
      <c r="B7387" s="6">
        <v>44469</v>
      </c>
      <c r="C7387" s="2" t="s">
        <v>24</v>
      </c>
      <c r="D7387" s="8">
        <v>-50</v>
      </c>
      <c r="E7387" s="8">
        <f>E7386+(0-50)</f>
        <v>8402835.1999994814</v>
      </c>
    </row>
    <row r="7388" spans="1:5" x14ac:dyDescent="0.25">
      <c r="A7388" s="2" t="s">
        <v>242</v>
      </c>
      <c r="B7388" s="6">
        <v>44469</v>
      </c>
      <c r="C7388" s="2" t="s">
        <v>24</v>
      </c>
      <c r="D7388" s="8">
        <v>-150</v>
      </c>
      <c r="E7388" s="8">
        <f>E7387+(0-150)</f>
        <v>8402685.1999994814</v>
      </c>
    </row>
    <row r="7389" spans="1:5" x14ac:dyDescent="0.25">
      <c r="A7389" s="2" t="s">
        <v>242</v>
      </c>
      <c r="B7389" s="6">
        <v>44469</v>
      </c>
      <c r="C7389" s="2" t="s">
        <v>24</v>
      </c>
      <c r="D7389" s="8">
        <v>-50</v>
      </c>
      <c r="E7389" s="8">
        <f>E7388+(0-50)</f>
        <v>8402635.1999994814</v>
      </c>
    </row>
    <row r="7390" spans="1:5" x14ac:dyDescent="0.25">
      <c r="A7390" s="2" t="s">
        <v>242</v>
      </c>
      <c r="B7390" s="6">
        <v>44469</v>
      </c>
      <c r="C7390" s="2" t="s">
        <v>24</v>
      </c>
      <c r="D7390" s="8">
        <v>-300</v>
      </c>
      <c r="E7390" s="8">
        <f>E7389+(0-300)</f>
        <v>8402335.1999994814</v>
      </c>
    </row>
    <row r="7391" spans="1:5" x14ac:dyDescent="0.25">
      <c r="A7391" s="2" t="s">
        <v>242</v>
      </c>
      <c r="B7391" s="6">
        <v>44476</v>
      </c>
      <c r="C7391" s="2" t="s">
        <v>448</v>
      </c>
      <c r="D7391" s="8">
        <v>-26.88</v>
      </c>
      <c r="E7391" s="8">
        <f>E7390+(0-26.88)</f>
        <v>8402308.3199994806</v>
      </c>
    </row>
    <row r="7392" spans="1:5" x14ac:dyDescent="0.25">
      <c r="A7392" s="2" t="s">
        <v>242</v>
      </c>
      <c r="B7392" s="6">
        <v>44476</v>
      </c>
      <c r="C7392" s="2" t="s">
        <v>16</v>
      </c>
      <c r="D7392" s="8">
        <v>-250</v>
      </c>
      <c r="E7392" s="8">
        <f>E7391+(0-250)</f>
        <v>8402058.3199994806</v>
      </c>
    </row>
    <row r="7393" spans="1:5" x14ac:dyDescent="0.25">
      <c r="A7393" s="2" t="s">
        <v>242</v>
      </c>
      <c r="B7393" s="6">
        <v>44476</v>
      </c>
      <c r="C7393" s="2" t="s">
        <v>16</v>
      </c>
      <c r="D7393" s="8">
        <v>-50</v>
      </c>
      <c r="E7393" s="8">
        <f>E7392+(0-50)</f>
        <v>8402008.3199994806</v>
      </c>
    </row>
    <row r="7394" spans="1:5" x14ac:dyDescent="0.25">
      <c r="A7394" s="2" t="s">
        <v>242</v>
      </c>
      <c r="B7394" s="6">
        <v>44477</v>
      </c>
      <c r="C7394" s="2" t="s">
        <v>28</v>
      </c>
      <c r="D7394" s="8">
        <v>-53.75</v>
      </c>
      <c r="E7394" s="8">
        <f>E7393+(0-53.75)</f>
        <v>8401954.5699994806</v>
      </c>
    </row>
    <row r="7395" spans="1:5" x14ac:dyDescent="0.25">
      <c r="A7395" s="2" t="s">
        <v>242</v>
      </c>
      <c r="B7395" s="6">
        <v>44480</v>
      </c>
      <c r="C7395" s="2" t="s">
        <v>16</v>
      </c>
      <c r="D7395" s="8">
        <v>-100</v>
      </c>
      <c r="E7395" s="8">
        <f>E7394+(0-100)</f>
        <v>8401854.5699994806</v>
      </c>
    </row>
    <row r="7396" spans="1:5" x14ac:dyDescent="0.25">
      <c r="A7396" s="2" t="s">
        <v>242</v>
      </c>
      <c r="B7396" s="6">
        <v>44480</v>
      </c>
      <c r="C7396" s="2" t="s">
        <v>16</v>
      </c>
      <c r="D7396" s="8">
        <v>-50</v>
      </c>
      <c r="E7396" s="8">
        <f>E7395+(0-50)</f>
        <v>8401804.5699994806</v>
      </c>
    </row>
    <row r="7397" spans="1:5" x14ac:dyDescent="0.25">
      <c r="A7397" s="2" t="s">
        <v>242</v>
      </c>
      <c r="B7397" s="6">
        <v>44480</v>
      </c>
      <c r="C7397" s="2" t="s">
        <v>449</v>
      </c>
      <c r="D7397" s="8">
        <v>-53.75</v>
      </c>
      <c r="E7397" s="8">
        <f>E7396+(0-53.75)</f>
        <v>8401750.8199994806</v>
      </c>
    </row>
    <row r="7398" spans="1:5" x14ac:dyDescent="0.25">
      <c r="A7398" s="2" t="s">
        <v>242</v>
      </c>
      <c r="B7398" s="6">
        <v>44480</v>
      </c>
      <c r="C7398" s="2" t="s">
        <v>16</v>
      </c>
      <c r="D7398" s="8">
        <v>-400</v>
      </c>
      <c r="E7398" s="8">
        <f>E7397+(0-400)</f>
        <v>8401350.8199994806</v>
      </c>
    </row>
    <row r="7399" spans="1:5" x14ac:dyDescent="0.25">
      <c r="A7399" s="2" t="s">
        <v>242</v>
      </c>
      <c r="B7399" s="6">
        <v>44480</v>
      </c>
      <c r="C7399" s="2" t="s">
        <v>16</v>
      </c>
      <c r="D7399" s="8">
        <v>-50</v>
      </c>
      <c r="E7399" s="8">
        <f>E7398+(0-50)</f>
        <v>8401300.8199994806</v>
      </c>
    </row>
    <row r="7400" spans="1:5" x14ac:dyDescent="0.25">
      <c r="A7400" s="2" t="s">
        <v>242</v>
      </c>
      <c r="B7400" s="6">
        <v>44480</v>
      </c>
      <c r="C7400" s="2" t="s">
        <v>16</v>
      </c>
      <c r="D7400" s="8">
        <v>-50</v>
      </c>
      <c r="E7400" s="8">
        <f>E7399+(0-50)</f>
        <v>8401250.8199994806</v>
      </c>
    </row>
    <row r="7401" spans="1:5" x14ac:dyDescent="0.25">
      <c r="A7401" s="2" t="s">
        <v>242</v>
      </c>
      <c r="B7401" s="6">
        <v>44481</v>
      </c>
      <c r="C7401" s="2" t="s">
        <v>24</v>
      </c>
      <c r="D7401" s="8">
        <v>-150</v>
      </c>
      <c r="E7401" s="8">
        <f>E7400+(0-150)</f>
        <v>8401100.8199994806</v>
      </c>
    </row>
    <row r="7402" spans="1:5" x14ac:dyDescent="0.25">
      <c r="A7402" s="2" t="s">
        <v>242</v>
      </c>
      <c r="B7402" s="6">
        <v>44481</v>
      </c>
      <c r="C7402" s="2" t="s">
        <v>17</v>
      </c>
      <c r="D7402" s="8">
        <v>-60</v>
      </c>
      <c r="E7402" s="8">
        <f>E7401+(0-60)</f>
        <v>8401040.8199994806</v>
      </c>
    </row>
    <row r="7403" spans="1:5" x14ac:dyDescent="0.25">
      <c r="A7403" s="2" t="s">
        <v>242</v>
      </c>
      <c r="B7403" s="6">
        <v>44482</v>
      </c>
      <c r="C7403" s="2" t="s">
        <v>17</v>
      </c>
      <c r="D7403" s="8">
        <v>-52</v>
      </c>
      <c r="E7403" s="8">
        <f>E7402+(0-52)</f>
        <v>8400988.8199994806</v>
      </c>
    </row>
    <row r="7404" spans="1:5" x14ac:dyDescent="0.25">
      <c r="A7404" s="2" t="s">
        <v>242</v>
      </c>
      <c r="B7404" s="6">
        <v>44482</v>
      </c>
      <c r="C7404" s="2" t="s">
        <v>17</v>
      </c>
      <c r="D7404" s="8">
        <v>-12</v>
      </c>
      <c r="E7404" s="8">
        <f>E7403+(0-12)</f>
        <v>8400976.8199994806</v>
      </c>
    </row>
    <row r="7405" spans="1:5" x14ac:dyDescent="0.25">
      <c r="A7405" s="2" t="s">
        <v>242</v>
      </c>
      <c r="B7405" s="6">
        <v>44482</v>
      </c>
      <c r="C7405" s="2" t="s">
        <v>17</v>
      </c>
      <c r="D7405" s="8">
        <v>-8</v>
      </c>
      <c r="E7405" s="8">
        <f>E7404+(0-8)</f>
        <v>8400968.8199994806</v>
      </c>
    </row>
    <row r="7406" spans="1:5" x14ac:dyDescent="0.25">
      <c r="A7406" s="2" t="s">
        <v>242</v>
      </c>
      <c r="B7406" s="6">
        <v>44482</v>
      </c>
      <c r="C7406" s="2" t="s">
        <v>17</v>
      </c>
      <c r="D7406" s="8">
        <v>-28</v>
      </c>
      <c r="E7406" s="8">
        <f>E7405+(0-28)</f>
        <v>8400940.8199994806</v>
      </c>
    </row>
    <row r="7407" spans="1:5" x14ac:dyDescent="0.25">
      <c r="A7407" s="2" t="s">
        <v>242</v>
      </c>
      <c r="B7407" s="6">
        <v>44482</v>
      </c>
      <c r="C7407" s="2" t="s">
        <v>382</v>
      </c>
      <c r="D7407" s="8">
        <v>-53.75</v>
      </c>
      <c r="E7407" s="8">
        <f>E7406+(0-53.75)</f>
        <v>8400887.0699994806</v>
      </c>
    </row>
    <row r="7408" spans="1:5" x14ac:dyDescent="0.25">
      <c r="A7408" s="2" t="s">
        <v>242</v>
      </c>
      <c r="B7408" s="6">
        <v>44482</v>
      </c>
      <c r="C7408" s="2" t="s">
        <v>16</v>
      </c>
      <c r="D7408" s="8">
        <v>-250</v>
      </c>
      <c r="E7408" s="8">
        <f>E7407+(0-250)</f>
        <v>8400637.0699994806</v>
      </c>
    </row>
    <row r="7409" spans="1:5" x14ac:dyDescent="0.25">
      <c r="A7409" s="2" t="s">
        <v>242</v>
      </c>
      <c r="B7409" s="6">
        <v>44483</v>
      </c>
      <c r="C7409" s="2" t="s">
        <v>450</v>
      </c>
      <c r="D7409" s="8">
        <v>-26.88</v>
      </c>
      <c r="E7409" s="8">
        <f>E7408+(0-26.88)</f>
        <v>8400610.1899994798</v>
      </c>
    </row>
    <row r="7410" spans="1:5" x14ac:dyDescent="0.25">
      <c r="A7410" s="2" t="s">
        <v>242</v>
      </c>
      <c r="B7410" s="6">
        <v>44483</v>
      </c>
      <c r="C7410" s="2" t="s">
        <v>451</v>
      </c>
      <c r="D7410" s="8">
        <v>-53.75</v>
      </c>
      <c r="E7410" s="8">
        <f>E7409+(0-53.75)</f>
        <v>8400556.4399994798</v>
      </c>
    </row>
    <row r="7411" spans="1:5" x14ac:dyDescent="0.25">
      <c r="A7411" s="2" t="s">
        <v>242</v>
      </c>
      <c r="B7411" s="6">
        <v>44484</v>
      </c>
      <c r="C7411" s="2" t="s">
        <v>452</v>
      </c>
      <c r="D7411" s="8">
        <v>-26.88</v>
      </c>
      <c r="E7411" s="8">
        <f>E7410+(0-26.88)</f>
        <v>8400529.559999479</v>
      </c>
    </row>
    <row r="7412" spans="1:5" x14ac:dyDescent="0.25">
      <c r="A7412" s="2" t="s">
        <v>242</v>
      </c>
      <c r="B7412" s="6">
        <v>44484</v>
      </c>
      <c r="C7412" s="2" t="s">
        <v>453</v>
      </c>
      <c r="D7412" s="8">
        <v>-26.88</v>
      </c>
      <c r="E7412" s="8">
        <f>E7411+(0-26.88)</f>
        <v>8400502.6799994782</v>
      </c>
    </row>
    <row r="7413" spans="1:5" x14ac:dyDescent="0.25">
      <c r="A7413" s="2" t="s">
        <v>242</v>
      </c>
      <c r="B7413" s="6">
        <v>44484</v>
      </c>
      <c r="C7413" s="2" t="s">
        <v>16</v>
      </c>
      <c r="D7413" s="8">
        <v>-300</v>
      </c>
      <c r="E7413" s="8">
        <f>E7412+(0-300)</f>
        <v>8400202.6799994782</v>
      </c>
    </row>
    <row r="7414" spans="1:5" x14ac:dyDescent="0.25">
      <c r="A7414" s="2" t="s">
        <v>242</v>
      </c>
      <c r="B7414" s="6">
        <v>44484</v>
      </c>
      <c r="C7414" s="2" t="s">
        <v>17</v>
      </c>
      <c r="D7414" s="8">
        <v>-24</v>
      </c>
      <c r="E7414" s="8">
        <f>E7413+(0-24)</f>
        <v>8400178.6799994782</v>
      </c>
    </row>
    <row r="7415" spans="1:5" x14ac:dyDescent="0.25">
      <c r="A7415" s="2" t="s">
        <v>242</v>
      </c>
      <c r="B7415" s="6">
        <v>44484</v>
      </c>
      <c r="C7415" s="2" t="s">
        <v>17</v>
      </c>
      <c r="D7415" s="8">
        <v>-36</v>
      </c>
      <c r="E7415" s="8">
        <f>E7414+(0-36)</f>
        <v>8400142.6799994782</v>
      </c>
    </row>
    <row r="7416" spans="1:5" x14ac:dyDescent="0.25">
      <c r="A7416" s="2" t="s">
        <v>242</v>
      </c>
      <c r="B7416" s="6">
        <v>44487</v>
      </c>
      <c r="C7416" s="2" t="s">
        <v>17</v>
      </c>
      <c r="D7416" s="8">
        <v>-84</v>
      </c>
      <c r="E7416" s="8">
        <f>E7415+(0-84)</f>
        <v>8400058.6799994782</v>
      </c>
    </row>
    <row r="7417" spans="1:5" x14ac:dyDescent="0.25">
      <c r="A7417" s="2" t="s">
        <v>242</v>
      </c>
      <c r="B7417" s="6">
        <v>44487</v>
      </c>
      <c r="C7417" s="2" t="s">
        <v>17</v>
      </c>
      <c r="D7417" s="8">
        <v>-36</v>
      </c>
      <c r="E7417" s="8">
        <f>E7416+(0-36)</f>
        <v>8400022.6799994782</v>
      </c>
    </row>
    <row r="7418" spans="1:5" x14ac:dyDescent="0.25">
      <c r="A7418" s="2" t="s">
        <v>242</v>
      </c>
      <c r="B7418" s="6">
        <v>44487</v>
      </c>
      <c r="C7418" s="2" t="s">
        <v>16</v>
      </c>
      <c r="D7418" s="8">
        <v>-550</v>
      </c>
      <c r="E7418" s="8">
        <f>E7417+(0-550)</f>
        <v>8399472.6799994782</v>
      </c>
    </row>
    <row r="7419" spans="1:5" x14ac:dyDescent="0.25">
      <c r="A7419" s="2" t="s">
        <v>242</v>
      </c>
      <c r="B7419" s="6">
        <v>44489</v>
      </c>
      <c r="C7419" s="2" t="s">
        <v>19</v>
      </c>
      <c r="D7419" s="8">
        <v>-4</v>
      </c>
      <c r="E7419" s="8">
        <f>E7418+(0-4)</f>
        <v>8399468.6799994782</v>
      </c>
    </row>
    <row r="7420" spans="1:5" x14ac:dyDescent="0.25">
      <c r="A7420" s="2" t="s">
        <v>242</v>
      </c>
      <c r="B7420" s="6">
        <v>44489</v>
      </c>
      <c r="C7420" s="2" t="s">
        <v>17</v>
      </c>
      <c r="D7420" s="8">
        <v>-44</v>
      </c>
      <c r="E7420" s="8">
        <f>E7419+(0-44)</f>
        <v>8399424.6799994782</v>
      </c>
    </row>
    <row r="7421" spans="1:5" x14ac:dyDescent="0.25">
      <c r="A7421" s="2" t="s">
        <v>242</v>
      </c>
      <c r="B7421" s="6">
        <v>44489</v>
      </c>
      <c r="C7421" s="2" t="s">
        <v>454</v>
      </c>
      <c r="D7421" s="8">
        <v>-26.88</v>
      </c>
      <c r="E7421" s="8">
        <f>E7420+(0-26.88)</f>
        <v>8399397.7999994773</v>
      </c>
    </row>
    <row r="7422" spans="1:5" x14ac:dyDescent="0.25">
      <c r="A7422" s="2" t="s">
        <v>242</v>
      </c>
      <c r="B7422" s="6">
        <v>44489</v>
      </c>
      <c r="C7422" s="2" t="s">
        <v>16</v>
      </c>
      <c r="D7422" s="8">
        <v>-50</v>
      </c>
      <c r="E7422" s="8">
        <f>E7421+(0-50)</f>
        <v>8399347.7999994773</v>
      </c>
    </row>
    <row r="7423" spans="1:5" x14ac:dyDescent="0.25">
      <c r="A7423" s="2" t="s">
        <v>242</v>
      </c>
      <c r="B7423" s="6">
        <v>44489</v>
      </c>
      <c r="C7423" s="2" t="s">
        <v>16</v>
      </c>
      <c r="D7423" s="8">
        <v>-50</v>
      </c>
      <c r="E7423" s="8">
        <f>E7422+(0-50)</f>
        <v>8399297.7999994773</v>
      </c>
    </row>
    <row r="7424" spans="1:5" x14ac:dyDescent="0.25">
      <c r="A7424" s="2" t="s">
        <v>242</v>
      </c>
      <c r="B7424" s="6">
        <v>44489</v>
      </c>
      <c r="C7424" s="2" t="s">
        <v>16</v>
      </c>
      <c r="D7424" s="8">
        <v>-50</v>
      </c>
      <c r="E7424" s="8">
        <f>E7423+(0-50)</f>
        <v>8399247.7999994773</v>
      </c>
    </row>
    <row r="7425" spans="1:5" x14ac:dyDescent="0.25">
      <c r="A7425" s="2" t="s">
        <v>242</v>
      </c>
      <c r="B7425" s="6">
        <v>44489</v>
      </c>
      <c r="C7425" s="2" t="s">
        <v>16</v>
      </c>
      <c r="D7425" s="8">
        <v>-50</v>
      </c>
      <c r="E7425" s="8">
        <f>E7424+(0-50)</f>
        <v>8399197.7999994773</v>
      </c>
    </row>
    <row r="7426" spans="1:5" x14ac:dyDescent="0.25">
      <c r="A7426" s="2" t="s">
        <v>242</v>
      </c>
      <c r="B7426" s="6">
        <v>44489</v>
      </c>
      <c r="C7426" s="2" t="s">
        <v>16</v>
      </c>
      <c r="D7426" s="8">
        <v>-50</v>
      </c>
      <c r="E7426" s="8">
        <f>E7425+(0-50)</f>
        <v>8399147.7999994773</v>
      </c>
    </row>
    <row r="7427" spans="1:5" x14ac:dyDescent="0.25">
      <c r="A7427" s="2" t="s">
        <v>242</v>
      </c>
      <c r="B7427" s="6">
        <v>44489</v>
      </c>
      <c r="C7427" s="2" t="s">
        <v>16</v>
      </c>
      <c r="D7427" s="8">
        <v>-50</v>
      </c>
      <c r="E7427" s="8">
        <f>E7426+(0-50)</f>
        <v>8399097.7999994773</v>
      </c>
    </row>
    <row r="7428" spans="1:5" x14ac:dyDescent="0.25">
      <c r="A7428" s="2" t="s">
        <v>242</v>
      </c>
      <c r="B7428" s="6">
        <v>44489</v>
      </c>
      <c r="C7428" s="2" t="s">
        <v>16</v>
      </c>
      <c r="D7428" s="8">
        <v>-150</v>
      </c>
      <c r="E7428" s="8">
        <f>E7427+(0-150)</f>
        <v>8398947.7999994773</v>
      </c>
    </row>
    <row r="7429" spans="1:5" x14ac:dyDescent="0.25">
      <c r="A7429" s="2" t="s">
        <v>242</v>
      </c>
      <c r="B7429" s="6">
        <v>44489</v>
      </c>
      <c r="C7429" s="2" t="s">
        <v>16</v>
      </c>
      <c r="D7429" s="8">
        <v>-350</v>
      </c>
      <c r="E7429" s="8">
        <f>E7428+(0-350)</f>
        <v>8398597.7999994773</v>
      </c>
    </row>
    <row r="7430" spans="1:5" x14ac:dyDescent="0.25">
      <c r="A7430" s="2" t="s">
        <v>242</v>
      </c>
      <c r="B7430" s="6">
        <v>44490</v>
      </c>
      <c r="C7430" s="2" t="s">
        <v>19</v>
      </c>
      <c r="D7430" s="8">
        <v>-28</v>
      </c>
      <c r="E7430" s="8">
        <f>E7429+(0-28)</f>
        <v>8398569.7999994773</v>
      </c>
    </row>
    <row r="7431" spans="1:5" x14ac:dyDescent="0.25">
      <c r="A7431" s="2" t="s">
        <v>242</v>
      </c>
      <c r="B7431" s="6">
        <v>44490</v>
      </c>
      <c r="C7431" s="2" t="s">
        <v>16</v>
      </c>
      <c r="D7431" s="8">
        <v>-50</v>
      </c>
      <c r="E7431" s="8">
        <f>E7430+(0-50)</f>
        <v>8398519.7999994773</v>
      </c>
    </row>
    <row r="7432" spans="1:5" x14ac:dyDescent="0.25">
      <c r="A7432" s="2" t="s">
        <v>242</v>
      </c>
      <c r="B7432" s="6">
        <v>44490</v>
      </c>
      <c r="C7432" s="2" t="s">
        <v>17</v>
      </c>
      <c r="D7432" s="8">
        <v>-56</v>
      </c>
      <c r="E7432" s="8">
        <f>E7431+(0-56)</f>
        <v>8398463.7999994773</v>
      </c>
    </row>
    <row r="7433" spans="1:5" x14ac:dyDescent="0.25">
      <c r="A7433" s="2" t="s">
        <v>242</v>
      </c>
      <c r="B7433" s="6">
        <v>44490</v>
      </c>
      <c r="C7433" s="2" t="s">
        <v>16</v>
      </c>
      <c r="D7433" s="8">
        <v>-100</v>
      </c>
      <c r="E7433" s="8">
        <f>E7432+(0-100)</f>
        <v>8398363.7999994773</v>
      </c>
    </row>
    <row r="7434" spans="1:5" x14ac:dyDescent="0.25">
      <c r="A7434" s="2" t="s">
        <v>242</v>
      </c>
      <c r="B7434" s="6">
        <v>44490</v>
      </c>
      <c r="C7434" s="2" t="s">
        <v>16</v>
      </c>
      <c r="D7434" s="8">
        <v>-50</v>
      </c>
      <c r="E7434" s="8">
        <f>E7433+(0-50)</f>
        <v>8398313.7999994773</v>
      </c>
    </row>
    <row r="7435" spans="1:5" x14ac:dyDescent="0.25">
      <c r="A7435" s="2" t="s">
        <v>242</v>
      </c>
      <c r="B7435" s="6">
        <v>44501</v>
      </c>
      <c r="C7435" s="2" t="s">
        <v>17</v>
      </c>
      <c r="D7435" s="8">
        <v>-12</v>
      </c>
      <c r="E7435" s="8">
        <f>E7434+(0-12)</f>
        <v>8398301.7999994773</v>
      </c>
    </row>
    <row r="7436" spans="1:5" x14ac:dyDescent="0.25">
      <c r="A7436" s="2" t="s">
        <v>242</v>
      </c>
      <c r="B7436" s="6">
        <v>44501</v>
      </c>
      <c r="C7436" s="2" t="s">
        <v>17</v>
      </c>
      <c r="D7436" s="8">
        <v>-12</v>
      </c>
      <c r="E7436" s="8">
        <f>E7435+(0-12)</f>
        <v>8398289.7999994773</v>
      </c>
    </row>
    <row r="7437" spans="1:5" x14ac:dyDescent="0.25">
      <c r="A7437" s="2" t="s">
        <v>242</v>
      </c>
      <c r="B7437" s="6">
        <v>44502</v>
      </c>
      <c r="C7437" s="2" t="s">
        <v>16</v>
      </c>
      <c r="D7437" s="8">
        <v>-400</v>
      </c>
      <c r="E7437" s="8">
        <f>E7436+(0-400)</f>
        <v>8397889.7999994773</v>
      </c>
    </row>
    <row r="7438" spans="1:5" x14ac:dyDescent="0.25">
      <c r="A7438" s="2" t="s">
        <v>242</v>
      </c>
      <c r="B7438" s="6">
        <v>44502</v>
      </c>
      <c r="C7438" s="2" t="s">
        <v>455</v>
      </c>
      <c r="D7438" s="8">
        <v>-26.88</v>
      </c>
      <c r="E7438" s="8">
        <f>E7437+(0-26.88)</f>
        <v>8397862.9199994765</v>
      </c>
    </row>
    <row r="7439" spans="1:5" x14ac:dyDescent="0.25">
      <c r="A7439" s="2" t="s">
        <v>242</v>
      </c>
      <c r="B7439" s="6">
        <v>44502</v>
      </c>
      <c r="C7439" s="2" t="s">
        <v>17</v>
      </c>
      <c r="D7439" s="8">
        <v>-60</v>
      </c>
      <c r="E7439" s="8">
        <f>E7438+(0-60)</f>
        <v>8397802.9199994765</v>
      </c>
    </row>
    <row r="7440" spans="1:5" x14ac:dyDescent="0.25">
      <c r="A7440" s="2" t="s">
        <v>242</v>
      </c>
      <c r="B7440" s="6">
        <v>44502</v>
      </c>
      <c r="C7440" s="2" t="s">
        <v>24</v>
      </c>
      <c r="D7440" s="8">
        <v>-50</v>
      </c>
      <c r="E7440" s="8">
        <f>E7439+(0-50)</f>
        <v>8397752.9199994765</v>
      </c>
    </row>
    <row r="7441" spans="1:5" x14ac:dyDescent="0.25">
      <c r="A7441" s="2" t="s">
        <v>242</v>
      </c>
      <c r="B7441" s="6">
        <v>44502</v>
      </c>
      <c r="C7441" s="2" t="s">
        <v>24</v>
      </c>
      <c r="D7441" s="8">
        <v>-250</v>
      </c>
      <c r="E7441" s="8">
        <f>E7440+(0-250)</f>
        <v>8397502.9199994765</v>
      </c>
    </row>
    <row r="7442" spans="1:5" x14ac:dyDescent="0.25">
      <c r="A7442" s="2" t="s">
        <v>242</v>
      </c>
      <c r="B7442" s="6">
        <v>44502</v>
      </c>
      <c r="C7442" s="2" t="s">
        <v>24</v>
      </c>
      <c r="D7442" s="8">
        <v>-50</v>
      </c>
      <c r="E7442" s="8">
        <f>E7441+(0-50)</f>
        <v>8397452.9199994765</v>
      </c>
    </row>
    <row r="7443" spans="1:5" x14ac:dyDescent="0.25">
      <c r="A7443" s="2" t="s">
        <v>242</v>
      </c>
      <c r="B7443" s="6">
        <v>44503</v>
      </c>
      <c r="C7443" s="2" t="s">
        <v>17</v>
      </c>
      <c r="D7443" s="8">
        <v>-44</v>
      </c>
      <c r="E7443" s="8">
        <f>E7442+(0-44)</f>
        <v>8397408.9199994765</v>
      </c>
    </row>
    <row r="7444" spans="1:5" x14ac:dyDescent="0.25">
      <c r="A7444" s="2" t="s">
        <v>242</v>
      </c>
      <c r="B7444" s="6">
        <v>44503</v>
      </c>
      <c r="C7444" s="2" t="s">
        <v>24</v>
      </c>
      <c r="D7444" s="8">
        <v>-50</v>
      </c>
      <c r="E7444" s="8">
        <f>E7443+(0-50)</f>
        <v>8397358.9199994765</v>
      </c>
    </row>
    <row r="7445" spans="1:5" x14ac:dyDescent="0.25">
      <c r="A7445" s="2" t="s">
        <v>242</v>
      </c>
      <c r="B7445" s="6">
        <v>44503</v>
      </c>
      <c r="C7445" s="2" t="s">
        <v>24</v>
      </c>
      <c r="D7445" s="8">
        <v>-50</v>
      </c>
      <c r="E7445" s="8">
        <f>E7444+(0-50)</f>
        <v>8397308.9199994765</v>
      </c>
    </row>
    <row r="7446" spans="1:5" x14ac:dyDescent="0.25">
      <c r="A7446" s="2" t="s">
        <v>242</v>
      </c>
      <c r="B7446" s="6">
        <v>44503</v>
      </c>
      <c r="C7446" s="2" t="s">
        <v>16</v>
      </c>
      <c r="D7446" s="8">
        <v>-200</v>
      </c>
      <c r="E7446" s="8">
        <f>E7445+(0-200)</f>
        <v>8397108.9199994765</v>
      </c>
    </row>
    <row r="7447" spans="1:5" x14ac:dyDescent="0.25">
      <c r="A7447" s="2" t="s">
        <v>242</v>
      </c>
      <c r="B7447" s="6">
        <v>44503</v>
      </c>
      <c r="C7447" s="2" t="s">
        <v>17</v>
      </c>
      <c r="D7447" s="8">
        <v>-32</v>
      </c>
      <c r="E7447" s="8">
        <f>E7446+(0-32)</f>
        <v>8397076.9199994765</v>
      </c>
    </row>
    <row r="7448" spans="1:5" x14ac:dyDescent="0.25">
      <c r="A7448" s="2" t="s">
        <v>242</v>
      </c>
      <c r="B7448" s="6">
        <v>44504</v>
      </c>
      <c r="C7448" s="2" t="s">
        <v>24</v>
      </c>
      <c r="D7448" s="8">
        <v>-50</v>
      </c>
      <c r="E7448" s="8">
        <f>E7447+(0-50)</f>
        <v>8397026.9199994765</v>
      </c>
    </row>
    <row r="7449" spans="1:5" x14ac:dyDescent="0.25">
      <c r="A7449" s="2" t="s">
        <v>242</v>
      </c>
      <c r="B7449" s="6">
        <v>44504</v>
      </c>
      <c r="C7449" s="2" t="s">
        <v>24</v>
      </c>
      <c r="D7449" s="8">
        <v>-250</v>
      </c>
      <c r="E7449" s="8">
        <f>E7448+(0-250)</f>
        <v>8396776.9199994765</v>
      </c>
    </row>
    <row r="7450" spans="1:5" x14ac:dyDescent="0.25">
      <c r="A7450" s="2" t="s">
        <v>242</v>
      </c>
      <c r="B7450" s="6">
        <v>44505</v>
      </c>
      <c r="C7450" s="2" t="s">
        <v>19</v>
      </c>
      <c r="D7450" s="8">
        <v>-52</v>
      </c>
      <c r="E7450" s="8">
        <f>E7449+(0-52)</f>
        <v>8396724.9199994765</v>
      </c>
    </row>
    <row r="7451" spans="1:5" x14ac:dyDescent="0.25">
      <c r="A7451" s="2" t="s">
        <v>242</v>
      </c>
      <c r="B7451" s="6">
        <v>44505</v>
      </c>
      <c r="C7451" s="2" t="s">
        <v>24</v>
      </c>
      <c r="D7451" s="8">
        <v>-100</v>
      </c>
      <c r="E7451" s="8">
        <f>E7450+(0-100)</f>
        <v>8396624.9199994765</v>
      </c>
    </row>
    <row r="7452" spans="1:5" x14ac:dyDescent="0.25">
      <c r="A7452" s="2" t="s">
        <v>242</v>
      </c>
      <c r="B7452" s="6">
        <v>44505</v>
      </c>
      <c r="C7452" s="2" t="s">
        <v>24</v>
      </c>
      <c r="D7452" s="8">
        <v>-250</v>
      </c>
      <c r="E7452" s="8">
        <f>E7451+(0-250)</f>
        <v>8396374.9199994765</v>
      </c>
    </row>
    <row r="7453" spans="1:5" x14ac:dyDescent="0.25">
      <c r="A7453" s="2" t="s">
        <v>242</v>
      </c>
      <c r="B7453" s="6">
        <v>44508</v>
      </c>
      <c r="C7453" s="2" t="s">
        <v>24</v>
      </c>
      <c r="D7453" s="8">
        <v>-36</v>
      </c>
      <c r="E7453" s="8">
        <f>E7452+(0-36)</f>
        <v>8396338.9199994765</v>
      </c>
    </row>
    <row r="7454" spans="1:5" x14ac:dyDescent="0.25">
      <c r="A7454" s="2" t="s">
        <v>242</v>
      </c>
      <c r="B7454" s="6">
        <v>44508</v>
      </c>
      <c r="C7454" s="2" t="s">
        <v>17</v>
      </c>
      <c r="D7454" s="8">
        <v>-12</v>
      </c>
      <c r="E7454" s="8">
        <f>E7453+(0-12)</f>
        <v>8396326.9199994765</v>
      </c>
    </row>
    <row r="7455" spans="1:5" x14ac:dyDescent="0.25">
      <c r="A7455" s="2" t="s">
        <v>242</v>
      </c>
      <c r="B7455" s="6">
        <v>44508</v>
      </c>
      <c r="C7455" s="2" t="s">
        <v>24</v>
      </c>
      <c r="D7455" s="8">
        <v>-50</v>
      </c>
      <c r="E7455" s="8">
        <f>E7454+(0-50)</f>
        <v>8396276.9199994765</v>
      </c>
    </row>
    <row r="7456" spans="1:5" x14ac:dyDescent="0.25">
      <c r="A7456" s="2" t="s">
        <v>242</v>
      </c>
      <c r="B7456" s="6">
        <v>44508</v>
      </c>
      <c r="C7456" s="2" t="s">
        <v>24</v>
      </c>
      <c r="D7456" s="8">
        <v>-50</v>
      </c>
      <c r="E7456" s="8">
        <f>E7455+(0-50)</f>
        <v>8396226.9199994765</v>
      </c>
    </row>
    <row r="7457" spans="1:5" x14ac:dyDescent="0.25">
      <c r="A7457" s="2" t="s">
        <v>242</v>
      </c>
      <c r="B7457" s="6">
        <v>44508</v>
      </c>
      <c r="C7457" s="2" t="s">
        <v>24</v>
      </c>
      <c r="D7457" s="8">
        <v>-400</v>
      </c>
      <c r="E7457" s="8">
        <f>E7456+(0-400)</f>
        <v>8395826.9199994765</v>
      </c>
    </row>
    <row r="7458" spans="1:5" x14ac:dyDescent="0.25">
      <c r="A7458" s="2" t="s">
        <v>242</v>
      </c>
      <c r="B7458" s="6">
        <v>44509</v>
      </c>
      <c r="C7458" s="2" t="s">
        <v>17</v>
      </c>
      <c r="D7458" s="8">
        <v>-48</v>
      </c>
      <c r="E7458" s="8">
        <f>E7457+(0-48)</f>
        <v>8395778.9199994765</v>
      </c>
    </row>
    <row r="7459" spans="1:5" x14ac:dyDescent="0.25">
      <c r="A7459" s="2" t="s">
        <v>242</v>
      </c>
      <c r="B7459" s="6">
        <v>44509</v>
      </c>
      <c r="C7459" s="2" t="s">
        <v>24</v>
      </c>
      <c r="D7459" s="8">
        <v>-200</v>
      </c>
      <c r="E7459" s="8">
        <f>E7458+(0-200)</f>
        <v>8395578.9199994765</v>
      </c>
    </row>
    <row r="7460" spans="1:5" x14ac:dyDescent="0.25">
      <c r="A7460" s="2" t="s">
        <v>242</v>
      </c>
      <c r="B7460" s="6">
        <v>44510</v>
      </c>
      <c r="C7460" s="2" t="s">
        <v>17</v>
      </c>
      <c r="D7460" s="8">
        <v>-36</v>
      </c>
      <c r="E7460" s="8">
        <f>E7459+(0-36)</f>
        <v>8395542.9199994765</v>
      </c>
    </row>
    <row r="7461" spans="1:5" x14ac:dyDescent="0.25">
      <c r="A7461" s="2" t="s">
        <v>242</v>
      </c>
      <c r="B7461" s="6">
        <v>44510</v>
      </c>
      <c r="C7461" s="2" t="s">
        <v>24</v>
      </c>
      <c r="D7461" s="8">
        <v>-200</v>
      </c>
      <c r="E7461" s="8">
        <f>E7460+(0-200)</f>
        <v>8395342.9199994765</v>
      </c>
    </row>
    <row r="7462" spans="1:5" x14ac:dyDescent="0.25">
      <c r="A7462" s="2" t="s">
        <v>242</v>
      </c>
      <c r="B7462" s="6">
        <v>44510</v>
      </c>
      <c r="C7462" s="2" t="s">
        <v>17</v>
      </c>
      <c r="D7462" s="8">
        <v>-32</v>
      </c>
      <c r="E7462" s="8">
        <f>E7461+(0-32)</f>
        <v>8395310.9199994765</v>
      </c>
    </row>
    <row r="7463" spans="1:5" x14ac:dyDescent="0.25">
      <c r="A7463" s="2" t="s">
        <v>242</v>
      </c>
      <c r="B7463" s="6">
        <v>44510</v>
      </c>
      <c r="C7463" s="2" t="s">
        <v>24</v>
      </c>
      <c r="D7463" s="8">
        <v>-250</v>
      </c>
      <c r="E7463" s="8">
        <f>E7462+(0-250)</f>
        <v>8395060.9199994765</v>
      </c>
    </row>
    <row r="7464" spans="1:5" x14ac:dyDescent="0.25">
      <c r="A7464" s="2" t="s">
        <v>242</v>
      </c>
      <c r="B7464" s="6">
        <v>44511</v>
      </c>
      <c r="C7464" s="2" t="s">
        <v>16</v>
      </c>
      <c r="D7464" s="8">
        <v>-100</v>
      </c>
      <c r="E7464" s="8">
        <f>E7463+(0-100)</f>
        <v>8394960.9199994765</v>
      </c>
    </row>
    <row r="7465" spans="1:5" x14ac:dyDescent="0.25">
      <c r="A7465" s="2" t="s">
        <v>242</v>
      </c>
      <c r="B7465" s="6">
        <v>44512</v>
      </c>
      <c r="C7465" s="2" t="s">
        <v>17</v>
      </c>
      <c r="D7465" s="8">
        <v>-36</v>
      </c>
      <c r="E7465" s="8">
        <f>E7464+(0-36)</f>
        <v>8394924.9199994765</v>
      </c>
    </row>
    <row r="7466" spans="1:5" x14ac:dyDescent="0.25">
      <c r="A7466" s="2" t="s">
        <v>242</v>
      </c>
      <c r="B7466" s="6">
        <v>44512</v>
      </c>
      <c r="C7466" s="2" t="s">
        <v>16</v>
      </c>
      <c r="D7466" s="8">
        <v>-50</v>
      </c>
      <c r="E7466" s="8">
        <f>E7465+(0-50)</f>
        <v>8394874.9199994765</v>
      </c>
    </row>
    <row r="7467" spans="1:5" x14ac:dyDescent="0.25">
      <c r="A7467" s="2" t="s">
        <v>242</v>
      </c>
      <c r="B7467" s="6">
        <v>44512</v>
      </c>
      <c r="C7467" s="2" t="s">
        <v>16</v>
      </c>
      <c r="D7467" s="8">
        <v>-350</v>
      </c>
      <c r="E7467" s="8">
        <f>E7466+(0-350)</f>
        <v>8394524.9199994765</v>
      </c>
    </row>
    <row r="7468" spans="1:5" x14ac:dyDescent="0.25">
      <c r="A7468" s="2" t="s">
        <v>242</v>
      </c>
      <c r="B7468" s="6">
        <v>44515</v>
      </c>
      <c r="C7468" s="2" t="s">
        <v>456</v>
      </c>
      <c r="D7468" s="8">
        <v>-53.75</v>
      </c>
      <c r="E7468" s="8">
        <f>E7467+(0-53.75)</f>
        <v>8394471.1699994765</v>
      </c>
    </row>
    <row r="7469" spans="1:5" x14ac:dyDescent="0.25">
      <c r="A7469" s="2" t="s">
        <v>242</v>
      </c>
      <c r="B7469" s="6">
        <v>44515</v>
      </c>
      <c r="C7469" s="2" t="s">
        <v>19</v>
      </c>
      <c r="D7469" s="8">
        <v>-44</v>
      </c>
      <c r="E7469" s="8">
        <f>E7468+(0-44)</f>
        <v>8394427.1699994765</v>
      </c>
    </row>
    <row r="7470" spans="1:5" x14ac:dyDescent="0.25">
      <c r="A7470" s="2" t="s">
        <v>242</v>
      </c>
      <c r="B7470" s="6">
        <v>44515</v>
      </c>
      <c r="C7470" s="2" t="s">
        <v>17</v>
      </c>
      <c r="D7470" s="8">
        <v>-20</v>
      </c>
      <c r="E7470" s="8">
        <f>E7469+(0-20)</f>
        <v>8394407.1699994765</v>
      </c>
    </row>
    <row r="7471" spans="1:5" x14ac:dyDescent="0.25">
      <c r="A7471" s="2" t="s">
        <v>242</v>
      </c>
      <c r="B7471" s="6">
        <v>44515</v>
      </c>
      <c r="C7471" s="2" t="s">
        <v>17</v>
      </c>
      <c r="D7471" s="8">
        <v>-8</v>
      </c>
      <c r="E7471" s="8">
        <f>E7470+(0-8)</f>
        <v>8394399.1699994765</v>
      </c>
    </row>
    <row r="7472" spans="1:5" x14ac:dyDescent="0.25">
      <c r="A7472" s="2" t="s">
        <v>242</v>
      </c>
      <c r="B7472" s="6">
        <v>44515</v>
      </c>
      <c r="C7472" s="2" t="s">
        <v>16</v>
      </c>
      <c r="D7472" s="8">
        <v>-50</v>
      </c>
      <c r="E7472" s="8">
        <f>E7471+(0-50)</f>
        <v>8394349.1699994765</v>
      </c>
    </row>
    <row r="7473" spans="1:5" x14ac:dyDescent="0.25">
      <c r="A7473" s="2" t="s">
        <v>242</v>
      </c>
      <c r="B7473" s="6">
        <v>44515</v>
      </c>
      <c r="C7473" s="2" t="s">
        <v>16</v>
      </c>
      <c r="D7473" s="8">
        <v>-50</v>
      </c>
      <c r="E7473" s="8">
        <f>E7472+(0-50)</f>
        <v>8394299.1699994765</v>
      </c>
    </row>
    <row r="7474" spans="1:5" x14ac:dyDescent="0.25">
      <c r="A7474" s="2" t="s">
        <v>242</v>
      </c>
      <c r="B7474" s="6">
        <v>44515</v>
      </c>
      <c r="C7474" s="2" t="s">
        <v>16</v>
      </c>
      <c r="D7474" s="8">
        <v>-50</v>
      </c>
      <c r="E7474" s="8">
        <f>E7473+(0-50)</f>
        <v>8394249.1699994765</v>
      </c>
    </row>
    <row r="7475" spans="1:5" x14ac:dyDescent="0.25">
      <c r="A7475" s="2" t="s">
        <v>242</v>
      </c>
      <c r="B7475" s="6">
        <v>44515</v>
      </c>
      <c r="C7475" s="2" t="s">
        <v>16</v>
      </c>
      <c r="D7475" s="8">
        <v>-50</v>
      </c>
      <c r="E7475" s="8">
        <f>E7474+(0-50)</f>
        <v>8394199.1699994765</v>
      </c>
    </row>
    <row r="7476" spans="1:5" x14ac:dyDescent="0.25">
      <c r="A7476" s="2" t="s">
        <v>242</v>
      </c>
      <c r="B7476" s="6">
        <v>44515</v>
      </c>
      <c r="C7476" s="2" t="s">
        <v>16</v>
      </c>
      <c r="D7476" s="8">
        <v>-50</v>
      </c>
      <c r="E7476" s="8">
        <f>E7475+(0-50)</f>
        <v>8394149.1699994765</v>
      </c>
    </row>
    <row r="7477" spans="1:5" x14ac:dyDescent="0.25">
      <c r="A7477" s="2" t="s">
        <v>242</v>
      </c>
      <c r="B7477" s="6">
        <v>44515</v>
      </c>
      <c r="C7477" s="2" t="s">
        <v>16</v>
      </c>
      <c r="D7477" s="8">
        <v>-650</v>
      </c>
      <c r="E7477" s="8">
        <f>E7476+(0-650)</f>
        <v>8393499.1699994765</v>
      </c>
    </row>
    <row r="7478" spans="1:5" x14ac:dyDescent="0.25">
      <c r="A7478" s="2" t="s">
        <v>242</v>
      </c>
      <c r="B7478" s="6">
        <v>44516</v>
      </c>
      <c r="C7478" s="2" t="s">
        <v>17</v>
      </c>
      <c r="D7478" s="8">
        <v>-72</v>
      </c>
      <c r="E7478" s="8">
        <f>E7477+(0-72)</f>
        <v>8393427.1699994765</v>
      </c>
    </row>
    <row r="7479" spans="1:5" x14ac:dyDescent="0.25">
      <c r="A7479" s="2" t="s">
        <v>242</v>
      </c>
      <c r="B7479" s="6">
        <v>44516</v>
      </c>
      <c r="C7479" s="2" t="s">
        <v>16</v>
      </c>
      <c r="D7479" s="8">
        <v>-350</v>
      </c>
      <c r="E7479" s="8">
        <f>E7478+(0-350)</f>
        <v>8393077.1699994765</v>
      </c>
    </row>
    <row r="7480" spans="1:5" x14ac:dyDescent="0.25">
      <c r="A7480" s="2" t="s">
        <v>242</v>
      </c>
      <c r="B7480" s="6">
        <v>44517</v>
      </c>
      <c r="C7480" s="2" t="s">
        <v>16</v>
      </c>
      <c r="D7480" s="8">
        <v>-50</v>
      </c>
      <c r="E7480" s="8">
        <f>E7479+(0-50)</f>
        <v>8393027.1699994765</v>
      </c>
    </row>
    <row r="7481" spans="1:5" x14ac:dyDescent="0.25">
      <c r="A7481" s="2" t="s">
        <v>242</v>
      </c>
      <c r="B7481" s="6">
        <v>44517</v>
      </c>
      <c r="C7481" s="2" t="s">
        <v>17</v>
      </c>
      <c r="D7481" s="8">
        <v>-32</v>
      </c>
      <c r="E7481" s="8">
        <f>E7480+(0-32)</f>
        <v>8392995.1699994765</v>
      </c>
    </row>
    <row r="7482" spans="1:5" x14ac:dyDescent="0.25">
      <c r="A7482" s="2" t="s">
        <v>242</v>
      </c>
      <c r="B7482" s="6">
        <v>44517</v>
      </c>
      <c r="C7482" s="2" t="s">
        <v>16</v>
      </c>
      <c r="D7482" s="8">
        <v>-50</v>
      </c>
      <c r="E7482" s="8">
        <f>E7481+(0-50)</f>
        <v>8392945.1699994765</v>
      </c>
    </row>
    <row r="7483" spans="1:5" x14ac:dyDescent="0.25">
      <c r="A7483" s="2" t="s">
        <v>242</v>
      </c>
      <c r="B7483" s="6">
        <v>44517</v>
      </c>
      <c r="C7483" s="2" t="s">
        <v>16</v>
      </c>
      <c r="D7483" s="8">
        <v>-250</v>
      </c>
      <c r="E7483" s="8">
        <f>E7482+(0-250)</f>
        <v>8392695.1699994765</v>
      </c>
    </row>
    <row r="7484" spans="1:5" x14ac:dyDescent="0.25">
      <c r="A7484" s="2" t="s">
        <v>242</v>
      </c>
      <c r="B7484" s="6">
        <v>44518</v>
      </c>
      <c r="C7484" s="2" t="s">
        <v>17</v>
      </c>
      <c r="D7484" s="8">
        <v>-36</v>
      </c>
      <c r="E7484" s="8">
        <f>E7483+(0-36)</f>
        <v>8392659.1699994765</v>
      </c>
    </row>
    <row r="7485" spans="1:5" x14ac:dyDescent="0.25">
      <c r="A7485" s="2" t="s">
        <v>242</v>
      </c>
      <c r="B7485" s="6">
        <v>44518</v>
      </c>
      <c r="C7485" s="2" t="s">
        <v>16</v>
      </c>
      <c r="D7485" s="8">
        <v>-50</v>
      </c>
      <c r="E7485" s="8">
        <f>E7484+(0-50)</f>
        <v>8392609.1699994765</v>
      </c>
    </row>
    <row r="7486" spans="1:5" x14ac:dyDescent="0.25">
      <c r="A7486" s="2" t="s">
        <v>242</v>
      </c>
      <c r="B7486" s="6">
        <v>44518</v>
      </c>
      <c r="C7486" s="2" t="s">
        <v>16</v>
      </c>
      <c r="D7486" s="8">
        <v>-200</v>
      </c>
      <c r="E7486" s="8">
        <f>E7485+(0-200)</f>
        <v>8392409.1699994765</v>
      </c>
    </row>
    <row r="7487" spans="1:5" x14ac:dyDescent="0.25">
      <c r="A7487" s="2" t="s">
        <v>242</v>
      </c>
      <c r="B7487" s="6">
        <v>44519</v>
      </c>
      <c r="C7487" s="2" t="s">
        <v>17</v>
      </c>
      <c r="D7487" s="8">
        <v>-40</v>
      </c>
      <c r="E7487" s="8">
        <f>E7486+(0-40)</f>
        <v>8392369.1699994765</v>
      </c>
    </row>
    <row r="7488" spans="1:5" x14ac:dyDescent="0.25">
      <c r="A7488" s="2" t="s">
        <v>242</v>
      </c>
      <c r="B7488" s="6">
        <v>44519</v>
      </c>
      <c r="C7488" s="2" t="s">
        <v>165</v>
      </c>
      <c r="D7488" s="8">
        <v>-53.75</v>
      </c>
      <c r="E7488" s="8">
        <f>E7487+(0-53.75)</f>
        <v>8392315.4199994765</v>
      </c>
    </row>
    <row r="7489" spans="1:5" x14ac:dyDescent="0.25">
      <c r="A7489" s="2" t="s">
        <v>242</v>
      </c>
      <c r="B7489" s="6">
        <v>44519</v>
      </c>
      <c r="C7489" s="2" t="s">
        <v>457</v>
      </c>
      <c r="D7489" s="8">
        <v>-53.75</v>
      </c>
      <c r="E7489" s="8">
        <f>E7488+(0-53.75)</f>
        <v>8392261.6699994765</v>
      </c>
    </row>
    <row r="7490" spans="1:5" x14ac:dyDescent="0.25">
      <c r="A7490" s="2" t="s">
        <v>242</v>
      </c>
      <c r="B7490" s="6">
        <v>44519</v>
      </c>
      <c r="C7490" s="2" t="s">
        <v>16</v>
      </c>
      <c r="D7490" s="8">
        <v>-300</v>
      </c>
      <c r="E7490" s="8">
        <f>E7489+(0-300)</f>
        <v>8391961.6699994765</v>
      </c>
    </row>
    <row r="7491" spans="1:5" x14ac:dyDescent="0.25">
      <c r="A7491" s="2" t="s">
        <v>242</v>
      </c>
      <c r="B7491" s="6">
        <v>44522</v>
      </c>
      <c r="C7491" s="2" t="s">
        <v>17</v>
      </c>
      <c r="D7491" s="8">
        <v>-36</v>
      </c>
      <c r="E7491" s="8">
        <f>E7490+(0-36)</f>
        <v>8391925.6699994765</v>
      </c>
    </row>
    <row r="7492" spans="1:5" x14ac:dyDescent="0.25">
      <c r="A7492" s="2" t="s">
        <v>242</v>
      </c>
      <c r="B7492" s="6">
        <v>44522</v>
      </c>
      <c r="C7492" s="2" t="s">
        <v>17</v>
      </c>
      <c r="D7492" s="8">
        <v>-8</v>
      </c>
      <c r="E7492" s="8">
        <f>E7491+(0-8)</f>
        <v>8391917.6699994765</v>
      </c>
    </row>
    <row r="7493" spans="1:5" x14ac:dyDescent="0.25">
      <c r="A7493" s="2" t="s">
        <v>242</v>
      </c>
      <c r="B7493" s="6">
        <v>44522</v>
      </c>
      <c r="C7493" s="2" t="s">
        <v>16</v>
      </c>
      <c r="D7493" s="8">
        <v>-50</v>
      </c>
      <c r="E7493" s="8">
        <f>E7492+(0-50)</f>
        <v>8391867.6699994765</v>
      </c>
    </row>
    <row r="7494" spans="1:5" x14ac:dyDescent="0.25">
      <c r="A7494" s="2" t="s">
        <v>242</v>
      </c>
      <c r="B7494" s="6">
        <v>44522</v>
      </c>
      <c r="C7494" s="2" t="s">
        <v>16</v>
      </c>
      <c r="D7494" s="8">
        <v>-300</v>
      </c>
      <c r="E7494" s="8">
        <f>E7493+(0-300)</f>
        <v>8391567.6699994765</v>
      </c>
    </row>
    <row r="7495" spans="1:5" x14ac:dyDescent="0.25">
      <c r="A7495" s="2" t="s">
        <v>242</v>
      </c>
      <c r="B7495" s="6">
        <v>44523</v>
      </c>
      <c r="C7495" s="2" t="s">
        <v>165</v>
      </c>
      <c r="D7495" s="8">
        <v>-53.75</v>
      </c>
      <c r="E7495" s="8">
        <f>E7494+(0-53.75)</f>
        <v>8391513.9199994765</v>
      </c>
    </row>
    <row r="7496" spans="1:5" x14ac:dyDescent="0.25">
      <c r="A7496" s="2" t="s">
        <v>242</v>
      </c>
      <c r="B7496" s="6">
        <v>44523</v>
      </c>
      <c r="C7496" s="2" t="s">
        <v>17</v>
      </c>
      <c r="D7496" s="8">
        <v>-56</v>
      </c>
      <c r="E7496" s="8">
        <f>E7495+(0-56)</f>
        <v>8391457.9199994765</v>
      </c>
    </row>
    <row r="7497" spans="1:5" x14ac:dyDescent="0.25">
      <c r="A7497" s="2" t="s">
        <v>242</v>
      </c>
      <c r="B7497" s="6">
        <v>44524</v>
      </c>
      <c r="C7497" s="2" t="s">
        <v>173</v>
      </c>
      <c r="D7497" s="8">
        <v>-26.88</v>
      </c>
      <c r="E7497" s="8">
        <f>E7496+(0-26.88)</f>
        <v>8391431.0399994757</v>
      </c>
    </row>
    <row r="7498" spans="1:5" x14ac:dyDescent="0.25">
      <c r="A7498" s="2" t="s">
        <v>242</v>
      </c>
      <c r="B7498" s="6">
        <v>44524</v>
      </c>
      <c r="C7498" s="2" t="s">
        <v>17</v>
      </c>
      <c r="D7498" s="8">
        <v>-48</v>
      </c>
      <c r="E7498" s="8">
        <f>E7497+(0-48)</f>
        <v>8391383.0399994757</v>
      </c>
    </row>
    <row r="7499" spans="1:5" x14ac:dyDescent="0.25">
      <c r="A7499" s="2" t="s">
        <v>242</v>
      </c>
      <c r="B7499" s="6">
        <v>44524</v>
      </c>
      <c r="C7499" s="2" t="s">
        <v>16</v>
      </c>
      <c r="D7499" s="8">
        <v>-150</v>
      </c>
      <c r="E7499" s="8">
        <f>E7498+(0-150)</f>
        <v>8391233.0399994757</v>
      </c>
    </row>
    <row r="7500" spans="1:5" x14ac:dyDescent="0.25">
      <c r="A7500" s="2" t="s">
        <v>242</v>
      </c>
      <c r="B7500" s="6">
        <v>44525</v>
      </c>
      <c r="C7500" s="2" t="s">
        <v>17</v>
      </c>
      <c r="D7500" s="8">
        <v>-12</v>
      </c>
      <c r="E7500" s="8">
        <f>E7499+(0-12)</f>
        <v>8391221.0399994757</v>
      </c>
    </row>
    <row r="7501" spans="1:5" x14ac:dyDescent="0.25">
      <c r="A7501" s="2" t="s">
        <v>242</v>
      </c>
      <c r="B7501" s="6">
        <v>44525</v>
      </c>
      <c r="C7501" s="2" t="s">
        <v>458</v>
      </c>
      <c r="D7501" s="8">
        <v>-53.75</v>
      </c>
      <c r="E7501" s="8">
        <f>E7500+(0-53.75)</f>
        <v>8391167.2899994757</v>
      </c>
    </row>
    <row r="7502" spans="1:5" x14ac:dyDescent="0.25">
      <c r="A7502" s="2" t="s">
        <v>242</v>
      </c>
      <c r="B7502" s="6">
        <v>44525</v>
      </c>
      <c r="C7502" s="2" t="s">
        <v>16</v>
      </c>
      <c r="D7502" s="8">
        <v>-450</v>
      </c>
      <c r="E7502" s="8">
        <f>E7501+(0-450)</f>
        <v>8390717.2899994757</v>
      </c>
    </row>
    <row r="7503" spans="1:5" x14ac:dyDescent="0.25">
      <c r="A7503" s="2" t="s">
        <v>242</v>
      </c>
      <c r="B7503" s="6">
        <v>44525</v>
      </c>
      <c r="C7503" s="2" t="s">
        <v>17</v>
      </c>
      <c r="D7503" s="8">
        <v>-68</v>
      </c>
      <c r="E7503" s="8">
        <f>E7502+(0-68)</f>
        <v>8390649.2899994757</v>
      </c>
    </row>
    <row r="7504" spans="1:5" x14ac:dyDescent="0.25">
      <c r="A7504" s="2" t="s">
        <v>242</v>
      </c>
      <c r="B7504" s="6">
        <v>44526</v>
      </c>
      <c r="C7504" s="2" t="s">
        <v>459</v>
      </c>
      <c r="D7504" s="8">
        <v>-26.88</v>
      </c>
      <c r="E7504" s="8">
        <f>E7503+(0-26.88)</f>
        <v>8390622.4099994749</v>
      </c>
    </row>
    <row r="7505" spans="1:5" x14ac:dyDescent="0.25">
      <c r="A7505" s="2" t="s">
        <v>242</v>
      </c>
      <c r="B7505" s="6">
        <v>44526</v>
      </c>
      <c r="C7505" s="2" t="s">
        <v>460</v>
      </c>
      <c r="D7505" s="8">
        <v>-26.88</v>
      </c>
      <c r="E7505" s="8">
        <f>E7504+(0-26.88)</f>
        <v>8390595.5299994741</v>
      </c>
    </row>
    <row r="7506" spans="1:5" x14ac:dyDescent="0.25">
      <c r="A7506" s="2" t="s">
        <v>242</v>
      </c>
      <c r="B7506" s="6">
        <v>44526</v>
      </c>
      <c r="C7506" s="2" t="s">
        <v>390</v>
      </c>
      <c r="D7506" s="8">
        <v>-26.88</v>
      </c>
      <c r="E7506" s="8">
        <f>E7505+(0-26.88)</f>
        <v>8390568.6499994732</v>
      </c>
    </row>
    <row r="7507" spans="1:5" x14ac:dyDescent="0.25">
      <c r="A7507" s="2" t="s">
        <v>242</v>
      </c>
      <c r="B7507" s="6">
        <v>44526</v>
      </c>
      <c r="C7507" s="2" t="s">
        <v>137</v>
      </c>
      <c r="D7507" s="8">
        <v>-53.75</v>
      </c>
      <c r="E7507" s="8">
        <f>E7506+(0-53.75)</f>
        <v>8390514.8999994732</v>
      </c>
    </row>
    <row r="7508" spans="1:5" x14ac:dyDescent="0.25">
      <c r="A7508" s="2" t="s">
        <v>242</v>
      </c>
      <c r="B7508" s="6">
        <v>44526</v>
      </c>
      <c r="C7508" s="2" t="s">
        <v>461</v>
      </c>
      <c r="D7508" s="8">
        <v>-26.88</v>
      </c>
      <c r="E7508" s="8">
        <f>E7507+(0-26.88)</f>
        <v>8390488.0199994724</v>
      </c>
    </row>
    <row r="7509" spans="1:5" x14ac:dyDescent="0.25">
      <c r="A7509" s="2" t="s">
        <v>242</v>
      </c>
      <c r="B7509" s="6">
        <v>44526</v>
      </c>
      <c r="C7509" s="2" t="s">
        <v>462</v>
      </c>
      <c r="D7509" s="8">
        <v>-26.88</v>
      </c>
      <c r="E7509" s="8">
        <f>E7508+(0-26.88)</f>
        <v>8390461.1399994716</v>
      </c>
    </row>
    <row r="7510" spans="1:5" x14ac:dyDescent="0.25">
      <c r="A7510" s="2" t="s">
        <v>242</v>
      </c>
      <c r="B7510" s="6">
        <v>44526</v>
      </c>
      <c r="C7510" s="2" t="s">
        <v>463</v>
      </c>
      <c r="D7510" s="8">
        <v>-53.75</v>
      </c>
      <c r="E7510" s="8">
        <f>E7509+(0-53.75)</f>
        <v>8390407.3899994716</v>
      </c>
    </row>
    <row r="7511" spans="1:5" x14ac:dyDescent="0.25">
      <c r="A7511" s="2" t="s">
        <v>242</v>
      </c>
      <c r="B7511" s="6">
        <v>44526</v>
      </c>
      <c r="C7511" s="2" t="s">
        <v>16</v>
      </c>
      <c r="D7511" s="8">
        <v>-300</v>
      </c>
      <c r="E7511" s="8">
        <f>E7510+(0-300)</f>
        <v>8390107.3899994716</v>
      </c>
    </row>
    <row r="7512" spans="1:5" x14ac:dyDescent="0.25">
      <c r="A7512" s="2" t="s">
        <v>242</v>
      </c>
      <c r="B7512" s="6">
        <v>44529</v>
      </c>
      <c r="C7512" s="2" t="s">
        <v>464</v>
      </c>
      <c r="D7512" s="8">
        <v>-53.75</v>
      </c>
      <c r="E7512" s="8">
        <f>E7511+(0-53.75)</f>
        <v>8390053.6399994716</v>
      </c>
    </row>
    <row r="7513" spans="1:5" x14ac:dyDescent="0.25">
      <c r="A7513" s="2" t="s">
        <v>242</v>
      </c>
      <c r="B7513" s="6">
        <v>44529</v>
      </c>
      <c r="C7513" s="2" t="s">
        <v>17</v>
      </c>
      <c r="D7513" s="8">
        <v>-88</v>
      </c>
      <c r="E7513" s="8">
        <f>E7512+(0-88)</f>
        <v>8389965.6399994716</v>
      </c>
    </row>
    <row r="7514" spans="1:5" x14ac:dyDescent="0.25">
      <c r="A7514" s="2" t="s">
        <v>242</v>
      </c>
      <c r="B7514" s="6">
        <v>44529</v>
      </c>
      <c r="C7514" s="2" t="s">
        <v>17</v>
      </c>
      <c r="D7514" s="8">
        <v>-16</v>
      </c>
      <c r="E7514" s="8">
        <f>E7513+(0-16)</f>
        <v>8389949.6399994716</v>
      </c>
    </row>
    <row r="7515" spans="1:5" x14ac:dyDescent="0.25">
      <c r="A7515" s="2" t="s">
        <v>242</v>
      </c>
      <c r="B7515" s="6">
        <v>44529</v>
      </c>
      <c r="C7515" s="2" t="s">
        <v>16</v>
      </c>
      <c r="D7515" s="8">
        <v>-50</v>
      </c>
      <c r="E7515" s="8">
        <f>E7514+(0-50)</f>
        <v>8389899.6399994716</v>
      </c>
    </row>
    <row r="7516" spans="1:5" x14ac:dyDescent="0.25">
      <c r="A7516" s="2" t="s">
        <v>242</v>
      </c>
      <c r="B7516" s="6">
        <v>44529</v>
      </c>
      <c r="C7516" s="2" t="s">
        <v>16</v>
      </c>
      <c r="D7516" s="8">
        <v>-200</v>
      </c>
      <c r="E7516" s="8">
        <f>E7515+(0-200)</f>
        <v>8389699.6399994716</v>
      </c>
    </row>
    <row r="7517" spans="1:5" x14ac:dyDescent="0.25">
      <c r="A7517" s="2" t="s">
        <v>242</v>
      </c>
      <c r="B7517" s="6">
        <v>44530</v>
      </c>
      <c r="C7517" s="2" t="s">
        <v>17</v>
      </c>
      <c r="D7517" s="8">
        <v>-12</v>
      </c>
      <c r="E7517" s="8">
        <f>E7516+(0-12)</f>
        <v>8389687.6399994716</v>
      </c>
    </row>
    <row r="7518" spans="1:5" x14ac:dyDescent="0.25">
      <c r="A7518" s="2" t="s">
        <v>242</v>
      </c>
      <c r="B7518" s="6">
        <v>44530</v>
      </c>
      <c r="C7518" s="2" t="s">
        <v>52</v>
      </c>
      <c r="D7518" s="8">
        <v>-250</v>
      </c>
      <c r="E7518" s="8">
        <f>E7517+(0-250)</f>
        <v>8389437.6399994716</v>
      </c>
    </row>
    <row r="7519" spans="1:5" x14ac:dyDescent="0.25">
      <c r="A7519" s="2" t="s">
        <v>242</v>
      </c>
      <c r="B7519" s="6">
        <v>44531</v>
      </c>
      <c r="C7519" s="2" t="s">
        <v>17</v>
      </c>
      <c r="D7519" s="8">
        <v>-36</v>
      </c>
      <c r="E7519" s="8">
        <f>E7518+(0-36)</f>
        <v>8389401.6399994716</v>
      </c>
    </row>
    <row r="7520" spans="1:5" x14ac:dyDescent="0.25">
      <c r="A7520" s="2" t="s">
        <v>242</v>
      </c>
      <c r="B7520" s="6">
        <v>44531</v>
      </c>
      <c r="C7520" s="2" t="s">
        <v>24</v>
      </c>
      <c r="D7520" s="8">
        <v>-50</v>
      </c>
      <c r="E7520" s="8">
        <f>E7519+(0-50)</f>
        <v>8389351.6399994716</v>
      </c>
    </row>
    <row r="7521" spans="1:5" x14ac:dyDescent="0.25">
      <c r="A7521" s="2" t="s">
        <v>242</v>
      </c>
      <c r="B7521" s="6">
        <v>44531</v>
      </c>
      <c r="C7521" s="2" t="s">
        <v>16</v>
      </c>
      <c r="D7521" s="8">
        <v>-50</v>
      </c>
      <c r="E7521" s="8">
        <f>E7520+(0-50)</f>
        <v>8389301.6399994716</v>
      </c>
    </row>
    <row r="7522" spans="1:5" x14ac:dyDescent="0.25">
      <c r="A7522" s="2" t="s">
        <v>242</v>
      </c>
      <c r="B7522" s="6">
        <v>44531</v>
      </c>
      <c r="C7522" s="2" t="s">
        <v>16</v>
      </c>
      <c r="D7522" s="8">
        <v>-250</v>
      </c>
      <c r="E7522" s="8">
        <f>E7521+(0-250)</f>
        <v>8389051.6399994716</v>
      </c>
    </row>
    <row r="7523" spans="1:5" x14ac:dyDescent="0.25">
      <c r="A7523" s="2" t="s">
        <v>242</v>
      </c>
      <c r="B7523" s="6">
        <v>44532</v>
      </c>
      <c r="C7523" s="2" t="s">
        <v>16</v>
      </c>
      <c r="D7523" s="8">
        <v>-100</v>
      </c>
      <c r="E7523" s="8">
        <f>E7522+(0-100)</f>
        <v>8388951.6399994716</v>
      </c>
    </row>
    <row r="7524" spans="1:5" x14ac:dyDescent="0.25">
      <c r="A7524" s="2" t="s">
        <v>242</v>
      </c>
      <c r="B7524" s="6">
        <v>44532</v>
      </c>
      <c r="C7524" s="2" t="s">
        <v>16</v>
      </c>
      <c r="D7524" s="8">
        <v>-600</v>
      </c>
      <c r="E7524" s="8">
        <f>E7523+(0-600)</f>
        <v>8388351.6399994716</v>
      </c>
    </row>
    <row r="7525" spans="1:5" x14ac:dyDescent="0.25">
      <c r="A7525" s="2" t="s">
        <v>242</v>
      </c>
      <c r="B7525" s="6">
        <v>44532</v>
      </c>
      <c r="C7525" s="2" t="s">
        <v>465</v>
      </c>
      <c r="D7525" s="8">
        <v>-26.88</v>
      </c>
      <c r="E7525" s="8">
        <f>E7524+(0-26.88)</f>
        <v>8388324.7599994717</v>
      </c>
    </row>
    <row r="7526" spans="1:5" x14ac:dyDescent="0.25">
      <c r="A7526" s="2" t="s">
        <v>242</v>
      </c>
      <c r="B7526" s="6">
        <v>44533</v>
      </c>
      <c r="C7526" s="2" t="s">
        <v>16</v>
      </c>
      <c r="D7526" s="8">
        <v>-450</v>
      </c>
      <c r="E7526" s="8">
        <f>E7525+(0-450)</f>
        <v>8387874.7599994717</v>
      </c>
    </row>
    <row r="7527" spans="1:5" x14ac:dyDescent="0.25">
      <c r="A7527" s="2" t="s">
        <v>242</v>
      </c>
      <c r="B7527" s="6">
        <v>44536</v>
      </c>
      <c r="C7527" s="2" t="s">
        <v>16</v>
      </c>
      <c r="D7527" s="8">
        <v>-300</v>
      </c>
      <c r="E7527" s="8">
        <f>E7526+(0-300)</f>
        <v>8387574.7599994717</v>
      </c>
    </row>
    <row r="7528" spans="1:5" x14ac:dyDescent="0.25">
      <c r="A7528" s="2" t="s">
        <v>242</v>
      </c>
      <c r="B7528" s="6">
        <v>44536</v>
      </c>
      <c r="C7528" s="2" t="s">
        <v>16</v>
      </c>
      <c r="D7528" s="8">
        <v>-100</v>
      </c>
      <c r="E7528" s="8">
        <f>E7527+(0-100)</f>
        <v>8387474.7599994717</v>
      </c>
    </row>
    <row r="7529" spans="1:5" x14ac:dyDescent="0.25">
      <c r="A7529" s="2" t="s">
        <v>242</v>
      </c>
      <c r="B7529" s="6">
        <v>44537</v>
      </c>
      <c r="C7529" s="2" t="s">
        <v>466</v>
      </c>
      <c r="D7529" s="8">
        <v>-53.75</v>
      </c>
      <c r="E7529" s="8">
        <f>E7528+(0-53.75)</f>
        <v>8387421.0099994717</v>
      </c>
    </row>
    <row r="7530" spans="1:5" x14ac:dyDescent="0.25">
      <c r="A7530" s="2" t="s">
        <v>242</v>
      </c>
      <c r="B7530" s="6">
        <v>44537</v>
      </c>
      <c r="C7530" s="2" t="s">
        <v>16</v>
      </c>
      <c r="D7530" s="8">
        <v>-250</v>
      </c>
      <c r="E7530" s="8">
        <f>E7529+(0-250)</f>
        <v>8387171.0099994717</v>
      </c>
    </row>
    <row r="7531" spans="1:5" x14ac:dyDescent="0.25">
      <c r="A7531" s="2" t="s">
        <v>242</v>
      </c>
      <c r="B7531" s="6">
        <v>44537</v>
      </c>
      <c r="C7531" s="2" t="s">
        <v>16</v>
      </c>
      <c r="D7531" s="8">
        <v>-50</v>
      </c>
      <c r="E7531" s="8">
        <f>E7530+(0-50)</f>
        <v>8387121.0099994717</v>
      </c>
    </row>
    <row r="7532" spans="1:5" x14ac:dyDescent="0.25">
      <c r="A7532" s="2" t="s">
        <v>242</v>
      </c>
      <c r="B7532" s="6">
        <v>44538</v>
      </c>
      <c r="C7532" s="2" t="s">
        <v>16</v>
      </c>
      <c r="D7532" s="8">
        <v>-150</v>
      </c>
      <c r="E7532" s="8">
        <f>E7531+(0-150)</f>
        <v>8386971.0099994717</v>
      </c>
    </row>
    <row r="7533" spans="1:5" x14ac:dyDescent="0.25">
      <c r="A7533" s="2" t="s">
        <v>242</v>
      </c>
      <c r="B7533" s="6">
        <v>44539</v>
      </c>
      <c r="C7533" s="2" t="s">
        <v>16</v>
      </c>
      <c r="D7533" s="8">
        <v>-50</v>
      </c>
      <c r="E7533" s="8">
        <f>E7532+(0-50)</f>
        <v>8386921.0099994717</v>
      </c>
    </row>
    <row r="7534" spans="1:5" x14ac:dyDescent="0.25">
      <c r="A7534" s="2" t="s">
        <v>242</v>
      </c>
      <c r="B7534" s="6">
        <v>44539</v>
      </c>
      <c r="C7534" s="2" t="s">
        <v>16</v>
      </c>
      <c r="D7534" s="8">
        <v>-100</v>
      </c>
      <c r="E7534" s="8">
        <f>E7533+(0-100)</f>
        <v>8386821.0099994717</v>
      </c>
    </row>
    <row r="7535" spans="1:5" x14ac:dyDescent="0.25">
      <c r="A7535" s="2" t="s">
        <v>242</v>
      </c>
      <c r="B7535" s="6">
        <v>44540</v>
      </c>
      <c r="C7535" s="2" t="s">
        <v>467</v>
      </c>
      <c r="D7535" s="8">
        <v>-53.75</v>
      </c>
      <c r="E7535" s="8">
        <f>E7534+(0-53.75)</f>
        <v>8386767.2599994717</v>
      </c>
    </row>
    <row r="7536" spans="1:5" x14ac:dyDescent="0.25">
      <c r="A7536" s="2" t="s">
        <v>242</v>
      </c>
      <c r="B7536" s="6">
        <v>44540</v>
      </c>
      <c r="C7536" s="2" t="s">
        <v>17</v>
      </c>
      <c r="D7536" s="8">
        <v>-20</v>
      </c>
      <c r="E7536" s="8">
        <f>E7535+(0-20)</f>
        <v>8386747.2599994717</v>
      </c>
    </row>
    <row r="7537" spans="1:5" x14ac:dyDescent="0.25">
      <c r="A7537" s="2" t="s">
        <v>242</v>
      </c>
      <c r="B7537" s="6">
        <v>44540</v>
      </c>
      <c r="C7537" s="2" t="s">
        <v>17</v>
      </c>
      <c r="D7537" s="8">
        <v>-56</v>
      </c>
      <c r="E7537" s="8">
        <f>E7536+(0-56)</f>
        <v>8386691.2599994717</v>
      </c>
    </row>
    <row r="7538" spans="1:5" x14ac:dyDescent="0.25">
      <c r="A7538" s="2" t="s">
        <v>242</v>
      </c>
      <c r="B7538" s="6">
        <v>44540</v>
      </c>
      <c r="C7538" s="2" t="s">
        <v>17</v>
      </c>
      <c r="D7538" s="8">
        <v>-72</v>
      </c>
      <c r="E7538" s="8">
        <f>E7537+(0-72)</f>
        <v>8386619.2599994717</v>
      </c>
    </row>
    <row r="7539" spans="1:5" x14ac:dyDescent="0.25">
      <c r="A7539" s="2" t="s">
        <v>242</v>
      </c>
      <c r="B7539" s="6">
        <v>44540</v>
      </c>
      <c r="C7539" s="2" t="s">
        <v>16</v>
      </c>
      <c r="D7539" s="8">
        <v>-300</v>
      </c>
      <c r="E7539" s="8">
        <f>E7538+(0-300)</f>
        <v>8386319.2599994717</v>
      </c>
    </row>
    <row r="7540" spans="1:5" x14ac:dyDescent="0.25">
      <c r="A7540" s="2" t="s">
        <v>242</v>
      </c>
      <c r="B7540" s="6">
        <v>44540</v>
      </c>
      <c r="C7540" s="2" t="s">
        <v>17</v>
      </c>
      <c r="D7540" s="8">
        <v>-32</v>
      </c>
      <c r="E7540" s="8">
        <f>E7539+(0-32)</f>
        <v>8386287.2599994717</v>
      </c>
    </row>
    <row r="7541" spans="1:5" x14ac:dyDescent="0.25">
      <c r="A7541" s="2" t="s">
        <v>242</v>
      </c>
      <c r="B7541" s="6">
        <v>44543</v>
      </c>
      <c r="C7541" s="2" t="s">
        <v>17</v>
      </c>
      <c r="D7541" s="8">
        <v>-44</v>
      </c>
      <c r="E7541" s="8">
        <f>E7540+(0-44)</f>
        <v>8386243.2599994717</v>
      </c>
    </row>
    <row r="7542" spans="1:5" x14ac:dyDescent="0.25">
      <c r="A7542" s="2" t="s">
        <v>242</v>
      </c>
      <c r="B7542" s="6">
        <v>44543</v>
      </c>
      <c r="C7542" s="2" t="s">
        <v>17</v>
      </c>
      <c r="D7542" s="8">
        <v>-24</v>
      </c>
      <c r="E7542" s="8">
        <f>E7541+(0-24)</f>
        <v>8386219.2599994717</v>
      </c>
    </row>
    <row r="7543" spans="1:5" x14ac:dyDescent="0.25">
      <c r="A7543" s="2" t="s">
        <v>242</v>
      </c>
      <c r="B7543" s="6">
        <v>44543</v>
      </c>
      <c r="C7543" s="2" t="s">
        <v>17</v>
      </c>
      <c r="D7543" s="8">
        <v>-20</v>
      </c>
      <c r="E7543" s="8">
        <f>E7542+(0-20)</f>
        <v>8386199.2599994717</v>
      </c>
    </row>
    <row r="7544" spans="1:5" x14ac:dyDescent="0.25">
      <c r="A7544" s="2" t="s">
        <v>242</v>
      </c>
      <c r="B7544" s="6">
        <v>44543</v>
      </c>
      <c r="C7544" s="2" t="s">
        <v>17</v>
      </c>
      <c r="D7544" s="8">
        <v>-48</v>
      </c>
      <c r="E7544" s="8">
        <f>E7543+(0-48)</f>
        <v>8386151.2599994717</v>
      </c>
    </row>
    <row r="7545" spans="1:5" x14ac:dyDescent="0.25">
      <c r="A7545" s="2" t="s">
        <v>242</v>
      </c>
      <c r="B7545" s="6">
        <v>44543</v>
      </c>
      <c r="C7545" s="2" t="s">
        <v>16</v>
      </c>
      <c r="D7545" s="8">
        <v>-50</v>
      </c>
      <c r="E7545" s="8">
        <f>E7544+(0-50)</f>
        <v>8386101.2599994717</v>
      </c>
    </row>
    <row r="7546" spans="1:5" x14ac:dyDescent="0.25">
      <c r="A7546" s="2" t="s">
        <v>242</v>
      </c>
      <c r="B7546" s="6">
        <v>44543</v>
      </c>
      <c r="C7546" s="2" t="s">
        <v>16</v>
      </c>
      <c r="D7546" s="8">
        <v>-50</v>
      </c>
      <c r="E7546" s="8">
        <f>E7545+(0-50)</f>
        <v>8386051.2599994717</v>
      </c>
    </row>
    <row r="7547" spans="1:5" x14ac:dyDescent="0.25">
      <c r="A7547" s="2" t="s">
        <v>242</v>
      </c>
      <c r="B7547" s="6">
        <v>44543</v>
      </c>
      <c r="C7547" s="2" t="s">
        <v>16</v>
      </c>
      <c r="D7547" s="8">
        <v>-50</v>
      </c>
      <c r="E7547" s="8">
        <f>E7546+(0-50)</f>
        <v>8386001.2599994717</v>
      </c>
    </row>
    <row r="7548" spans="1:5" x14ac:dyDescent="0.25">
      <c r="A7548" s="2" t="s">
        <v>242</v>
      </c>
      <c r="B7548" s="6">
        <v>44543</v>
      </c>
      <c r="C7548" s="2" t="s">
        <v>16</v>
      </c>
      <c r="D7548" s="8">
        <v>-50</v>
      </c>
      <c r="E7548" s="8">
        <f>E7547+(0-50)</f>
        <v>8385951.2599994717</v>
      </c>
    </row>
    <row r="7549" spans="1:5" x14ac:dyDescent="0.25">
      <c r="A7549" s="2" t="s">
        <v>242</v>
      </c>
      <c r="B7549" s="6">
        <v>44543</v>
      </c>
      <c r="C7549" s="2" t="s">
        <v>17</v>
      </c>
      <c r="D7549" s="8">
        <v>-20</v>
      </c>
      <c r="E7549" s="8">
        <f>E7548+(0-20)</f>
        <v>8385931.2599994717</v>
      </c>
    </row>
    <row r="7550" spans="1:5" x14ac:dyDescent="0.25">
      <c r="A7550" s="2" t="s">
        <v>242</v>
      </c>
      <c r="B7550" s="6">
        <v>44543</v>
      </c>
      <c r="C7550" s="2" t="s">
        <v>17</v>
      </c>
      <c r="D7550" s="8">
        <v>-4</v>
      </c>
      <c r="E7550" s="8">
        <f>E7549+(0-4)</f>
        <v>8385927.2599994717</v>
      </c>
    </row>
    <row r="7551" spans="1:5" x14ac:dyDescent="0.25">
      <c r="A7551" s="2" t="s">
        <v>242</v>
      </c>
      <c r="B7551" s="6">
        <v>44543</v>
      </c>
      <c r="C7551" s="2" t="s">
        <v>16</v>
      </c>
      <c r="D7551" s="8">
        <v>-400</v>
      </c>
      <c r="E7551" s="8">
        <f>E7550+(0-400)</f>
        <v>8385527.2599994717</v>
      </c>
    </row>
    <row r="7552" spans="1:5" x14ac:dyDescent="0.25">
      <c r="A7552" s="2" t="s">
        <v>242</v>
      </c>
      <c r="B7552" s="6">
        <v>44543</v>
      </c>
      <c r="C7552" s="2" t="s">
        <v>16</v>
      </c>
      <c r="D7552" s="8">
        <v>-50</v>
      </c>
      <c r="E7552" s="8">
        <f>E7551+(0-50)</f>
        <v>8385477.2599994717</v>
      </c>
    </row>
    <row r="7553" spans="1:5" x14ac:dyDescent="0.25">
      <c r="A7553" s="2" t="s">
        <v>242</v>
      </c>
      <c r="B7553" s="6">
        <v>44544</v>
      </c>
      <c r="C7553" s="2" t="s">
        <v>468</v>
      </c>
      <c r="D7553" s="8">
        <v>-53.75</v>
      </c>
      <c r="E7553" s="8">
        <f>E7552+(0-53.75)</f>
        <v>8385423.5099994717</v>
      </c>
    </row>
    <row r="7554" spans="1:5" x14ac:dyDescent="0.25">
      <c r="A7554" s="2" t="s">
        <v>242</v>
      </c>
      <c r="B7554" s="6">
        <v>44544</v>
      </c>
      <c r="C7554" s="2" t="s">
        <v>17</v>
      </c>
      <c r="D7554" s="8">
        <v>-48</v>
      </c>
      <c r="E7554" s="8">
        <f>E7553+(0-48)</f>
        <v>8385375.5099994717</v>
      </c>
    </row>
    <row r="7555" spans="1:5" x14ac:dyDescent="0.25">
      <c r="A7555" s="2" t="s">
        <v>242</v>
      </c>
      <c r="B7555" s="6">
        <v>44544</v>
      </c>
      <c r="C7555" s="2" t="s">
        <v>469</v>
      </c>
      <c r="D7555" s="8">
        <v>-26.88</v>
      </c>
      <c r="E7555" s="8">
        <f>E7554+(0-26.88)</f>
        <v>8385348.6299994718</v>
      </c>
    </row>
    <row r="7556" spans="1:5" x14ac:dyDescent="0.25">
      <c r="A7556" s="2" t="s">
        <v>242</v>
      </c>
      <c r="B7556" s="6">
        <v>44544</v>
      </c>
      <c r="C7556" s="2" t="s">
        <v>16</v>
      </c>
      <c r="D7556" s="8">
        <v>-150</v>
      </c>
      <c r="E7556" s="8">
        <f>E7555+(0-150)</f>
        <v>8385198.6299994718</v>
      </c>
    </row>
    <row r="7557" spans="1:5" x14ac:dyDescent="0.25">
      <c r="A7557" s="2" t="s">
        <v>242</v>
      </c>
      <c r="B7557" s="6">
        <v>44545</v>
      </c>
      <c r="C7557" s="2" t="s">
        <v>17</v>
      </c>
      <c r="D7557" s="8">
        <v>-32</v>
      </c>
      <c r="E7557" s="8">
        <f>E7556+(0-32)</f>
        <v>8385166.6299994718</v>
      </c>
    </row>
    <row r="7558" spans="1:5" x14ac:dyDescent="0.25">
      <c r="A7558" s="2" t="s">
        <v>242</v>
      </c>
      <c r="B7558" s="6">
        <v>44545</v>
      </c>
      <c r="C7558" s="2" t="s">
        <v>16</v>
      </c>
      <c r="D7558" s="8">
        <v>-500</v>
      </c>
      <c r="E7558" s="8">
        <f>E7557+(0-500)</f>
        <v>8384666.6299994718</v>
      </c>
    </row>
    <row r="7559" spans="1:5" x14ac:dyDescent="0.25">
      <c r="A7559" s="2" t="s">
        <v>242</v>
      </c>
      <c r="B7559" s="6">
        <v>44546</v>
      </c>
      <c r="C7559" s="2" t="s">
        <v>17</v>
      </c>
      <c r="D7559" s="8">
        <v>-48</v>
      </c>
      <c r="E7559" s="8">
        <f>E7558+(0-48)</f>
        <v>8384618.6299994718</v>
      </c>
    </row>
    <row r="7560" spans="1:5" x14ac:dyDescent="0.25">
      <c r="A7560" s="2" t="s">
        <v>242</v>
      </c>
      <c r="B7560" s="6">
        <v>44546</v>
      </c>
      <c r="C7560" s="2" t="s">
        <v>16</v>
      </c>
      <c r="D7560" s="8">
        <v>-50</v>
      </c>
      <c r="E7560" s="8">
        <f>E7559+(0-50)</f>
        <v>8384568.6299994718</v>
      </c>
    </row>
    <row r="7561" spans="1:5" x14ac:dyDescent="0.25">
      <c r="A7561" s="2" t="s">
        <v>242</v>
      </c>
      <c r="B7561" s="6">
        <v>44546</v>
      </c>
      <c r="C7561" s="2" t="s">
        <v>16</v>
      </c>
      <c r="D7561" s="8">
        <v>-100</v>
      </c>
      <c r="E7561" s="8">
        <f>E7560+(0-100)</f>
        <v>8384468.6299994718</v>
      </c>
    </row>
    <row r="7562" spans="1:5" x14ac:dyDescent="0.25">
      <c r="A7562" s="2" t="s">
        <v>242</v>
      </c>
      <c r="B7562" s="6">
        <v>44546</v>
      </c>
      <c r="C7562" s="2" t="s">
        <v>16</v>
      </c>
      <c r="D7562" s="8">
        <v>-50</v>
      </c>
      <c r="E7562" s="8">
        <f>E7561+(0-50)</f>
        <v>8384418.6299994718</v>
      </c>
    </row>
    <row r="7563" spans="1:5" x14ac:dyDescent="0.25">
      <c r="A7563" s="2" t="s">
        <v>242</v>
      </c>
      <c r="B7563" s="6">
        <v>44547</v>
      </c>
      <c r="C7563" s="2" t="s">
        <v>17</v>
      </c>
      <c r="D7563" s="8">
        <v>-36</v>
      </c>
      <c r="E7563" s="8">
        <f>E7562+(0-36)</f>
        <v>8384382.6299994718</v>
      </c>
    </row>
    <row r="7564" spans="1:5" x14ac:dyDescent="0.25">
      <c r="A7564" s="2" t="s">
        <v>242</v>
      </c>
      <c r="B7564" s="6">
        <v>44547</v>
      </c>
      <c r="C7564" s="2" t="s">
        <v>470</v>
      </c>
      <c r="D7564" s="8">
        <v>-26.88</v>
      </c>
      <c r="E7564" s="8">
        <f>E7563+(0-26.88)</f>
        <v>8384355.7499994719</v>
      </c>
    </row>
    <row r="7565" spans="1:5" x14ac:dyDescent="0.25">
      <c r="A7565" s="2" t="s">
        <v>242</v>
      </c>
      <c r="B7565" s="6">
        <v>44547</v>
      </c>
      <c r="C7565" s="2" t="s">
        <v>471</v>
      </c>
      <c r="D7565" s="8">
        <v>-26.88</v>
      </c>
      <c r="E7565" s="8">
        <f>E7564+(0-26.88)</f>
        <v>8384328.8699994721</v>
      </c>
    </row>
    <row r="7566" spans="1:5" x14ac:dyDescent="0.25">
      <c r="A7566" s="2" t="s">
        <v>242</v>
      </c>
      <c r="B7566" s="6">
        <v>44547</v>
      </c>
      <c r="C7566" s="2" t="s">
        <v>16</v>
      </c>
      <c r="D7566" s="8">
        <v>-50</v>
      </c>
      <c r="E7566" s="8">
        <f>E7565+(0-50)</f>
        <v>8384278.8699994721</v>
      </c>
    </row>
    <row r="7567" spans="1:5" x14ac:dyDescent="0.25">
      <c r="A7567" s="2" t="s">
        <v>242</v>
      </c>
      <c r="B7567" s="6">
        <v>44547</v>
      </c>
      <c r="C7567" s="2" t="s">
        <v>16</v>
      </c>
      <c r="D7567" s="8">
        <v>-50</v>
      </c>
      <c r="E7567" s="8">
        <f>E7566+(0-50)</f>
        <v>8384228.8699994721</v>
      </c>
    </row>
    <row r="7568" spans="1:5" x14ac:dyDescent="0.25">
      <c r="A7568" s="2" t="s">
        <v>242</v>
      </c>
      <c r="B7568" s="6">
        <v>44547</v>
      </c>
      <c r="C7568" s="2" t="s">
        <v>16</v>
      </c>
      <c r="D7568" s="8">
        <v>-50</v>
      </c>
      <c r="E7568" s="8">
        <f>E7567+(0-50)</f>
        <v>8384178.8699994721</v>
      </c>
    </row>
    <row r="7569" spans="1:5" x14ac:dyDescent="0.25">
      <c r="A7569" s="2" t="s">
        <v>242</v>
      </c>
      <c r="B7569" s="6">
        <v>44547</v>
      </c>
      <c r="C7569" s="2" t="s">
        <v>16</v>
      </c>
      <c r="D7569" s="8">
        <v>-50</v>
      </c>
      <c r="E7569" s="8">
        <f>E7568+(0-50)</f>
        <v>8384128.8699994721</v>
      </c>
    </row>
    <row r="7570" spans="1:5" x14ac:dyDescent="0.25">
      <c r="A7570" s="2" t="s">
        <v>242</v>
      </c>
      <c r="B7570" s="6">
        <v>44548</v>
      </c>
      <c r="C7570" s="2" t="s">
        <v>17</v>
      </c>
      <c r="D7570" s="8">
        <v>-52</v>
      </c>
      <c r="E7570" s="8">
        <f>E7569+(0-52)</f>
        <v>8384076.8699994721</v>
      </c>
    </row>
    <row r="7571" spans="1:5" x14ac:dyDescent="0.25">
      <c r="A7571" s="2" t="s">
        <v>242</v>
      </c>
      <c r="B7571" s="6">
        <v>44550</v>
      </c>
      <c r="C7571" s="2" t="s">
        <v>16</v>
      </c>
      <c r="D7571" s="8">
        <v>-50</v>
      </c>
      <c r="E7571" s="8">
        <f>E7570+(0-50)</f>
        <v>8384026.8699994721</v>
      </c>
    </row>
    <row r="7572" spans="1:5" x14ac:dyDescent="0.25">
      <c r="A7572" s="2" t="s">
        <v>242</v>
      </c>
      <c r="B7572" s="6">
        <v>44550</v>
      </c>
      <c r="C7572" s="2" t="s">
        <v>24</v>
      </c>
      <c r="D7572" s="8">
        <v>-50</v>
      </c>
      <c r="E7572" s="8">
        <f>E7571+(0-50)</f>
        <v>8383976.8699994721</v>
      </c>
    </row>
    <row r="7573" spans="1:5" x14ac:dyDescent="0.25">
      <c r="A7573" s="2" t="s">
        <v>242</v>
      </c>
      <c r="B7573" s="6">
        <v>44550</v>
      </c>
      <c r="C7573" s="2" t="s">
        <v>17</v>
      </c>
      <c r="D7573" s="8">
        <v>-8</v>
      </c>
      <c r="E7573" s="8">
        <f>E7572+(0-8)</f>
        <v>8383968.8699994721</v>
      </c>
    </row>
    <row r="7574" spans="1:5" x14ac:dyDescent="0.25">
      <c r="A7574" s="2" t="s">
        <v>242</v>
      </c>
      <c r="B7574" s="6">
        <v>44550</v>
      </c>
      <c r="C7574" s="2" t="s">
        <v>16</v>
      </c>
      <c r="D7574" s="8">
        <v>-300</v>
      </c>
      <c r="E7574" s="8">
        <f>E7573+(0-300)</f>
        <v>8383668.8699994721</v>
      </c>
    </row>
    <row r="7575" spans="1:5" x14ac:dyDescent="0.25">
      <c r="A7575" s="2" t="s">
        <v>242</v>
      </c>
      <c r="B7575" s="6">
        <v>44550</v>
      </c>
      <c r="C7575" s="2" t="s">
        <v>16</v>
      </c>
      <c r="D7575" s="8">
        <v>-50</v>
      </c>
      <c r="E7575" s="8">
        <f>E7574+(0-50)</f>
        <v>8383618.8699994721</v>
      </c>
    </row>
    <row r="7576" spans="1:5" x14ac:dyDescent="0.25">
      <c r="A7576" s="2" t="s">
        <v>242</v>
      </c>
      <c r="B7576" s="6">
        <v>44551</v>
      </c>
      <c r="C7576" s="2" t="s">
        <v>472</v>
      </c>
      <c r="D7576" s="8">
        <v>-53.75</v>
      </c>
      <c r="E7576" s="8">
        <f>E7575+(0-53.75)</f>
        <v>8383565.1199994721</v>
      </c>
    </row>
    <row r="7577" spans="1:5" x14ac:dyDescent="0.25">
      <c r="A7577" s="2" t="s">
        <v>242</v>
      </c>
      <c r="B7577" s="6">
        <v>44551</v>
      </c>
      <c r="C7577" s="2" t="s">
        <v>17</v>
      </c>
      <c r="D7577" s="8">
        <v>-52</v>
      </c>
      <c r="E7577" s="8">
        <f>E7576+(0-52)</f>
        <v>8383513.1199994721</v>
      </c>
    </row>
    <row r="7578" spans="1:5" x14ac:dyDescent="0.25">
      <c r="A7578" s="2" t="s">
        <v>242</v>
      </c>
      <c r="B7578" s="6">
        <v>44551</v>
      </c>
      <c r="C7578" s="2" t="s">
        <v>16</v>
      </c>
      <c r="D7578" s="8">
        <v>-350</v>
      </c>
      <c r="E7578" s="8">
        <f>E7577+(0-350)</f>
        <v>8383163.1199994721</v>
      </c>
    </row>
    <row r="7579" spans="1:5" x14ac:dyDescent="0.25">
      <c r="A7579" s="2" t="s">
        <v>242</v>
      </c>
      <c r="B7579" s="6">
        <v>44552</v>
      </c>
      <c r="C7579" s="2" t="s">
        <v>17</v>
      </c>
      <c r="D7579" s="8">
        <v>-52</v>
      </c>
      <c r="E7579" s="8">
        <f>E7578+(0-52)</f>
        <v>8383111.1199994721</v>
      </c>
    </row>
    <row r="7580" spans="1:5" x14ac:dyDescent="0.25">
      <c r="A7580" s="2" t="s">
        <v>242</v>
      </c>
      <c r="B7580" s="6">
        <v>44552</v>
      </c>
      <c r="C7580" s="2" t="s">
        <v>16</v>
      </c>
      <c r="D7580" s="8">
        <v>-50</v>
      </c>
      <c r="E7580" s="8">
        <f>E7579+(0-50)</f>
        <v>8383061.1199994721</v>
      </c>
    </row>
    <row r="7581" spans="1:5" x14ac:dyDescent="0.25">
      <c r="A7581" s="2" t="s">
        <v>242</v>
      </c>
      <c r="B7581" s="6">
        <v>44552</v>
      </c>
      <c r="C7581" s="2" t="s">
        <v>16</v>
      </c>
      <c r="D7581" s="8">
        <v>-150</v>
      </c>
      <c r="E7581" s="8">
        <f>E7580+(0-150)</f>
        <v>8382911.1199994721</v>
      </c>
    </row>
    <row r="7582" spans="1:5" x14ac:dyDescent="0.25">
      <c r="A7582" s="2" t="s">
        <v>242</v>
      </c>
      <c r="B7582" s="6">
        <v>44552</v>
      </c>
      <c r="C7582" s="2" t="s">
        <v>16</v>
      </c>
      <c r="D7582" s="8">
        <v>-50</v>
      </c>
      <c r="E7582" s="8">
        <f>E7581+(0-50)</f>
        <v>8382861.1199994721</v>
      </c>
    </row>
    <row r="7583" spans="1:5" x14ac:dyDescent="0.25">
      <c r="A7583" s="2" t="s">
        <v>242</v>
      </c>
      <c r="B7583" s="6">
        <v>44553</v>
      </c>
      <c r="C7583" s="2" t="s">
        <v>19</v>
      </c>
      <c r="D7583" s="8">
        <v>-36</v>
      </c>
      <c r="E7583" s="8">
        <f>E7582+(0-36)</f>
        <v>8382825.1199994721</v>
      </c>
    </row>
    <row r="7584" spans="1:5" x14ac:dyDescent="0.25">
      <c r="A7584" s="2" t="s">
        <v>242</v>
      </c>
      <c r="B7584" s="6">
        <v>44553</v>
      </c>
      <c r="C7584" s="2" t="s">
        <v>16</v>
      </c>
      <c r="D7584" s="8">
        <v>-50</v>
      </c>
      <c r="E7584" s="8">
        <f>E7583+(0-50)</f>
        <v>8382775.1199994721</v>
      </c>
    </row>
    <row r="7585" spans="1:5" x14ac:dyDescent="0.25">
      <c r="A7585" s="2" t="s">
        <v>242</v>
      </c>
      <c r="B7585" s="6">
        <v>44553</v>
      </c>
      <c r="C7585" s="2" t="s">
        <v>16</v>
      </c>
      <c r="D7585" s="8">
        <v>-450</v>
      </c>
      <c r="E7585" s="8">
        <f>E7584+(0-450)</f>
        <v>8382325.1199994721</v>
      </c>
    </row>
    <row r="7586" spans="1:5" x14ac:dyDescent="0.25">
      <c r="A7586" s="2" t="s">
        <v>242</v>
      </c>
      <c r="B7586" s="6">
        <v>44553</v>
      </c>
      <c r="C7586" s="2" t="s">
        <v>19</v>
      </c>
      <c r="D7586" s="8">
        <v>-64</v>
      </c>
      <c r="E7586" s="8">
        <f>E7585+(0-64)</f>
        <v>8382261.1199994721</v>
      </c>
    </row>
    <row r="7587" spans="1:5" x14ac:dyDescent="0.25">
      <c r="A7587" s="2" t="s">
        <v>242</v>
      </c>
      <c r="B7587" s="6">
        <v>44554</v>
      </c>
      <c r="C7587" s="2" t="s">
        <v>16</v>
      </c>
      <c r="D7587" s="8">
        <v>-100</v>
      </c>
      <c r="E7587" s="8">
        <f>E7586+(0-100)</f>
        <v>8382161.1199994721</v>
      </c>
    </row>
    <row r="7588" spans="1:5" x14ac:dyDescent="0.25">
      <c r="A7588" s="2" t="s">
        <v>242</v>
      </c>
      <c r="B7588" s="6">
        <v>44554</v>
      </c>
      <c r="C7588" s="2" t="s">
        <v>16</v>
      </c>
      <c r="D7588" s="8">
        <v>-300</v>
      </c>
      <c r="E7588" s="8">
        <f>E7587+(0-300)</f>
        <v>8381861.1199994721</v>
      </c>
    </row>
    <row r="7589" spans="1:5" x14ac:dyDescent="0.25">
      <c r="A7589" s="2" t="s">
        <v>242</v>
      </c>
      <c r="B7589" s="6">
        <v>44559</v>
      </c>
      <c r="C7589" s="2" t="s">
        <v>17</v>
      </c>
      <c r="D7589" s="8">
        <v>-48</v>
      </c>
      <c r="E7589" s="8">
        <f>E7588+(0-48)</f>
        <v>8381813.1199994721</v>
      </c>
    </row>
    <row r="7590" spans="1:5" x14ac:dyDescent="0.25">
      <c r="A7590" s="2" t="s">
        <v>242</v>
      </c>
      <c r="B7590" s="6">
        <v>44559</v>
      </c>
      <c r="C7590" s="2" t="s">
        <v>473</v>
      </c>
      <c r="D7590" s="8">
        <v>-53.75</v>
      </c>
      <c r="E7590" s="8">
        <f>E7589+(0-53.75)</f>
        <v>8381759.3699994721</v>
      </c>
    </row>
    <row r="7591" spans="1:5" x14ac:dyDescent="0.25">
      <c r="A7591" s="2" t="s">
        <v>242</v>
      </c>
      <c r="B7591" s="6">
        <v>44559</v>
      </c>
      <c r="C7591" s="2" t="s">
        <v>474</v>
      </c>
      <c r="D7591" s="8">
        <v>-53.75</v>
      </c>
      <c r="E7591" s="8">
        <f>E7590+(0-53.75)</f>
        <v>8381705.6199994721</v>
      </c>
    </row>
    <row r="7592" spans="1:5" x14ac:dyDescent="0.25">
      <c r="A7592" s="2" t="s">
        <v>242</v>
      </c>
      <c r="B7592" s="6">
        <v>44559</v>
      </c>
      <c r="C7592" s="2" t="s">
        <v>17</v>
      </c>
      <c r="D7592" s="8">
        <v>-8</v>
      </c>
      <c r="E7592" s="8">
        <f>E7591+(0-8)</f>
        <v>8381697.6199994721</v>
      </c>
    </row>
    <row r="7593" spans="1:5" x14ac:dyDescent="0.25">
      <c r="A7593" s="2" t="s">
        <v>242</v>
      </c>
      <c r="B7593" s="6">
        <v>44559</v>
      </c>
      <c r="C7593" s="2" t="s">
        <v>17</v>
      </c>
      <c r="D7593" s="8">
        <v>-8</v>
      </c>
      <c r="E7593" s="8">
        <f>E7592+(0-8)</f>
        <v>8381689.6199994721</v>
      </c>
    </row>
    <row r="7594" spans="1:5" x14ac:dyDescent="0.25">
      <c r="A7594" s="2" t="s">
        <v>242</v>
      </c>
      <c r="B7594" s="6">
        <v>44559</v>
      </c>
      <c r="C7594" s="2" t="s">
        <v>16</v>
      </c>
      <c r="D7594" s="8">
        <v>-50</v>
      </c>
      <c r="E7594" s="8">
        <f>E7593+(0-50)</f>
        <v>8381639.6199994721</v>
      </c>
    </row>
    <row r="7595" spans="1:5" x14ac:dyDescent="0.25">
      <c r="A7595" s="2" t="s">
        <v>242</v>
      </c>
      <c r="B7595" s="6">
        <v>44559</v>
      </c>
      <c r="C7595" s="2" t="s">
        <v>475</v>
      </c>
      <c r="D7595" s="8">
        <v>-53.75</v>
      </c>
      <c r="E7595" s="8">
        <f>E7594+(0-53.75)</f>
        <v>8381585.8699994721</v>
      </c>
    </row>
    <row r="7596" spans="1:5" x14ac:dyDescent="0.25">
      <c r="A7596" s="2" t="s">
        <v>242</v>
      </c>
      <c r="B7596" s="6">
        <v>44559</v>
      </c>
      <c r="C7596" s="2" t="s">
        <v>16</v>
      </c>
      <c r="D7596" s="8">
        <v>-150</v>
      </c>
      <c r="E7596" s="8">
        <f>E7595+(0-150)</f>
        <v>8381435.8699994721</v>
      </c>
    </row>
    <row r="7597" spans="1:5" x14ac:dyDescent="0.25">
      <c r="A7597" s="2" t="s">
        <v>242</v>
      </c>
      <c r="B7597" s="6">
        <v>44560</v>
      </c>
      <c r="C7597" s="2" t="s">
        <v>476</v>
      </c>
      <c r="D7597" s="8">
        <v>-537.5</v>
      </c>
      <c r="E7597" s="8">
        <f>E7596+(0-537.5)</f>
        <v>8380898.3699994721</v>
      </c>
    </row>
    <row r="7598" spans="1:5" x14ac:dyDescent="0.25">
      <c r="A7598" s="2" t="s">
        <v>242</v>
      </c>
      <c r="B7598" s="6">
        <v>44560</v>
      </c>
      <c r="C7598" s="2" t="s">
        <v>477</v>
      </c>
      <c r="D7598" s="8">
        <v>-26.88</v>
      </c>
      <c r="E7598" s="8">
        <f>E7597+(0-26.88)</f>
        <v>8380871.4899994722</v>
      </c>
    </row>
    <row r="7599" spans="1:5" x14ac:dyDescent="0.25">
      <c r="A7599" s="2" t="s">
        <v>242</v>
      </c>
      <c r="B7599" s="6">
        <v>44560</v>
      </c>
      <c r="C7599" s="2" t="s">
        <v>478</v>
      </c>
      <c r="D7599" s="8">
        <v>-26.88</v>
      </c>
      <c r="E7599" s="8">
        <f>E7598+(0-26.88)</f>
        <v>8380844.6099994723</v>
      </c>
    </row>
    <row r="7600" spans="1:5" x14ac:dyDescent="0.25">
      <c r="A7600" s="2" t="s">
        <v>242</v>
      </c>
      <c r="B7600" s="6">
        <v>44560</v>
      </c>
      <c r="C7600" s="2" t="s">
        <v>479</v>
      </c>
      <c r="D7600" s="8">
        <v>-26.88</v>
      </c>
      <c r="E7600" s="8">
        <f>E7599+(0-26.88)</f>
        <v>8380817.7299994724</v>
      </c>
    </row>
    <row r="7601" spans="1:5" x14ac:dyDescent="0.25">
      <c r="A7601" s="2" t="s">
        <v>242</v>
      </c>
      <c r="B7601" s="6">
        <v>44560</v>
      </c>
      <c r="C7601" s="2" t="s">
        <v>424</v>
      </c>
      <c r="D7601" s="8">
        <v>-56</v>
      </c>
      <c r="E7601" s="8">
        <f>E7600+(0-56)</f>
        <v>8380761.7299994724</v>
      </c>
    </row>
    <row r="7602" spans="1:5" x14ac:dyDescent="0.25">
      <c r="A7602" s="2" t="s">
        <v>242</v>
      </c>
      <c r="B7602" s="6">
        <v>44560</v>
      </c>
      <c r="C7602" s="2" t="s">
        <v>16</v>
      </c>
      <c r="D7602" s="8">
        <v>-350</v>
      </c>
      <c r="E7602" s="8">
        <f>E7601+(0-350)</f>
        <v>8380411.7299994724</v>
      </c>
    </row>
    <row r="7603" spans="1:5" x14ac:dyDescent="0.25">
      <c r="A7603" s="2" t="s">
        <v>242</v>
      </c>
      <c r="B7603" s="6">
        <v>44561</v>
      </c>
      <c r="C7603" s="2" t="s">
        <v>480</v>
      </c>
      <c r="D7603" s="8">
        <v>-80</v>
      </c>
      <c r="E7603" s="8">
        <f>E7602+(0-80)</f>
        <v>8380331.7299994724</v>
      </c>
    </row>
    <row r="7604" spans="1:5" x14ac:dyDescent="0.25">
      <c r="A7604" s="2" t="s">
        <v>242</v>
      </c>
      <c r="B7604" s="6">
        <v>44561</v>
      </c>
      <c r="C7604" s="2" t="s">
        <v>16</v>
      </c>
      <c r="D7604" s="8">
        <v>-50</v>
      </c>
      <c r="E7604" s="8">
        <f>E7603+(0-50)</f>
        <v>8380281.7299994724</v>
      </c>
    </row>
    <row r="7605" spans="1:5" x14ac:dyDescent="0.25">
      <c r="A7605" s="2" t="s">
        <v>242</v>
      </c>
      <c r="B7605" s="6">
        <v>45079</v>
      </c>
      <c r="C7605" s="2" t="s">
        <v>19</v>
      </c>
      <c r="D7605" s="8">
        <v>-92</v>
      </c>
      <c r="E7605" s="8">
        <f>E7604+(0-92)</f>
        <v>8380189.7299994724</v>
      </c>
    </row>
    <row r="7606" spans="1:5" x14ac:dyDescent="0.25">
      <c r="A7606" s="2" t="s">
        <v>242</v>
      </c>
      <c r="B7606" s="6">
        <v>45079</v>
      </c>
      <c r="C7606" s="2" t="s">
        <v>174</v>
      </c>
      <c r="D7606" s="8">
        <v>-53.75</v>
      </c>
      <c r="E7606" s="8">
        <f>E7605+(0-53.75)</f>
        <v>8380135.9799994724</v>
      </c>
    </row>
    <row r="7607" spans="1:5" x14ac:dyDescent="0.25">
      <c r="A7607" s="2" t="s">
        <v>242</v>
      </c>
      <c r="B7607" s="6">
        <v>45079</v>
      </c>
      <c r="C7607" s="2" t="s">
        <v>174</v>
      </c>
      <c r="D7607" s="8">
        <v>-26.88</v>
      </c>
      <c r="E7607" s="8">
        <f>E7606+(0-26.88)</f>
        <v>8380109.0999994725</v>
      </c>
    </row>
    <row r="7608" spans="1:5" x14ac:dyDescent="0.25">
      <c r="A7608" s="2" t="s">
        <v>242</v>
      </c>
      <c r="B7608" s="6">
        <v>45079</v>
      </c>
      <c r="C7608" s="2" t="s">
        <v>174</v>
      </c>
      <c r="D7608" s="8">
        <v>-53.75</v>
      </c>
      <c r="E7608" s="8">
        <f>E7607+(0-53.75)</f>
        <v>8380055.3499994725</v>
      </c>
    </row>
    <row r="7609" spans="1:5" x14ac:dyDescent="0.25">
      <c r="A7609" s="2" t="s">
        <v>242</v>
      </c>
      <c r="B7609" s="6">
        <v>45079</v>
      </c>
      <c r="C7609" s="2" t="s">
        <v>174</v>
      </c>
      <c r="D7609" s="8">
        <v>-26.88</v>
      </c>
      <c r="E7609" s="8">
        <f>E7608+(0-26.88)</f>
        <v>8380028.4699994726</v>
      </c>
    </row>
    <row r="7610" spans="1:5" x14ac:dyDescent="0.25">
      <c r="A7610" s="2" t="s">
        <v>242</v>
      </c>
      <c r="B7610" s="6">
        <v>45079</v>
      </c>
      <c r="C7610" s="2" t="s">
        <v>174</v>
      </c>
      <c r="D7610" s="8">
        <v>-400</v>
      </c>
      <c r="E7610" s="8">
        <f>E7609+(0-400)</f>
        <v>8379628.4699994726</v>
      </c>
    </row>
    <row r="7611" spans="1:5" x14ac:dyDescent="0.25">
      <c r="A7611" s="2" t="s">
        <v>242</v>
      </c>
      <c r="B7611" s="6">
        <v>45082</v>
      </c>
      <c r="C7611" s="2" t="s">
        <v>17</v>
      </c>
      <c r="D7611" s="8">
        <v>-84</v>
      </c>
      <c r="E7611" s="8">
        <f>E7610+(0-84)</f>
        <v>8379544.4699994726</v>
      </c>
    </row>
    <row r="7612" spans="1:5" x14ac:dyDescent="0.25">
      <c r="A7612" s="2" t="s">
        <v>242</v>
      </c>
      <c r="B7612" s="6">
        <v>45082</v>
      </c>
      <c r="C7612" s="2" t="s">
        <v>174</v>
      </c>
      <c r="D7612" s="8">
        <v>-53.75</v>
      </c>
      <c r="E7612" s="8">
        <f>E7611+(0-53.75)</f>
        <v>8379490.7199994726</v>
      </c>
    </row>
    <row r="7613" spans="1:5" x14ac:dyDescent="0.25">
      <c r="A7613" s="2" t="s">
        <v>242</v>
      </c>
      <c r="B7613" s="6">
        <v>45082</v>
      </c>
      <c r="C7613" s="2" t="s">
        <v>174</v>
      </c>
      <c r="D7613" s="8">
        <v>-53.75</v>
      </c>
      <c r="E7613" s="8">
        <f>E7612+(0-53.75)</f>
        <v>8379436.9699994726</v>
      </c>
    </row>
    <row r="7614" spans="1:5" x14ac:dyDescent="0.25">
      <c r="A7614" s="2" t="s">
        <v>242</v>
      </c>
      <c r="B7614" s="6">
        <v>45082</v>
      </c>
      <c r="C7614" s="2" t="s">
        <v>17</v>
      </c>
      <c r="D7614" s="8">
        <v>-8</v>
      </c>
      <c r="E7614" s="8">
        <f>E7613+(0-8)</f>
        <v>8379428.9699994726</v>
      </c>
    </row>
    <row r="7615" spans="1:5" x14ac:dyDescent="0.25">
      <c r="A7615" s="2" t="s">
        <v>242</v>
      </c>
      <c r="B7615" s="6">
        <v>45082</v>
      </c>
      <c r="C7615" s="2" t="s">
        <v>17</v>
      </c>
      <c r="D7615" s="8">
        <v>-12</v>
      </c>
      <c r="E7615" s="8">
        <f>E7614+(0-12)</f>
        <v>8379416.9699994726</v>
      </c>
    </row>
    <row r="7616" spans="1:5" x14ac:dyDescent="0.25">
      <c r="A7616" s="2" t="s">
        <v>242</v>
      </c>
      <c r="B7616" s="6">
        <v>45082</v>
      </c>
      <c r="C7616" s="2" t="s">
        <v>174</v>
      </c>
      <c r="D7616" s="8">
        <v>-300</v>
      </c>
      <c r="E7616" s="8">
        <f>E7615+(0-300)</f>
        <v>8379116.9699994726</v>
      </c>
    </row>
    <row r="7617" spans="1:5" x14ac:dyDescent="0.25">
      <c r="A7617" s="2" t="s">
        <v>242</v>
      </c>
      <c r="B7617" s="6">
        <v>45083</v>
      </c>
      <c r="C7617" s="2" t="s">
        <v>19</v>
      </c>
      <c r="D7617" s="8">
        <v>-36</v>
      </c>
      <c r="E7617" s="8">
        <f>E7616+(0-36)</f>
        <v>8379080.9699994726</v>
      </c>
    </row>
    <row r="7618" spans="1:5" x14ac:dyDescent="0.25">
      <c r="A7618" s="2" t="s">
        <v>242</v>
      </c>
      <c r="B7618" s="6">
        <v>45083</v>
      </c>
      <c r="C7618" s="2" t="s">
        <v>174</v>
      </c>
      <c r="D7618" s="8">
        <v>-53.75</v>
      </c>
      <c r="E7618" s="8">
        <f>E7617+(0-53.75)</f>
        <v>8379027.2199994726</v>
      </c>
    </row>
    <row r="7619" spans="1:5" x14ac:dyDescent="0.25">
      <c r="A7619" s="2" t="s">
        <v>242</v>
      </c>
      <c r="B7619" s="6">
        <v>45083</v>
      </c>
      <c r="C7619" s="2" t="s">
        <v>174</v>
      </c>
      <c r="D7619" s="8">
        <v>-53.75</v>
      </c>
      <c r="E7619" s="8">
        <f>E7618+(0-53.75)</f>
        <v>8378973.4699994726</v>
      </c>
    </row>
    <row r="7620" spans="1:5" x14ac:dyDescent="0.25">
      <c r="A7620" s="2" t="s">
        <v>242</v>
      </c>
      <c r="B7620" s="6">
        <v>45083</v>
      </c>
      <c r="C7620" s="2" t="s">
        <v>174</v>
      </c>
      <c r="D7620" s="8">
        <v>-500</v>
      </c>
      <c r="E7620" s="8">
        <f>E7619+(0-500)</f>
        <v>8378473.4699994726</v>
      </c>
    </row>
    <row r="7621" spans="1:5" x14ac:dyDescent="0.25">
      <c r="A7621" s="2" t="s">
        <v>242</v>
      </c>
      <c r="B7621" s="6">
        <v>45083</v>
      </c>
      <c r="C7621" s="2" t="s">
        <v>174</v>
      </c>
      <c r="D7621" s="8">
        <v>-50</v>
      </c>
      <c r="E7621" s="8">
        <f>E7620+(0-50)</f>
        <v>8378423.4699994726</v>
      </c>
    </row>
    <row r="7622" spans="1:5" x14ac:dyDescent="0.25">
      <c r="A7622" s="2" t="s">
        <v>242</v>
      </c>
      <c r="B7622" s="6">
        <v>45083</v>
      </c>
      <c r="C7622" s="2" t="s">
        <v>174</v>
      </c>
      <c r="D7622" s="8">
        <v>-50</v>
      </c>
      <c r="E7622" s="8">
        <f>E7621+(0-50)</f>
        <v>8378373.4699994726</v>
      </c>
    </row>
    <row r="7623" spans="1:5" x14ac:dyDescent="0.25">
      <c r="A7623" s="2" t="s">
        <v>242</v>
      </c>
      <c r="B7623" s="6">
        <v>45084</v>
      </c>
      <c r="C7623" s="2" t="s">
        <v>174</v>
      </c>
      <c r="D7623" s="8">
        <v>-53.75</v>
      </c>
      <c r="E7623" s="8">
        <f>E7622+(0-53.75)</f>
        <v>8378319.7199994726</v>
      </c>
    </row>
    <row r="7624" spans="1:5" x14ac:dyDescent="0.25">
      <c r="A7624" s="2" t="s">
        <v>242</v>
      </c>
      <c r="B7624" s="6">
        <v>45084</v>
      </c>
      <c r="C7624" s="2" t="s">
        <v>174</v>
      </c>
      <c r="D7624" s="8">
        <v>-26.88</v>
      </c>
      <c r="E7624" s="8">
        <f>E7623+(0-26.88)</f>
        <v>8378292.8399994727</v>
      </c>
    </row>
    <row r="7625" spans="1:5" x14ac:dyDescent="0.25">
      <c r="A7625" s="2" t="s">
        <v>242</v>
      </c>
      <c r="B7625" s="6">
        <v>45084</v>
      </c>
      <c r="C7625" s="2" t="s">
        <v>174</v>
      </c>
      <c r="D7625" s="8">
        <v>-26.88</v>
      </c>
      <c r="E7625" s="8">
        <f>E7624+(0-26.88)</f>
        <v>8378265.9599994728</v>
      </c>
    </row>
    <row r="7626" spans="1:5" x14ac:dyDescent="0.25">
      <c r="A7626" s="2" t="s">
        <v>242</v>
      </c>
      <c r="B7626" s="6">
        <v>45084</v>
      </c>
      <c r="C7626" s="2" t="s">
        <v>174</v>
      </c>
      <c r="D7626" s="8">
        <v>-50</v>
      </c>
      <c r="E7626" s="8">
        <f>E7625+(0-50)</f>
        <v>8378215.9599994728</v>
      </c>
    </row>
    <row r="7627" spans="1:5" x14ac:dyDescent="0.25">
      <c r="A7627" s="2" t="s">
        <v>242</v>
      </c>
      <c r="B7627" s="6">
        <v>45084</v>
      </c>
      <c r="C7627" s="2" t="s">
        <v>174</v>
      </c>
      <c r="D7627" s="8">
        <v>-450</v>
      </c>
      <c r="E7627" s="8">
        <f>E7626+(0-450)</f>
        <v>8377765.9599994728</v>
      </c>
    </row>
    <row r="7628" spans="1:5" x14ac:dyDescent="0.25">
      <c r="A7628" s="2" t="s">
        <v>242</v>
      </c>
      <c r="B7628" s="6">
        <v>45085</v>
      </c>
      <c r="C7628" s="2" t="s">
        <v>17</v>
      </c>
      <c r="D7628" s="8">
        <v>-64</v>
      </c>
      <c r="E7628" s="8">
        <f>E7627+(0-64)</f>
        <v>8377701.9599994728</v>
      </c>
    </row>
    <row r="7629" spans="1:5" x14ac:dyDescent="0.25">
      <c r="A7629" s="2" t="s">
        <v>242</v>
      </c>
      <c r="B7629" s="6">
        <v>45085</v>
      </c>
      <c r="C7629" s="2" t="s">
        <v>17</v>
      </c>
      <c r="D7629" s="8">
        <v>-84</v>
      </c>
      <c r="E7629" s="8">
        <f>E7628+(0-84)</f>
        <v>8377617.9599994728</v>
      </c>
    </row>
    <row r="7630" spans="1:5" x14ac:dyDescent="0.25">
      <c r="A7630" s="2" t="s">
        <v>242</v>
      </c>
      <c r="B7630" s="6">
        <v>45085</v>
      </c>
      <c r="C7630" s="2" t="s">
        <v>174</v>
      </c>
      <c r="D7630" s="8">
        <v>-26.88</v>
      </c>
      <c r="E7630" s="8">
        <f>E7629+(0-26.88)</f>
        <v>8377591.0799994729</v>
      </c>
    </row>
    <row r="7631" spans="1:5" x14ac:dyDescent="0.25">
      <c r="A7631" s="2" t="s">
        <v>242</v>
      </c>
      <c r="B7631" s="6">
        <v>45085</v>
      </c>
      <c r="C7631" s="2" t="s">
        <v>174</v>
      </c>
      <c r="D7631" s="8">
        <v>-26.88</v>
      </c>
      <c r="E7631" s="8">
        <f>E7630+(0-26.88)</f>
        <v>8377564.1999994731</v>
      </c>
    </row>
    <row r="7632" spans="1:5" x14ac:dyDescent="0.25">
      <c r="A7632" s="2" t="s">
        <v>242</v>
      </c>
      <c r="B7632" s="6">
        <v>45085</v>
      </c>
      <c r="C7632" s="2" t="s">
        <v>174</v>
      </c>
      <c r="D7632" s="8">
        <v>-50</v>
      </c>
      <c r="E7632" s="8">
        <f>E7631+(0-50)</f>
        <v>8377514.1999994731</v>
      </c>
    </row>
    <row r="7633" spans="1:5" x14ac:dyDescent="0.25">
      <c r="A7633" s="2" t="s">
        <v>242</v>
      </c>
      <c r="B7633" s="6">
        <v>45085</v>
      </c>
      <c r="C7633" s="2" t="s">
        <v>174</v>
      </c>
      <c r="D7633" s="8">
        <v>-300</v>
      </c>
      <c r="E7633" s="8">
        <f>E7632+(0-300)</f>
        <v>8377214.1999994731</v>
      </c>
    </row>
    <row r="7634" spans="1:5" x14ac:dyDescent="0.25">
      <c r="A7634" s="2" t="s">
        <v>242</v>
      </c>
      <c r="B7634" s="6">
        <v>45086</v>
      </c>
      <c r="C7634" s="2" t="s">
        <v>17</v>
      </c>
      <c r="D7634" s="8">
        <v>-40</v>
      </c>
      <c r="E7634" s="8">
        <f>E7633+(0-40)</f>
        <v>8377174.1999994731</v>
      </c>
    </row>
    <row r="7635" spans="1:5" x14ac:dyDescent="0.25">
      <c r="A7635" s="2" t="s">
        <v>242</v>
      </c>
      <c r="B7635" s="6">
        <v>45086</v>
      </c>
      <c r="C7635" s="2" t="s">
        <v>174</v>
      </c>
      <c r="D7635" s="8">
        <v>-53.75</v>
      </c>
      <c r="E7635" s="8">
        <f>E7634+(0-53.75)</f>
        <v>8377120.4499994731</v>
      </c>
    </row>
    <row r="7636" spans="1:5" x14ac:dyDescent="0.25">
      <c r="A7636" s="2" t="s">
        <v>242</v>
      </c>
      <c r="B7636" s="6">
        <v>45086</v>
      </c>
      <c r="C7636" s="2" t="s">
        <v>174</v>
      </c>
      <c r="D7636" s="8">
        <v>-400</v>
      </c>
      <c r="E7636" s="8">
        <f>E7635+(0-400)</f>
        <v>8376720.4499994731</v>
      </c>
    </row>
    <row r="7637" spans="1:5" x14ac:dyDescent="0.25">
      <c r="A7637" s="2" t="s">
        <v>242</v>
      </c>
      <c r="B7637" s="6">
        <v>45090</v>
      </c>
      <c r="C7637" s="2" t="s">
        <v>19</v>
      </c>
      <c r="D7637" s="8">
        <v>-80</v>
      </c>
      <c r="E7637" s="8">
        <f>E7636+(0-80)</f>
        <v>8376640.4499994731</v>
      </c>
    </row>
    <row r="7638" spans="1:5" x14ac:dyDescent="0.25">
      <c r="A7638" s="2" t="s">
        <v>242</v>
      </c>
      <c r="B7638" s="6">
        <v>45090</v>
      </c>
      <c r="C7638" s="2" t="s">
        <v>17</v>
      </c>
      <c r="D7638" s="8">
        <v>-4</v>
      </c>
      <c r="E7638" s="8">
        <f>E7637+(0-4)</f>
        <v>8376636.4499994731</v>
      </c>
    </row>
    <row r="7639" spans="1:5" x14ac:dyDescent="0.25">
      <c r="A7639" s="2" t="s">
        <v>242</v>
      </c>
      <c r="B7639" s="6">
        <v>45090</v>
      </c>
      <c r="C7639" s="2" t="s">
        <v>174</v>
      </c>
      <c r="D7639" s="8">
        <v>-53.75</v>
      </c>
      <c r="E7639" s="8">
        <f>E7638+(0-53.75)</f>
        <v>8376582.6999994731</v>
      </c>
    </row>
    <row r="7640" spans="1:5" x14ac:dyDescent="0.25">
      <c r="A7640" s="2" t="s">
        <v>242</v>
      </c>
      <c r="B7640" s="6">
        <v>45090</v>
      </c>
      <c r="C7640" s="2" t="s">
        <v>174</v>
      </c>
      <c r="D7640" s="8">
        <v>-350</v>
      </c>
      <c r="E7640" s="8">
        <f>E7639+(0-350)</f>
        <v>8376232.6999994731</v>
      </c>
    </row>
    <row r="7641" spans="1:5" x14ac:dyDescent="0.25">
      <c r="A7641" s="2" t="s">
        <v>242</v>
      </c>
      <c r="B7641" s="6">
        <v>45091</v>
      </c>
      <c r="C7641" s="2" t="s">
        <v>17</v>
      </c>
      <c r="D7641" s="8">
        <v>-44</v>
      </c>
      <c r="E7641" s="8">
        <f>E7640+(0-44)</f>
        <v>8376188.6999994731</v>
      </c>
    </row>
    <row r="7642" spans="1:5" x14ac:dyDescent="0.25">
      <c r="A7642" s="2" t="s">
        <v>242</v>
      </c>
      <c r="B7642" s="6">
        <v>45091</v>
      </c>
      <c r="C7642" s="2" t="s">
        <v>174</v>
      </c>
      <c r="D7642" s="8">
        <v>-26.88</v>
      </c>
      <c r="E7642" s="8">
        <f>E7641+(0-26.88)</f>
        <v>8376161.8199994732</v>
      </c>
    </row>
    <row r="7643" spans="1:5" x14ac:dyDescent="0.25">
      <c r="A7643" s="2" t="s">
        <v>242</v>
      </c>
      <c r="B7643" s="6">
        <v>45091</v>
      </c>
      <c r="C7643" s="2" t="s">
        <v>174</v>
      </c>
      <c r="D7643" s="8">
        <v>-500</v>
      </c>
      <c r="E7643" s="8">
        <f>E7642+(0-500)</f>
        <v>8375661.8199994732</v>
      </c>
    </row>
    <row r="7644" spans="1:5" x14ac:dyDescent="0.25">
      <c r="A7644" s="2" t="s">
        <v>242</v>
      </c>
      <c r="B7644" s="6">
        <v>45091</v>
      </c>
      <c r="C7644" s="2" t="s">
        <v>174</v>
      </c>
      <c r="D7644" s="8">
        <v>-100</v>
      </c>
      <c r="E7644" s="8">
        <f>E7643+(0-100)</f>
        <v>8375561.8199994732</v>
      </c>
    </row>
    <row r="7645" spans="1:5" x14ac:dyDescent="0.25">
      <c r="A7645" s="2" t="s">
        <v>242</v>
      </c>
      <c r="B7645" s="6">
        <v>45092</v>
      </c>
      <c r="C7645" s="2" t="s">
        <v>174</v>
      </c>
      <c r="D7645" s="8">
        <v>-26.88</v>
      </c>
      <c r="E7645" s="8">
        <f>E7644+(0-26.88)</f>
        <v>8375534.9399994733</v>
      </c>
    </row>
    <row r="7646" spans="1:5" x14ac:dyDescent="0.25">
      <c r="A7646" s="2" t="s">
        <v>242</v>
      </c>
      <c r="B7646" s="6">
        <v>45092</v>
      </c>
      <c r="C7646" s="2" t="s">
        <v>174</v>
      </c>
      <c r="D7646" s="8">
        <v>-53.75</v>
      </c>
      <c r="E7646" s="8">
        <f>E7645+(0-53.75)</f>
        <v>8375481.1899994733</v>
      </c>
    </row>
    <row r="7647" spans="1:5" x14ac:dyDescent="0.25">
      <c r="A7647" s="2" t="s">
        <v>242</v>
      </c>
      <c r="B7647" s="6">
        <v>45092</v>
      </c>
      <c r="C7647" s="2" t="s">
        <v>174</v>
      </c>
      <c r="D7647" s="8">
        <v>-150</v>
      </c>
      <c r="E7647" s="8">
        <f>E7646+(0-150)</f>
        <v>8375331.1899994733</v>
      </c>
    </row>
    <row r="7648" spans="1:5" x14ac:dyDescent="0.25">
      <c r="A7648" s="2" t="s">
        <v>242</v>
      </c>
      <c r="B7648" s="6">
        <v>45093</v>
      </c>
      <c r="C7648" s="2" t="s">
        <v>19</v>
      </c>
      <c r="D7648" s="8">
        <v>-60</v>
      </c>
      <c r="E7648" s="8">
        <f>E7647+(0-60)</f>
        <v>8375271.1899994733</v>
      </c>
    </row>
    <row r="7649" spans="1:5" x14ac:dyDescent="0.25">
      <c r="A7649" s="2" t="s">
        <v>242</v>
      </c>
      <c r="B7649" s="6">
        <v>45093</v>
      </c>
      <c r="C7649" s="2" t="s">
        <v>174</v>
      </c>
      <c r="D7649" s="8">
        <v>-53.75</v>
      </c>
      <c r="E7649" s="8">
        <f>E7648+(0-53.75)</f>
        <v>8375217.4399994733</v>
      </c>
    </row>
    <row r="7650" spans="1:5" x14ac:dyDescent="0.25">
      <c r="A7650" s="2" t="s">
        <v>242</v>
      </c>
      <c r="B7650" s="6">
        <v>45093</v>
      </c>
      <c r="C7650" s="2" t="s">
        <v>174</v>
      </c>
      <c r="D7650" s="8">
        <v>-650</v>
      </c>
      <c r="E7650" s="8">
        <f>E7649+(0-650)</f>
        <v>8374567.4399994733</v>
      </c>
    </row>
    <row r="7651" spans="1:5" x14ac:dyDescent="0.25">
      <c r="A7651" s="2" t="s">
        <v>242</v>
      </c>
      <c r="B7651" s="6">
        <v>45096</v>
      </c>
      <c r="C7651" s="2" t="s">
        <v>17</v>
      </c>
      <c r="D7651" s="8">
        <v>-28</v>
      </c>
      <c r="E7651" s="8">
        <f>E7650+(0-28)</f>
        <v>8374539.4399994733</v>
      </c>
    </row>
    <row r="7652" spans="1:5" x14ac:dyDescent="0.25">
      <c r="A7652" s="2" t="s">
        <v>242</v>
      </c>
      <c r="B7652" s="6">
        <v>45096</v>
      </c>
      <c r="C7652" s="2" t="s">
        <v>17</v>
      </c>
      <c r="D7652" s="8">
        <v>-60</v>
      </c>
      <c r="E7652" s="8">
        <f>E7651+(0-60)</f>
        <v>8374479.4399994733</v>
      </c>
    </row>
    <row r="7653" spans="1:5" x14ac:dyDescent="0.25">
      <c r="A7653" s="2" t="s">
        <v>242</v>
      </c>
      <c r="B7653" s="6">
        <v>45096</v>
      </c>
      <c r="C7653" s="2" t="s">
        <v>174</v>
      </c>
      <c r="D7653" s="8">
        <v>-26.88</v>
      </c>
      <c r="E7653" s="8">
        <f>E7652+(0-26.88)</f>
        <v>8374452.5599994734</v>
      </c>
    </row>
    <row r="7654" spans="1:5" x14ac:dyDescent="0.25">
      <c r="A7654" s="2" t="s">
        <v>242</v>
      </c>
      <c r="B7654" s="6">
        <v>45096</v>
      </c>
      <c r="C7654" s="2" t="s">
        <v>17</v>
      </c>
      <c r="D7654" s="8">
        <v>-16</v>
      </c>
      <c r="E7654" s="8">
        <f>E7653+(0-16)</f>
        <v>8374436.5599994734</v>
      </c>
    </row>
    <row r="7655" spans="1:5" x14ac:dyDescent="0.25">
      <c r="A7655" s="2" t="s">
        <v>242</v>
      </c>
      <c r="B7655" s="6">
        <v>45096</v>
      </c>
      <c r="C7655" s="2" t="s">
        <v>17</v>
      </c>
      <c r="D7655" s="8">
        <v>-8</v>
      </c>
      <c r="E7655" s="8">
        <f>E7654+(0-8)</f>
        <v>8374428.5599994734</v>
      </c>
    </row>
    <row r="7656" spans="1:5" x14ac:dyDescent="0.25">
      <c r="A7656" s="2" t="s">
        <v>242</v>
      </c>
      <c r="B7656" s="6">
        <v>45096</v>
      </c>
      <c r="C7656" s="2" t="s">
        <v>174</v>
      </c>
      <c r="D7656" s="8">
        <v>-26.88</v>
      </c>
      <c r="E7656" s="8">
        <f>E7655+(0-26.88)</f>
        <v>8374401.6799994735</v>
      </c>
    </row>
    <row r="7657" spans="1:5" x14ac:dyDescent="0.25">
      <c r="A7657" s="2" t="s">
        <v>242</v>
      </c>
      <c r="B7657" s="6">
        <v>45096</v>
      </c>
      <c r="C7657" s="2" t="s">
        <v>174</v>
      </c>
      <c r="D7657" s="8">
        <v>-26.88</v>
      </c>
      <c r="E7657" s="8">
        <f>E7656+(0-26.88)</f>
        <v>8374374.7999994736</v>
      </c>
    </row>
    <row r="7658" spans="1:5" x14ac:dyDescent="0.25">
      <c r="A7658" s="2" t="s">
        <v>242</v>
      </c>
      <c r="B7658" s="6">
        <v>45096</v>
      </c>
      <c r="C7658" s="2" t="s">
        <v>174</v>
      </c>
      <c r="D7658" s="8">
        <v>-500</v>
      </c>
      <c r="E7658" s="8">
        <f>E7657+(0-500)</f>
        <v>8373874.7999994736</v>
      </c>
    </row>
    <row r="7659" spans="1:5" x14ac:dyDescent="0.25">
      <c r="A7659" s="2" t="s">
        <v>242</v>
      </c>
      <c r="B7659" s="6">
        <v>45097</v>
      </c>
      <c r="C7659" s="2" t="s">
        <v>17</v>
      </c>
      <c r="D7659" s="8">
        <v>-44</v>
      </c>
      <c r="E7659" s="8">
        <f>E7658+(0-44)</f>
        <v>8373830.7999994736</v>
      </c>
    </row>
    <row r="7660" spans="1:5" x14ac:dyDescent="0.25">
      <c r="A7660" s="2" t="s">
        <v>242</v>
      </c>
      <c r="B7660" s="6">
        <v>45097</v>
      </c>
      <c r="C7660" s="2" t="s">
        <v>174</v>
      </c>
      <c r="D7660" s="8">
        <v>-26.88</v>
      </c>
      <c r="E7660" s="8">
        <f>E7659+(0-26.88)</f>
        <v>8373803.9199994737</v>
      </c>
    </row>
    <row r="7661" spans="1:5" x14ac:dyDescent="0.25">
      <c r="A7661" s="2" t="s">
        <v>242</v>
      </c>
      <c r="B7661" s="6">
        <v>45097</v>
      </c>
      <c r="C7661" s="2" t="s">
        <v>174</v>
      </c>
      <c r="D7661" s="8">
        <v>-26.88</v>
      </c>
      <c r="E7661" s="8">
        <f>E7660+(0-26.88)</f>
        <v>8373777.0399994738</v>
      </c>
    </row>
    <row r="7662" spans="1:5" x14ac:dyDescent="0.25">
      <c r="A7662" s="2" t="s">
        <v>242</v>
      </c>
      <c r="B7662" s="6">
        <v>45097</v>
      </c>
      <c r="C7662" s="2" t="s">
        <v>174</v>
      </c>
      <c r="D7662" s="8">
        <v>-26.88</v>
      </c>
      <c r="E7662" s="8">
        <f>E7661+(0-26.88)</f>
        <v>8373750.159999474</v>
      </c>
    </row>
    <row r="7663" spans="1:5" x14ac:dyDescent="0.25">
      <c r="A7663" s="2" t="s">
        <v>242</v>
      </c>
      <c r="B7663" s="6">
        <v>45097</v>
      </c>
      <c r="C7663" s="2" t="s">
        <v>174</v>
      </c>
      <c r="D7663" s="8">
        <v>-26.88</v>
      </c>
      <c r="E7663" s="8">
        <f>E7662+(0-26.88)</f>
        <v>8373723.2799994741</v>
      </c>
    </row>
    <row r="7664" spans="1:5" x14ac:dyDescent="0.25">
      <c r="A7664" s="2" t="s">
        <v>242</v>
      </c>
      <c r="B7664" s="6">
        <v>45097</v>
      </c>
      <c r="C7664" s="2" t="s">
        <v>174</v>
      </c>
      <c r="D7664" s="8">
        <v>-450</v>
      </c>
      <c r="E7664" s="8">
        <f>E7663+(0-450)</f>
        <v>8373273.2799994741</v>
      </c>
    </row>
    <row r="7665" spans="1:5" x14ac:dyDescent="0.25">
      <c r="A7665" s="2" t="s">
        <v>242</v>
      </c>
      <c r="B7665" s="6">
        <v>45098</v>
      </c>
      <c r="C7665" s="2" t="s">
        <v>174</v>
      </c>
      <c r="D7665" s="8">
        <v>-500</v>
      </c>
      <c r="E7665" s="8">
        <f>E7664+(0-500)</f>
        <v>8372773.2799994741</v>
      </c>
    </row>
    <row r="7666" spans="1:5" x14ac:dyDescent="0.25">
      <c r="A7666" s="2" t="s">
        <v>242</v>
      </c>
      <c r="B7666" s="6">
        <v>45099</v>
      </c>
      <c r="C7666" s="2" t="s">
        <v>17</v>
      </c>
      <c r="D7666" s="8">
        <v>-112</v>
      </c>
      <c r="E7666" s="8">
        <f>E7665+(0-112)</f>
        <v>8372661.2799994741</v>
      </c>
    </row>
    <row r="7667" spans="1:5" x14ac:dyDescent="0.25">
      <c r="A7667" s="2" t="s">
        <v>242</v>
      </c>
      <c r="B7667" s="6">
        <v>45099</v>
      </c>
      <c r="C7667" s="2" t="s">
        <v>17</v>
      </c>
      <c r="D7667" s="8">
        <v>-48</v>
      </c>
      <c r="E7667" s="8">
        <f>E7666+(0-48)</f>
        <v>8372613.2799994741</v>
      </c>
    </row>
    <row r="7668" spans="1:5" x14ac:dyDescent="0.25">
      <c r="A7668" s="2" t="s">
        <v>242</v>
      </c>
      <c r="B7668" s="6">
        <v>45099</v>
      </c>
      <c r="C7668" s="2" t="s">
        <v>174</v>
      </c>
      <c r="D7668" s="8">
        <v>-26.88</v>
      </c>
      <c r="E7668" s="8">
        <f>E7667+(0-26.88)</f>
        <v>8372586.3999994742</v>
      </c>
    </row>
    <row r="7669" spans="1:5" x14ac:dyDescent="0.25">
      <c r="A7669" s="2" t="s">
        <v>242</v>
      </c>
      <c r="B7669" s="6">
        <v>45099</v>
      </c>
      <c r="C7669" s="2" t="s">
        <v>174</v>
      </c>
      <c r="D7669" s="8">
        <v>-500</v>
      </c>
      <c r="E7669" s="8">
        <f>E7668+(0-500)</f>
        <v>8372086.3999994742</v>
      </c>
    </row>
    <row r="7670" spans="1:5" x14ac:dyDescent="0.25">
      <c r="A7670" s="2" t="s">
        <v>242</v>
      </c>
      <c r="B7670" s="6">
        <v>45100</v>
      </c>
      <c r="C7670" s="2" t="s">
        <v>174</v>
      </c>
      <c r="D7670" s="8">
        <v>-26.88</v>
      </c>
      <c r="E7670" s="8">
        <f>E7669+(0-26.88)</f>
        <v>8372059.5199994743</v>
      </c>
    </row>
    <row r="7671" spans="1:5" x14ac:dyDescent="0.25">
      <c r="A7671" s="2" t="s">
        <v>242</v>
      </c>
      <c r="B7671" s="6">
        <v>45100</v>
      </c>
      <c r="C7671" s="2" t="s">
        <v>174</v>
      </c>
      <c r="D7671" s="8">
        <v>-100</v>
      </c>
      <c r="E7671" s="8">
        <f>E7670+(0-100)</f>
        <v>8371959.5199994743</v>
      </c>
    </row>
    <row r="7672" spans="1:5" x14ac:dyDescent="0.25">
      <c r="A7672" s="2" t="s">
        <v>242</v>
      </c>
      <c r="B7672" s="6">
        <v>45100</v>
      </c>
      <c r="C7672" s="2" t="s">
        <v>174</v>
      </c>
      <c r="D7672" s="8">
        <v>-550</v>
      </c>
      <c r="E7672" s="8">
        <f>E7671+(0-550)</f>
        <v>8371409.5199994743</v>
      </c>
    </row>
    <row r="7673" spans="1:5" x14ac:dyDescent="0.25">
      <c r="A7673" s="2" t="s">
        <v>242</v>
      </c>
      <c r="B7673" s="6">
        <v>45103</v>
      </c>
      <c r="C7673" s="2" t="s">
        <v>17</v>
      </c>
      <c r="D7673" s="8">
        <v>-128</v>
      </c>
      <c r="E7673" s="8">
        <f>E7672+(0-128)</f>
        <v>8371281.5199994743</v>
      </c>
    </row>
    <row r="7674" spans="1:5" x14ac:dyDescent="0.25">
      <c r="A7674" s="2" t="s">
        <v>242</v>
      </c>
      <c r="B7674" s="6">
        <v>45103</v>
      </c>
      <c r="C7674" s="2" t="s">
        <v>17</v>
      </c>
      <c r="D7674" s="8">
        <v>-40</v>
      </c>
      <c r="E7674" s="8">
        <f>E7673+(0-40)</f>
        <v>8371241.5199994743</v>
      </c>
    </row>
    <row r="7675" spans="1:5" x14ac:dyDescent="0.25">
      <c r="A7675" s="2" t="s">
        <v>242</v>
      </c>
      <c r="B7675" s="6">
        <v>45103</v>
      </c>
      <c r="C7675" s="2" t="s">
        <v>174</v>
      </c>
      <c r="D7675" s="8">
        <v>-26.88</v>
      </c>
      <c r="E7675" s="8">
        <f>E7674+(0-26.88)</f>
        <v>8371214.6399994744</v>
      </c>
    </row>
    <row r="7676" spans="1:5" x14ac:dyDescent="0.25">
      <c r="A7676" s="2" t="s">
        <v>242</v>
      </c>
      <c r="B7676" s="6">
        <v>45103</v>
      </c>
      <c r="C7676" s="2" t="s">
        <v>174</v>
      </c>
      <c r="D7676" s="8">
        <v>-53.75</v>
      </c>
      <c r="E7676" s="8">
        <f>E7675+(0-53.75)</f>
        <v>8371160.8899994744</v>
      </c>
    </row>
    <row r="7677" spans="1:5" x14ac:dyDescent="0.25">
      <c r="A7677" s="2" t="s">
        <v>242</v>
      </c>
      <c r="B7677" s="6">
        <v>45103</v>
      </c>
      <c r="C7677" s="2" t="s">
        <v>174</v>
      </c>
      <c r="D7677" s="8">
        <v>-850</v>
      </c>
      <c r="E7677" s="8">
        <f>E7676+(0-850)</f>
        <v>8370310.8899994744</v>
      </c>
    </row>
    <row r="7678" spans="1:5" x14ac:dyDescent="0.25">
      <c r="A7678" s="2" t="s">
        <v>242</v>
      </c>
      <c r="B7678" s="6">
        <v>46009</v>
      </c>
      <c r="C7678" s="2" t="s">
        <v>53</v>
      </c>
      <c r="D7678" s="8">
        <v>-53.75</v>
      </c>
      <c r="E7678" s="8">
        <f>E7677+(0-53.75)</f>
        <v>8370257.1399994744</v>
      </c>
    </row>
    <row r="7679" spans="1:5" x14ac:dyDescent="0.25">
      <c r="A7679" s="2" t="s">
        <v>242</v>
      </c>
      <c r="B7679" s="6">
        <v>46009</v>
      </c>
      <c r="C7679" s="2" t="s">
        <v>53</v>
      </c>
      <c r="D7679" s="8">
        <v>-50</v>
      </c>
      <c r="E7679" s="8">
        <f>E7678+(0-50)</f>
        <v>8370207.1399994744</v>
      </c>
    </row>
    <row r="7680" spans="1:5" x14ac:dyDescent="0.25">
      <c r="A7680" s="2" t="s">
        <v>242</v>
      </c>
      <c r="B7680" s="6">
        <v>46009</v>
      </c>
      <c r="C7680" s="2" t="s">
        <v>53</v>
      </c>
      <c r="D7680" s="8">
        <v>-350</v>
      </c>
      <c r="E7680" s="8">
        <f>E7679+(0-350)</f>
        <v>8369857.1399994744</v>
      </c>
    </row>
    <row r="7681" spans="1:5" x14ac:dyDescent="0.25">
      <c r="A7681" s="2" t="s">
        <v>242</v>
      </c>
      <c r="B7681" s="6">
        <v>46010</v>
      </c>
      <c r="C7681" s="2" t="s">
        <v>53</v>
      </c>
      <c r="D7681" s="8">
        <v>-26.88</v>
      </c>
      <c r="E7681" s="8">
        <f>E7680+(0-26.88)</f>
        <v>8369830.2599994745</v>
      </c>
    </row>
    <row r="7682" spans="1:5" x14ac:dyDescent="0.25">
      <c r="A7682" s="2" t="s">
        <v>242</v>
      </c>
      <c r="B7682" s="6">
        <v>46010</v>
      </c>
      <c r="C7682" s="2" t="s">
        <v>53</v>
      </c>
      <c r="D7682" s="8">
        <v>-26.88</v>
      </c>
      <c r="E7682" s="8">
        <f>E7681+(0-26.88)</f>
        <v>8369803.3799994746</v>
      </c>
    </row>
    <row r="7683" spans="1:5" x14ac:dyDescent="0.25">
      <c r="A7683" s="2" t="s">
        <v>242</v>
      </c>
      <c r="B7683" s="6">
        <v>46010</v>
      </c>
      <c r="C7683" s="2" t="s">
        <v>53</v>
      </c>
      <c r="D7683" s="8">
        <v>-50</v>
      </c>
      <c r="E7683" s="8">
        <f>E7682+(0-50)</f>
        <v>8369753.3799994746</v>
      </c>
    </row>
    <row r="7684" spans="1:5" x14ac:dyDescent="0.25">
      <c r="A7684" s="2" t="s">
        <v>242</v>
      </c>
      <c r="B7684" s="6">
        <v>46010</v>
      </c>
      <c r="C7684" s="2" t="s">
        <v>53</v>
      </c>
      <c r="D7684" s="8">
        <v>-250</v>
      </c>
      <c r="E7684" s="8">
        <f>E7683+(0-250)</f>
        <v>8369503.3799994746</v>
      </c>
    </row>
    <row r="7685" spans="1:5" x14ac:dyDescent="0.25">
      <c r="A7685" s="2" t="s">
        <v>242</v>
      </c>
      <c r="B7685" s="6">
        <v>46013</v>
      </c>
      <c r="C7685" s="2" t="s">
        <v>53</v>
      </c>
      <c r="D7685" s="8">
        <v>-53.75</v>
      </c>
      <c r="E7685" s="8">
        <f>E7684+(0-53.75)</f>
        <v>8369449.6299994746</v>
      </c>
    </row>
    <row r="7686" spans="1:5" x14ac:dyDescent="0.25">
      <c r="A7686" s="2" t="s">
        <v>242</v>
      </c>
      <c r="B7686" s="6">
        <v>46013</v>
      </c>
      <c r="C7686" s="2" t="s">
        <v>19</v>
      </c>
      <c r="D7686" s="8">
        <v>-156</v>
      </c>
      <c r="E7686" s="8">
        <f>E7685+(0-156)</f>
        <v>8369293.6299994746</v>
      </c>
    </row>
    <row r="7687" spans="1:5" x14ac:dyDescent="0.25">
      <c r="A7687" s="2" t="s">
        <v>242</v>
      </c>
      <c r="B7687" s="6">
        <v>46013</v>
      </c>
      <c r="C7687" s="2" t="s">
        <v>53</v>
      </c>
      <c r="D7687" s="8">
        <v>-500</v>
      </c>
      <c r="E7687" s="8">
        <f>E7686+(0-500)</f>
        <v>8368793.6299994746</v>
      </c>
    </row>
    <row r="7688" spans="1:5" x14ac:dyDescent="0.25">
      <c r="A7688" s="2" t="s">
        <v>242</v>
      </c>
      <c r="B7688" s="6">
        <v>46013</v>
      </c>
      <c r="C7688" s="2" t="s">
        <v>19</v>
      </c>
      <c r="D7688" s="8">
        <v>-72</v>
      </c>
      <c r="E7688" s="8">
        <f>E7687+(0-72)</f>
        <v>8368721.6299994746</v>
      </c>
    </row>
    <row r="7689" spans="1:5" x14ac:dyDescent="0.25">
      <c r="A7689" s="2" t="s">
        <v>242</v>
      </c>
      <c r="B7689" s="6">
        <v>46013</v>
      </c>
      <c r="C7689" s="2" t="s">
        <v>19</v>
      </c>
      <c r="D7689" s="8">
        <v>-204</v>
      </c>
      <c r="E7689" s="8">
        <f>E7688+(0-204)</f>
        <v>8368517.6299994746</v>
      </c>
    </row>
    <row r="7690" spans="1:5" x14ac:dyDescent="0.25">
      <c r="A7690" s="2" t="s">
        <v>242</v>
      </c>
      <c r="B7690" s="6">
        <v>46013</v>
      </c>
      <c r="C7690" s="2" t="s">
        <v>19</v>
      </c>
      <c r="D7690" s="8">
        <v>-216</v>
      </c>
      <c r="E7690" s="8">
        <f>E7689+(0-216)</f>
        <v>8368301.6299994746</v>
      </c>
    </row>
    <row r="7691" spans="1:5" x14ac:dyDescent="0.25">
      <c r="A7691" s="2" t="s">
        <v>242</v>
      </c>
      <c r="B7691" s="6">
        <v>46014</v>
      </c>
      <c r="C7691" s="2" t="s">
        <v>19</v>
      </c>
      <c r="D7691" s="8">
        <v>-60</v>
      </c>
      <c r="E7691" s="8">
        <f>E7690+(0-60)</f>
        <v>8368241.6299994746</v>
      </c>
    </row>
    <row r="7692" spans="1:5" x14ac:dyDescent="0.25">
      <c r="A7692" s="2" t="s">
        <v>242</v>
      </c>
      <c r="B7692" s="6">
        <v>46014</v>
      </c>
      <c r="C7692" s="2" t="s">
        <v>19</v>
      </c>
      <c r="D7692" s="8">
        <v>-12</v>
      </c>
      <c r="E7692" s="8">
        <f>E7691+(0-12)</f>
        <v>8368229.6299994746</v>
      </c>
    </row>
    <row r="7693" spans="1:5" x14ac:dyDescent="0.25">
      <c r="A7693" s="2" t="s">
        <v>242</v>
      </c>
      <c r="B7693" s="6">
        <v>46014</v>
      </c>
      <c r="C7693" s="2" t="s">
        <v>19</v>
      </c>
      <c r="D7693" s="8">
        <v>-60</v>
      </c>
      <c r="E7693" s="8">
        <f>E7692+(0-60)</f>
        <v>8368169.6299994746</v>
      </c>
    </row>
    <row r="7694" spans="1:5" x14ac:dyDescent="0.25">
      <c r="A7694" s="2" t="s">
        <v>242</v>
      </c>
      <c r="B7694" s="6">
        <v>46014</v>
      </c>
      <c r="C7694" s="2" t="s">
        <v>19</v>
      </c>
      <c r="D7694" s="8">
        <v>-180</v>
      </c>
      <c r="E7694" s="8">
        <f>E7693+(0-180)</f>
        <v>8367989.6299994746</v>
      </c>
    </row>
    <row r="7695" spans="1:5" x14ac:dyDescent="0.25">
      <c r="A7695" s="2" t="s">
        <v>242</v>
      </c>
      <c r="B7695" s="6">
        <v>46014</v>
      </c>
      <c r="C7695" s="2" t="s">
        <v>53</v>
      </c>
      <c r="D7695" s="8">
        <v>-450</v>
      </c>
      <c r="E7695" s="8">
        <f>E7694+(0-450)</f>
        <v>8367539.6299994746</v>
      </c>
    </row>
    <row r="7696" spans="1:5" x14ac:dyDescent="0.25">
      <c r="A7696" s="2" t="s">
        <v>242</v>
      </c>
      <c r="B7696" s="6">
        <v>46015</v>
      </c>
      <c r="C7696" s="2" t="s">
        <v>174</v>
      </c>
      <c r="D7696" s="8">
        <v>-53.75</v>
      </c>
      <c r="E7696" s="8">
        <f>E7695+(0-53.75)</f>
        <v>8367485.8799994746</v>
      </c>
    </row>
    <row r="7697" spans="1:5" x14ac:dyDescent="0.25">
      <c r="A7697" s="2" t="s">
        <v>242</v>
      </c>
      <c r="B7697" s="6">
        <v>46015</v>
      </c>
      <c r="C7697" s="2" t="s">
        <v>174</v>
      </c>
      <c r="D7697" s="8">
        <v>-53.75</v>
      </c>
      <c r="E7697" s="8">
        <f>E7696+(0-53.75)</f>
        <v>8367432.1299994746</v>
      </c>
    </row>
    <row r="7698" spans="1:5" x14ac:dyDescent="0.25">
      <c r="A7698" s="2" t="s">
        <v>242</v>
      </c>
      <c r="B7698" s="6">
        <v>46015</v>
      </c>
      <c r="C7698" s="2" t="s">
        <v>19</v>
      </c>
      <c r="D7698" s="8">
        <v>-336</v>
      </c>
      <c r="E7698" s="8">
        <f>E7697+(0-336)</f>
        <v>8367096.1299994746</v>
      </c>
    </row>
    <row r="7699" spans="1:5" x14ac:dyDescent="0.25">
      <c r="A7699" s="2" t="s">
        <v>242</v>
      </c>
      <c r="B7699" s="6">
        <v>46015</v>
      </c>
      <c r="C7699" s="2" t="s">
        <v>19</v>
      </c>
      <c r="D7699" s="8">
        <v>-132</v>
      </c>
      <c r="E7699" s="8">
        <f>E7698+(0-132)</f>
        <v>8366964.1299994746</v>
      </c>
    </row>
    <row r="7700" spans="1:5" x14ac:dyDescent="0.25">
      <c r="A7700" s="2" t="s">
        <v>242</v>
      </c>
      <c r="B7700" s="6">
        <v>46015</v>
      </c>
      <c r="C7700" s="2" t="s">
        <v>174</v>
      </c>
      <c r="D7700" s="8">
        <v>-700</v>
      </c>
      <c r="E7700" s="8">
        <f>E7699+(0-700)</f>
        <v>8366264.1299994746</v>
      </c>
    </row>
    <row r="7701" spans="1:5" x14ac:dyDescent="0.25">
      <c r="A7701" s="2" t="s">
        <v>242</v>
      </c>
      <c r="B7701" s="6">
        <v>46015</v>
      </c>
      <c r="C7701" s="2" t="s">
        <v>174</v>
      </c>
      <c r="D7701" s="8">
        <v>-50</v>
      </c>
      <c r="E7701" s="8">
        <f>E7700+(0-50)</f>
        <v>8366214.1299994746</v>
      </c>
    </row>
    <row r="7702" spans="1:5" x14ac:dyDescent="0.25">
      <c r="A7702" s="2" t="s">
        <v>242</v>
      </c>
      <c r="B7702" s="6">
        <v>46015</v>
      </c>
      <c r="C7702" s="2" t="s">
        <v>174</v>
      </c>
      <c r="D7702" s="8">
        <v>-53.75</v>
      </c>
      <c r="E7702" s="8">
        <f>E7701+(0-53.75)</f>
        <v>8366160.3799994746</v>
      </c>
    </row>
    <row r="7703" spans="1:5" x14ac:dyDescent="0.25">
      <c r="A7703" s="2" t="s">
        <v>242</v>
      </c>
      <c r="B7703" s="6">
        <v>46015</v>
      </c>
      <c r="C7703" s="2" t="s">
        <v>19</v>
      </c>
      <c r="D7703" s="8">
        <v>-168</v>
      </c>
      <c r="E7703" s="8">
        <f>E7702+(0-168)</f>
        <v>8365992.3799994746</v>
      </c>
    </row>
    <row r="7704" spans="1:5" x14ac:dyDescent="0.25">
      <c r="A7704" s="2" t="s">
        <v>242</v>
      </c>
      <c r="B7704" s="6">
        <v>46020</v>
      </c>
      <c r="C7704" s="2" t="s">
        <v>19</v>
      </c>
      <c r="D7704" s="8">
        <v>-36</v>
      </c>
      <c r="E7704" s="8">
        <f>E7703+(0-36)</f>
        <v>8365956.3799994746</v>
      </c>
    </row>
    <row r="7705" spans="1:5" x14ac:dyDescent="0.25">
      <c r="A7705" s="2" t="s">
        <v>242</v>
      </c>
      <c r="B7705" s="6">
        <v>46020</v>
      </c>
      <c r="C7705" s="2" t="s">
        <v>19</v>
      </c>
      <c r="D7705" s="8">
        <v>-144</v>
      </c>
      <c r="E7705" s="8">
        <f>E7704+(0-144)</f>
        <v>8365812.3799994746</v>
      </c>
    </row>
    <row r="7706" spans="1:5" x14ac:dyDescent="0.25">
      <c r="A7706" s="2" t="s">
        <v>242</v>
      </c>
      <c r="B7706" s="6">
        <v>46020</v>
      </c>
      <c r="C7706" s="2" t="s">
        <v>19</v>
      </c>
      <c r="D7706" s="8">
        <v>-120</v>
      </c>
      <c r="E7706" s="8">
        <f>E7705+(0-120)</f>
        <v>8365692.3799994746</v>
      </c>
    </row>
    <row r="7707" spans="1:5" x14ac:dyDescent="0.25">
      <c r="A7707" s="2" t="s">
        <v>242</v>
      </c>
      <c r="B7707" s="6">
        <v>46020</v>
      </c>
      <c r="C7707" s="2" t="s">
        <v>19</v>
      </c>
      <c r="D7707" s="8">
        <v>-240</v>
      </c>
      <c r="E7707" s="8">
        <f>E7706+(0-240)</f>
        <v>8365452.3799994746</v>
      </c>
    </row>
    <row r="7708" spans="1:5" x14ac:dyDescent="0.25">
      <c r="A7708" s="2" t="s">
        <v>242</v>
      </c>
      <c r="B7708" s="6">
        <v>46020</v>
      </c>
      <c r="C7708" s="2" t="s">
        <v>19</v>
      </c>
      <c r="D7708" s="8">
        <v>-24</v>
      </c>
      <c r="E7708" s="8">
        <f>E7707+(0-24)</f>
        <v>8365428.3799994746</v>
      </c>
    </row>
    <row r="7709" spans="1:5" x14ac:dyDescent="0.25">
      <c r="A7709" s="2" t="s">
        <v>242</v>
      </c>
      <c r="B7709" s="6">
        <v>46020</v>
      </c>
      <c r="C7709" s="2" t="s">
        <v>19</v>
      </c>
      <c r="D7709" s="8">
        <v>-96</v>
      </c>
      <c r="E7709" s="8">
        <f>E7708+(0-96)</f>
        <v>8365332.3799994746</v>
      </c>
    </row>
    <row r="7710" spans="1:5" x14ac:dyDescent="0.25">
      <c r="A7710" s="2" t="s">
        <v>242</v>
      </c>
      <c r="B7710" s="6">
        <v>46020</v>
      </c>
      <c r="C7710" s="2" t="s">
        <v>19</v>
      </c>
      <c r="D7710" s="8">
        <v>-12</v>
      </c>
      <c r="E7710" s="8">
        <f>E7709+(0-12)</f>
        <v>8365320.3799994746</v>
      </c>
    </row>
    <row r="7711" spans="1:5" x14ac:dyDescent="0.25">
      <c r="A7711" s="2" t="s">
        <v>242</v>
      </c>
      <c r="B7711" s="6">
        <v>46020</v>
      </c>
      <c r="C7711" s="2" t="s">
        <v>19</v>
      </c>
      <c r="D7711" s="8">
        <v>-12</v>
      </c>
      <c r="E7711" s="8">
        <f>E7710+(0-12)</f>
        <v>8365308.3799994746</v>
      </c>
    </row>
    <row r="7712" spans="1:5" x14ac:dyDescent="0.25">
      <c r="A7712" s="2" t="s">
        <v>481</v>
      </c>
      <c r="B7712" s="6">
        <v>43635</v>
      </c>
      <c r="C7712" s="2" t="s">
        <v>17</v>
      </c>
      <c r="D7712" s="8">
        <v>-44</v>
      </c>
      <c r="E7712" s="8">
        <f>E7711+(0-44)</f>
        <v>8365264.3799994746</v>
      </c>
    </row>
    <row r="7713" spans="1:5" x14ac:dyDescent="0.25">
      <c r="A7713" s="2" t="s">
        <v>481</v>
      </c>
      <c r="B7713" s="6">
        <v>43976</v>
      </c>
      <c r="C7713" s="2" t="s">
        <v>17</v>
      </c>
      <c r="D7713" s="8">
        <v>-4</v>
      </c>
      <c r="E7713" s="8">
        <f>E7712+(0-4)</f>
        <v>8365260.3799994746</v>
      </c>
    </row>
    <row r="7714" spans="1:5" x14ac:dyDescent="0.25">
      <c r="A7714" s="2" t="s">
        <v>481</v>
      </c>
      <c r="B7714" s="6">
        <v>44011</v>
      </c>
      <c r="C7714" s="2" t="s">
        <v>16</v>
      </c>
      <c r="D7714" s="8">
        <v>-50</v>
      </c>
      <c r="E7714" s="8">
        <f>E7713+(0-50)</f>
        <v>8365210.3799994746</v>
      </c>
    </row>
    <row r="7715" spans="1:5" x14ac:dyDescent="0.25">
      <c r="A7715" s="2" t="s">
        <v>481</v>
      </c>
      <c r="B7715" s="6">
        <v>44062</v>
      </c>
      <c r="C7715" s="2" t="s">
        <v>24</v>
      </c>
      <c r="D7715" s="8">
        <v>-50</v>
      </c>
      <c r="E7715" s="8">
        <f>E7714+(0-50)</f>
        <v>8365160.3799994746</v>
      </c>
    </row>
    <row r="7716" spans="1:5" x14ac:dyDescent="0.25">
      <c r="A7716" s="2" t="s">
        <v>481</v>
      </c>
      <c r="B7716" s="6">
        <v>44063</v>
      </c>
      <c r="C7716" s="2" t="s">
        <v>482</v>
      </c>
      <c r="D7716" s="8">
        <v>-50</v>
      </c>
      <c r="E7716" s="8">
        <f>E7715+(0-50)</f>
        <v>8365110.3799994746</v>
      </c>
    </row>
    <row r="7717" spans="1:5" x14ac:dyDescent="0.25">
      <c r="A7717" s="2" t="s">
        <v>481</v>
      </c>
      <c r="B7717" s="6">
        <v>44071</v>
      </c>
      <c r="C7717" s="2" t="s">
        <v>24</v>
      </c>
      <c r="D7717" s="8">
        <v>-50</v>
      </c>
      <c r="E7717" s="8">
        <f>E7716+(0-50)</f>
        <v>8365060.3799994746</v>
      </c>
    </row>
    <row r="7718" spans="1:5" x14ac:dyDescent="0.25">
      <c r="A7718" s="2" t="s">
        <v>481</v>
      </c>
      <c r="B7718" s="6">
        <v>44083</v>
      </c>
      <c r="C7718" s="2" t="s">
        <v>16</v>
      </c>
      <c r="D7718" s="8">
        <v>-50</v>
      </c>
      <c r="E7718" s="8">
        <f>E7717+(0-50)</f>
        <v>8365010.3799994746</v>
      </c>
    </row>
    <row r="7719" spans="1:5" x14ac:dyDescent="0.25">
      <c r="A7719" s="2" t="s">
        <v>481</v>
      </c>
      <c r="B7719" s="6">
        <v>44139</v>
      </c>
      <c r="C7719" s="2" t="s">
        <v>17</v>
      </c>
      <c r="D7719" s="8">
        <v>-72</v>
      </c>
      <c r="E7719" s="8">
        <f>E7718+(0-72)</f>
        <v>8364938.3799994746</v>
      </c>
    </row>
    <row r="7720" spans="1:5" x14ac:dyDescent="0.25">
      <c r="A7720" s="2" t="s">
        <v>481</v>
      </c>
      <c r="B7720" s="6">
        <v>44483</v>
      </c>
      <c r="C7720" s="2" t="s">
        <v>16</v>
      </c>
      <c r="D7720" s="8">
        <v>-650</v>
      </c>
      <c r="E7720" s="8">
        <f>E7719+(0-650)</f>
        <v>8364288.3799994746</v>
      </c>
    </row>
    <row r="7721" spans="1:5" x14ac:dyDescent="0.25">
      <c r="A7721" s="2" t="s">
        <v>483</v>
      </c>
      <c r="B7721" s="6">
        <v>45804</v>
      </c>
      <c r="C7721" s="2" t="s">
        <v>484</v>
      </c>
      <c r="D7721" s="8">
        <v>23026.639999999999</v>
      </c>
      <c r="E7721" s="8">
        <f>E7720+(23026.64-0)</f>
        <v>8387315.0199994743</v>
      </c>
    </row>
    <row r="7722" spans="1:5" x14ac:dyDescent="0.25">
      <c r="A7722" s="2" t="s">
        <v>483</v>
      </c>
      <c r="B7722" s="6">
        <v>45835</v>
      </c>
      <c r="C7722" s="2" t="s">
        <v>485</v>
      </c>
      <c r="D7722" s="8">
        <v>27292.58</v>
      </c>
      <c r="E7722" s="8">
        <f>E7721+(27292.58-0)</f>
        <v>8414607.5999994744</v>
      </c>
    </row>
    <row r="7723" spans="1:5" x14ac:dyDescent="0.25">
      <c r="A7723" s="2" t="s">
        <v>483</v>
      </c>
      <c r="B7723" s="6">
        <v>45863</v>
      </c>
      <c r="C7723" s="2" t="s">
        <v>486</v>
      </c>
      <c r="D7723" s="8">
        <v>44607.3</v>
      </c>
      <c r="E7723" s="8">
        <f>E7722+(44607.3-0)</f>
        <v>8459214.8999994751</v>
      </c>
    </row>
    <row r="7724" spans="1:5" x14ac:dyDescent="0.25">
      <c r="A7724" s="2" t="s">
        <v>483</v>
      </c>
      <c r="B7724" s="6">
        <v>45898</v>
      </c>
      <c r="C7724" s="2" t="s">
        <v>487</v>
      </c>
      <c r="D7724" s="8">
        <v>58179.56</v>
      </c>
      <c r="E7724" s="8">
        <f>E7723+(58179.56-0)</f>
        <v>8517394.4599994756</v>
      </c>
    </row>
    <row r="7725" spans="1:5" x14ac:dyDescent="0.25">
      <c r="A7725" s="2" t="s">
        <v>488</v>
      </c>
      <c r="B7725" s="6">
        <v>45715</v>
      </c>
      <c r="C7725" s="2" t="s">
        <v>489</v>
      </c>
      <c r="D7725" s="8">
        <v>17982.47</v>
      </c>
      <c r="E7725" s="8">
        <f>E7724+(17982.47-0)</f>
        <v>8535376.9299994763</v>
      </c>
    </row>
    <row r="7726" spans="1:5" x14ac:dyDescent="0.25">
      <c r="A7726" s="2" t="s">
        <v>490</v>
      </c>
      <c r="B7726" s="6">
        <v>44869</v>
      </c>
      <c r="C7726" s="2" t="s">
        <v>491</v>
      </c>
      <c r="D7726" s="8">
        <v>-9000000</v>
      </c>
      <c r="E7726" s="8">
        <f>E7725+(0-9000000)</f>
        <v>-464623.0700005237</v>
      </c>
    </row>
    <row r="7727" spans="1:5" x14ac:dyDescent="0.25">
      <c r="A7727" s="2" t="s">
        <v>490</v>
      </c>
      <c r="B7727" s="6">
        <v>44903</v>
      </c>
      <c r="C7727" s="2" t="s">
        <v>492</v>
      </c>
      <c r="D7727" s="8">
        <v>322350</v>
      </c>
      <c r="E7727" s="8">
        <f>E7726+(322350-0)</f>
        <v>-142273.0700005237</v>
      </c>
    </row>
    <row r="7728" spans="1:5" x14ac:dyDescent="0.25">
      <c r="A7728" s="2" t="s">
        <v>490</v>
      </c>
      <c r="B7728" s="6">
        <v>45699</v>
      </c>
      <c r="C7728" s="2" t="s">
        <v>493</v>
      </c>
      <c r="D7728" s="8">
        <v>10000000</v>
      </c>
      <c r="E7728" s="8">
        <f>E7727+(10000000-0)</f>
        <v>9857726.9299994763</v>
      </c>
    </row>
    <row r="7729" spans="1:5" x14ac:dyDescent="0.25">
      <c r="A7729" s="2" t="s">
        <v>494</v>
      </c>
      <c r="B7729" s="6">
        <v>45412</v>
      </c>
      <c r="C7729" s="2" t="s">
        <v>19</v>
      </c>
      <c r="D7729" s="8">
        <v>-68</v>
      </c>
      <c r="E7729" s="8">
        <f>E7728+(0-68)</f>
        <v>9857658.9299994763</v>
      </c>
    </row>
    <row r="7730" spans="1:5" x14ac:dyDescent="0.25">
      <c r="A7730" s="2" t="s">
        <v>494</v>
      </c>
      <c r="B7730" s="6">
        <v>45412</v>
      </c>
      <c r="C7730" s="2" t="s">
        <v>53</v>
      </c>
      <c r="D7730" s="8">
        <v>-53.75</v>
      </c>
      <c r="E7730" s="8">
        <f>E7729+(0-53.75)</f>
        <v>9857605.1799994763</v>
      </c>
    </row>
    <row r="7731" spans="1:5" x14ac:dyDescent="0.25">
      <c r="A7731" s="2" t="s">
        <v>494</v>
      </c>
      <c r="B7731" s="6">
        <v>45412</v>
      </c>
      <c r="C7731" s="2" t="s">
        <v>53</v>
      </c>
      <c r="D7731" s="8">
        <v>-53.75</v>
      </c>
      <c r="E7731" s="8">
        <f>E7730+(0-53.75)</f>
        <v>9857551.4299994763</v>
      </c>
    </row>
    <row r="7732" spans="1:5" x14ac:dyDescent="0.25">
      <c r="A7732" s="2" t="s">
        <v>494</v>
      </c>
      <c r="B7732" s="6">
        <v>45412</v>
      </c>
      <c r="C7732" s="2" t="s">
        <v>53</v>
      </c>
      <c r="D7732" s="8">
        <v>-500</v>
      </c>
      <c r="E7732" s="8">
        <f>E7731+(0-500)</f>
        <v>9857051.4299994763</v>
      </c>
    </row>
    <row r="7733" spans="1:5" x14ac:dyDescent="0.25">
      <c r="A7733" s="2" t="s">
        <v>494</v>
      </c>
      <c r="B7733" s="6">
        <v>45412</v>
      </c>
      <c r="C7733" s="2" t="s">
        <v>53</v>
      </c>
      <c r="D7733" s="8">
        <v>-50</v>
      </c>
      <c r="E7733" s="8">
        <f>E7732+(0-50)</f>
        <v>9857001.4299994763</v>
      </c>
    </row>
    <row r="7734" spans="1:5" x14ac:dyDescent="0.25">
      <c r="A7734" s="2" t="s">
        <v>494</v>
      </c>
      <c r="B7734" s="6">
        <v>45412</v>
      </c>
      <c r="C7734" s="2" t="s">
        <v>19</v>
      </c>
      <c r="D7734" s="8">
        <v>-56</v>
      </c>
      <c r="E7734" s="8">
        <f>E7733+(0-56)</f>
        <v>9856945.4299994763</v>
      </c>
    </row>
    <row r="7735" spans="1:5" x14ac:dyDescent="0.25">
      <c r="A7735" s="2" t="s">
        <v>494</v>
      </c>
      <c r="B7735" s="6">
        <v>45412</v>
      </c>
      <c r="C7735" s="2" t="s">
        <v>19</v>
      </c>
      <c r="D7735" s="8">
        <v>-60</v>
      </c>
      <c r="E7735" s="8">
        <f>E7734+(0-60)</f>
        <v>9856885.4299994763</v>
      </c>
    </row>
    <row r="7736" spans="1:5" x14ac:dyDescent="0.25">
      <c r="A7736" s="2" t="s">
        <v>495</v>
      </c>
      <c r="B7736" s="6">
        <v>45989</v>
      </c>
      <c r="C7736" s="2" t="s">
        <v>496</v>
      </c>
      <c r="D7736" s="8">
        <v>3657800</v>
      </c>
      <c r="E7736" s="8">
        <f>E7735+(3657800-0)</f>
        <v>13514685.429999476</v>
      </c>
    </row>
    <row r="7737" spans="1:5" x14ac:dyDescent="0.25">
      <c r="A7737" s="2" t="s">
        <v>497</v>
      </c>
      <c r="B7737" s="6">
        <v>45940</v>
      </c>
      <c r="C7737" s="2" t="s">
        <v>498</v>
      </c>
      <c r="D7737" s="8">
        <v>18062400</v>
      </c>
      <c r="E7737" s="8">
        <f>E7736+(18062400-0)</f>
        <v>31577085.429999478</v>
      </c>
    </row>
    <row r="7738" spans="1:5" x14ac:dyDescent="0.25">
      <c r="A7738" s="2" t="s">
        <v>497</v>
      </c>
      <c r="B7738" s="6">
        <v>45980</v>
      </c>
      <c r="C7738" s="2" t="s">
        <v>499</v>
      </c>
      <c r="D7738" s="8">
        <v>1500000</v>
      </c>
      <c r="E7738" s="8">
        <f>E7737+(1500000-0)</f>
        <v>33077085.429999478</v>
      </c>
    </row>
    <row r="7739" spans="1:5" x14ac:dyDescent="0.25">
      <c r="A7739" s="2" t="s">
        <v>497</v>
      </c>
      <c r="B7739" s="6">
        <v>45980</v>
      </c>
      <c r="C7739" s="2" t="s">
        <v>500</v>
      </c>
      <c r="D7739" s="8">
        <v>750575</v>
      </c>
      <c r="E7739" s="8">
        <f>E7738+(750575-0)</f>
        <v>33827660.429999478</v>
      </c>
    </row>
    <row r="7740" spans="1:5" x14ac:dyDescent="0.25">
      <c r="A7740" s="2" t="s">
        <v>497</v>
      </c>
      <c r="B7740" s="6">
        <v>45994</v>
      </c>
      <c r="C7740" s="2" t="s">
        <v>501</v>
      </c>
      <c r="D7740" s="8">
        <v>3657800</v>
      </c>
      <c r="E7740" s="8">
        <f>E7739+(3657800-0)</f>
        <v>37485460.429999478</v>
      </c>
    </row>
    <row r="7741" spans="1:5" x14ac:dyDescent="0.25">
      <c r="A7741" s="2" t="s">
        <v>502</v>
      </c>
      <c r="B7741" s="6">
        <v>45940</v>
      </c>
      <c r="C7741" s="2" t="s">
        <v>498</v>
      </c>
      <c r="D7741" s="8">
        <v>1200000</v>
      </c>
      <c r="E7741" s="8">
        <f>E7740+(1200000-0)</f>
        <v>38685460.429999478</v>
      </c>
    </row>
    <row r="7742" spans="1:5" x14ac:dyDescent="0.25">
      <c r="A7742" s="2" t="s">
        <v>503</v>
      </c>
      <c r="B7742" s="6">
        <v>43649</v>
      </c>
      <c r="C7742" s="2" t="s">
        <v>504</v>
      </c>
      <c r="D7742" s="8">
        <v>357450</v>
      </c>
      <c r="E7742" s="8">
        <f>E7741+(357450-0)</f>
        <v>39042910.429999478</v>
      </c>
    </row>
    <row r="7743" spans="1:5" x14ac:dyDescent="0.25">
      <c r="A7743" s="2" t="s">
        <v>503</v>
      </c>
      <c r="B7743" s="6">
        <v>43650</v>
      </c>
      <c r="C7743" s="2" t="s">
        <v>504</v>
      </c>
      <c r="D7743" s="8">
        <v>410600</v>
      </c>
      <c r="E7743" s="8">
        <f>E7742+(410600-0)</f>
        <v>39453510.429999478</v>
      </c>
    </row>
    <row r="7744" spans="1:5" x14ac:dyDescent="0.25">
      <c r="A7744" s="2" t="s">
        <v>503</v>
      </c>
      <c r="B7744" s="6">
        <v>43654</v>
      </c>
      <c r="C7744" s="2" t="s">
        <v>504</v>
      </c>
      <c r="D7744" s="8">
        <v>290790</v>
      </c>
      <c r="E7744" s="8">
        <f>E7743+(290790-0)</f>
        <v>39744300.429999478</v>
      </c>
    </row>
    <row r="7745" spans="1:5" x14ac:dyDescent="0.25">
      <c r="A7745" s="2" t="s">
        <v>503</v>
      </c>
      <c r="B7745" s="6">
        <v>43963</v>
      </c>
      <c r="C7745" s="2" t="s">
        <v>504</v>
      </c>
      <c r="D7745" s="8">
        <v>1102760</v>
      </c>
      <c r="E7745" s="8">
        <f>E7744+(1102760-0)</f>
        <v>40847060.429999478</v>
      </c>
    </row>
    <row r="7746" spans="1:5" x14ac:dyDescent="0.25">
      <c r="A7746" s="2" t="s">
        <v>503</v>
      </c>
      <c r="B7746" s="6">
        <v>43978</v>
      </c>
      <c r="C7746" s="2" t="s">
        <v>504</v>
      </c>
      <c r="D7746" s="8">
        <v>983300</v>
      </c>
      <c r="E7746" s="8">
        <f>E7745+(983300-0)</f>
        <v>41830360.429999478</v>
      </c>
    </row>
    <row r="7747" spans="1:5" x14ac:dyDescent="0.25">
      <c r="A7747" s="2" t="s">
        <v>503</v>
      </c>
      <c r="B7747" s="6">
        <v>45512</v>
      </c>
      <c r="C7747" s="2" t="s">
        <v>503</v>
      </c>
      <c r="D7747" s="8">
        <v>427300</v>
      </c>
      <c r="E7747" s="8">
        <f>E7746+(427300-0)</f>
        <v>42257660.429999478</v>
      </c>
    </row>
    <row r="7748" spans="1:5" x14ac:dyDescent="0.25">
      <c r="A7748" s="2" t="s">
        <v>505</v>
      </c>
      <c r="B7748" s="6">
        <v>43787</v>
      </c>
      <c r="C7748" s="2" t="s">
        <v>506</v>
      </c>
      <c r="D7748" s="8">
        <v>35000</v>
      </c>
      <c r="E7748" s="8">
        <f>E7747+(35000-0)</f>
        <v>42292660.429999478</v>
      </c>
    </row>
    <row r="7749" spans="1:5" x14ac:dyDescent="0.25">
      <c r="A7749" s="2" t="s">
        <v>505</v>
      </c>
      <c r="B7749" s="6">
        <v>43929</v>
      </c>
      <c r="C7749" s="2" t="s">
        <v>507</v>
      </c>
      <c r="D7749" s="8">
        <v>150000</v>
      </c>
      <c r="E7749" s="8">
        <f>E7748+(150000-0)</f>
        <v>42442660.429999478</v>
      </c>
    </row>
    <row r="7750" spans="1:5" x14ac:dyDescent="0.25">
      <c r="A7750" s="2" t="s">
        <v>505</v>
      </c>
      <c r="B7750" s="6">
        <v>43938</v>
      </c>
      <c r="C7750" s="2" t="s">
        <v>508</v>
      </c>
      <c r="D7750" s="8">
        <v>35000</v>
      </c>
      <c r="E7750" s="8">
        <f>E7749+(35000-0)</f>
        <v>42477660.429999478</v>
      </c>
    </row>
    <row r="7751" spans="1:5" x14ac:dyDescent="0.25">
      <c r="A7751" s="2" t="s">
        <v>505</v>
      </c>
      <c r="B7751" s="6">
        <v>43949</v>
      </c>
      <c r="C7751" s="2" t="s">
        <v>509</v>
      </c>
      <c r="D7751" s="8">
        <v>20000</v>
      </c>
      <c r="E7751" s="8">
        <f>E7750+(20000-0)</f>
        <v>42497660.429999478</v>
      </c>
    </row>
    <row r="7752" spans="1:5" x14ac:dyDescent="0.25">
      <c r="A7752" s="2" t="s">
        <v>505</v>
      </c>
      <c r="B7752" s="6">
        <v>43956</v>
      </c>
      <c r="C7752" s="2" t="s">
        <v>510</v>
      </c>
      <c r="D7752" s="8">
        <v>-2200000</v>
      </c>
      <c r="E7752" s="8">
        <f>E7751+(0-2200000)</f>
        <v>40297660.429999478</v>
      </c>
    </row>
    <row r="7753" spans="1:5" x14ac:dyDescent="0.25">
      <c r="A7753" s="2" t="s">
        <v>505</v>
      </c>
      <c r="B7753" s="6">
        <v>43959</v>
      </c>
      <c r="C7753" s="2" t="s">
        <v>511</v>
      </c>
      <c r="D7753" s="8">
        <v>50000</v>
      </c>
      <c r="E7753" s="8">
        <f>E7752+(50000-0)</f>
        <v>40347660.429999478</v>
      </c>
    </row>
    <row r="7754" spans="1:5" x14ac:dyDescent="0.25">
      <c r="A7754" s="2" t="s">
        <v>505</v>
      </c>
      <c r="B7754" s="6">
        <v>43971</v>
      </c>
      <c r="C7754" s="2" t="s">
        <v>512</v>
      </c>
      <c r="D7754" s="8">
        <v>70000</v>
      </c>
      <c r="E7754" s="8">
        <f>E7753+(70000-0)</f>
        <v>40417660.429999478</v>
      </c>
    </row>
    <row r="7755" spans="1:5" x14ac:dyDescent="0.25">
      <c r="A7755" s="2" t="s">
        <v>505</v>
      </c>
      <c r="B7755" s="6">
        <v>43972</v>
      </c>
      <c r="C7755" s="2" t="s">
        <v>513</v>
      </c>
      <c r="D7755" s="8">
        <v>10000</v>
      </c>
      <c r="E7755" s="8">
        <f>E7754+(10000-0)</f>
        <v>40427660.429999478</v>
      </c>
    </row>
    <row r="7756" spans="1:5" x14ac:dyDescent="0.25">
      <c r="A7756" s="2" t="s">
        <v>505</v>
      </c>
      <c r="B7756" s="6">
        <v>43972</v>
      </c>
      <c r="C7756" s="2" t="s">
        <v>514</v>
      </c>
      <c r="D7756" s="8">
        <v>20000</v>
      </c>
      <c r="E7756" s="8">
        <f>E7755+(20000-0)</f>
        <v>40447660.429999478</v>
      </c>
    </row>
    <row r="7757" spans="1:5" x14ac:dyDescent="0.25">
      <c r="A7757" s="2" t="s">
        <v>505</v>
      </c>
      <c r="B7757" s="6">
        <v>44166</v>
      </c>
      <c r="C7757" s="2" t="s">
        <v>515</v>
      </c>
      <c r="D7757" s="8">
        <v>1500000</v>
      </c>
      <c r="E7757" s="8">
        <f>E7756+(1500000-0)</f>
        <v>41947660.429999478</v>
      </c>
    </row>
    <row r="7758" spans="1:5" x14ac:dyDescent="0.25">
      <c r="A7758" s="2" t="s">
        <v>505</v>
      </c>
      <c r="B7758" s="6">
        <v>44167</v>
      </c>
      <c r="C7758" s="2" t="s">
        <v>516</v>
      </c>
      <c r="D7758" s="8">
        <v>-1500000</v>
      </c>
      <c r="E7758" s="8">
        <f>E7757+(0-1500000)</f>
        <v>40447660.429999478</v>
      </c>
    </row>
    <row r="7759" spans="1:5" x14ac:dyDescent="0.25">
      <c r="A7759" s="2" t="s">
        <v>505</v>
      </c>
      <c r="B7759" s="6">
        <v>44672</v>
      </c>
      <c r="C7759" s="2" t="s">
        <v>517</v>
      </c>
      <c r="D7759" s="8">
        <v>5000</v>
      </c>
      <c r="E7759" s="8">
        <f>E7758+(5000-0)</f>
        <v>40452660.429999478</v>
      </c>
    </row>
    <row r="7760" spans="1:5" x14ac:dyDescent="0.25">
      <c r="A7760" s="2" t="s">
        <v>505</v>
      </c>
      <c r="B7760" s="6">
        <v>44673</v>
      </c>
      <c r="C7760" s="2" t="s">
        <v>518</v>
      </c>
      <c r="D7760" s="8">
        <v>19000</v>
      </c>
      <c r="E7760" s="8">
        <f>E7759+(19000-0)</f>
        <v>40471660.429999478</v>
      </c>
    </row>
    <row r="7761" spans="1:5" x14ac:dyDescent="0.25">
      <c r="A7761" s="2" t="s">
        <v>505</v>
      </c>
      <c r="B7761" s="6">
        <v>44713</v>
      </c>
      <c r="C7761" s="2" t="s">
        <v>519</v>
      </c>
      <c r="D7761" s="8">
        <v>232500</v>
      </c>
      <c r="E7761" s="8">
        <f>E7760+(232500-0)</f>
        <v>40704160.429999478</v>
      </c>
    </row>
    <row r="7762" spans="1:5" x14ac:dyDescent="0.25">
      <c r="A7762" s="2" t="s">
        <v>505</v>
      </c>
      <c r="B7762" s="6">
        <v>44791</v>
      </c>
      <c r="C7762" s="2" t="s">
        <v>520</v>
      </c>
      <c r="D7762" s="8">
        <v>10000</v>
      </c>
      <c r="E7762" s="8">
        <f>E7761+(10000-0)</f>
        <v>40714160.429999478</v>
      </c>
    </row>
    <row r="7763" spans="1:5" x14ac:dyDescent="0.25">
      <c r="A7763" s="2" t="s">
        <v>505</v>
      </c>
      <c r="B7763" s="6">
        <v>44806</v>
      </c>
      <c r="C7763" s="2" t="s">
        <v>521</v>
      </c>
      <c r="D7763" s="8">
        <v>35000</v>
      </c>
      <c r="E7763" s="8">
        <f>E7762+(35000-0)</f>
        <v>40749160.429999478</v>
      </c>
    </row>
    <row r="7764" spans="1:5" x14ac:dyDescent="0.25">
      <c r="A7764" s="2" t="s">
        <v>505</v>
      </c>
      <c r="B7764" s="6">
        <v>44918</v>
      </c>
      <c r="C7764" s="2" t="s">
        <v>522</v>
      </c>
      <c r="D7764" s="8">
        <v>50000</v>
      </c>
      <c r="E7764" s="8">
        <f>E7763+(50000-0)</f>
        <v>40799160.429999478</v>
      </c>
    </row>
    <row r="7765" spans="1:5" x14ac:dyDescent="0.25">
      <c r="A7765" s="2" t="s">
        <v>505</v>
      </c>
      <c r="B7765" s="6">
        <v>45246</v>
      </c>
      <c r="C7765" s="2" t="s">
        <v>523</v>
      </c>
      <c r="D7765" s="8">
        <v>20000</v>
      </c>
      <c r="E7765" s="8">
        <f>E7764+(20000-0)</f>
        <v>40819160.429999478</v>
      </c>
    </row>
    <row r="7766" spans="1:5" x14ac:dyDescent="0.25">
      <c r="A7766" s="2" t="s">
        <v>505</v>
      </c>
      <c r="B7766" s="6">
        <v>45246</v>
      </c>
      <c r="C7766" s="2" t="s">
        <v>524</v>
      </c>
      <c r="D7766" s="8">
        <v>10000</v>
      </c>
      <c r="E7766" s="8">
        <f>E7765+(10000-0)</f>
        <v>40829160.429999478</v>
      </c>
    </row>
    <row r="7767" spans="1:5" x14ac:dyDescent="0.25">
      <c r="A7767" s="2" t="s">
        <v>525</v>
      </c>
      <c r="B7767" s="6">
        <v>43683</v>
      </c>
      <c r="C7767" s="2" t="s">
        <v>526</v>
      </c>
      <c r="D7767" s="8">
        <v>-150000</v>
      </c>
      <c r="E7767" s="8">
        <f>E7766+(0-150000)</f>
        <v>40679160.429999478</v>
      </c>
    </row>
    <row r="7768" spans="1:5" x14ac:dyDescent="0.25">
      <c r="A7768" s="2" t="s">
        <v>525</v>
      </c>
      <c r="B7768" s="6">
        <v>43705</v>
      </c>
      <c r="C7768" s="2" t="s">
        <v>527</v>
      </c>
      <c r="D7768" s="8">
        <v>20000</v>
      </c>
      <c r="E7768" s="8">
        <f>E7767+(20000-0)</f>
        <v>40699160.429999478</v>
      </c>
    </row>
    <row r="7769" spans="1:5" x14ac:dyDescent="0.25">
      <c r="A7769" s="2" t="s">
        <v>525</v>
      </c>
      <c r="B7769" s="6">
        <v>43978</v>
      </c>
      <c r="C7769" s="2" t="s">
        <v>528</v>
      </c>
      <c r="D7769" s="8">
        <v>20000</v>
      </c>
      <c r="E7769" s="8">
        <f>E7768+(20000-0)</f>
        <v>40719160.429999478</v>
      </c>
    </row>
    <row r="7770" spans="1:5" x14ac:dyDescent="0.25">
      <c r="A7770" s="2" t="s">
        <v>525</v>
      </c>
      <c r="B7770" s="6">
        <v>43991</v>
      </c>
      <c r="C7770" s="2" t="s">
        <v>529</v>
      </c>
      <c r="D7770" s="8">
        <v>25000</v>
      </c>
      <c r="E7770" s="8">
        <f>E7769+(25000-0)</f>
        <v>40744160.429999478</v>
      </c>
    </row>
    <row r="7771" spans="1:5" x14ac:dyDescent="0.25">
      <c r="A7771" s="2" t="s">
        <v>530</v>
      </c>
      <c r="B7771" s="6">
        <v>43976</v>
      </c>
      <c r="C7771" s="2" t="s">
        <v>531</v>
      </c>
      <c r="D7771" s="8">
        <v>18000</v>
      </c>
      <c r="E7771" s="8">
        <f>E7770+(18000-0)</f>
        <v>40762160.429999478</v>
      </c>
    </row>
    <row r="7772" spans="1:5" x14ac:dyDescent="0.25">
      <c r="A7772" s="2" t="s">
        <v>532</v>
      </c>
      <c r="B7772" s="6">
        <v>44202</v>
      </c>
      <c r="C7772" s="2" t="s">
        <v>533</v>
      </c>
      <c r="D7772" s="8">
        <v>1500000</v>
      </c>
      <c r="E7772" s="8">
        <f>E7771+(1500000-0)</f>
        <v>42262160.429999478</v>
      </c>
    </row>
    <row r="7773" spans="1:5" x14ac:dyDescent="0.25">
      <c r="A7773" s="2" t="s">
        <v>534</v>
      </c>
      <c r="B7773" s="6">
        <v>44202</v>
      </c>
      <c r="C7773" s="2" t="s">
        <v>535</v>
      </c>
      <c r="D7773" s="8">
        <v>-1500000</v>
      </c>
      <c r="E7773" s="8">
        <f>E7772+(0-1500000)</f>
        <v>40762160.429999478</v>
      </c>
    </row>
    <row r="7774" spans="1:5" x14ac:dyDescent="0.25">
      <c r="A7774" s="2" t="s">
        <v>536</v>
      </c>
      <c r="B7774" s="6">
        <v>43654</v>
      </c>
      <c r="C7774" s="2" t="s">
        <v>537</v>
      </c>
      <c r="D7774" s="8">
        <v>55000</v>
      </c>
      <c r="E7774" s="8">
        <f>E7773+(55000-0)</f>
        <v>40817160.429999478</v>
      </c>
    </row>
    <row r="7775" spans="1:5" x14ac:dyDescent="0.25">
      <c r="A7775" s="2" t="s">
        <v>538</v>
      </c>
      <c r="B7775" s="6">
        <v>43916</v>
      </c>
      <c r="C7775" s="2" t="s">
        <v>539</v>
      </c>
      <c r="D7775" s="8">
        <v>2300000</v>
      </c>
      <c r="E7775" s="8">
        <f>E7774+(2300000-0)</f>
        <v>43117160.429999478</v>
      </c>
    </row>
    <row r="7776" spans="1:5" x14ac:dyDescent="0.25">
      <c r="A7776" s="2" t="s">
        <v>540</v>
      </c>
      <c r="B7776" s="6">
        <v>45684</v>
      </c>
      <c r="C7776" s="2" t="s">
        <v>541</v>
      </c>
      <c r="D7776" s="8">
        <v>752329.76</v>
      </c>
      <c r="E7776" s="8">
        <f>E7775+(752329.76-0)</f>
        <v>43869490.189999476</v>
      </c>
    </row>
    <row r="7777" spans="1:5" x14ac:dyDescent="0.25">
      <c r="A7777" s="2" t="s">
        <v>542</v>
      </c>
      <c r="B7777" s="6">
        <v>44231</v>
      </c>
      <c r="C7777" s="2" t="s">
        <v>543</v>
      </c>
      <c r="D7777" s="8">
        <v>808920</v>
      </c>
      <c r="E7777" s="8">
        <f>E7776+(808920-0)</f>
        <v>44678410.189999476</v>
      </c>
    </row>
    <row r="7778" spans="1:5" x14ac:dyDescent="0.25">
      <c r="A7778" s="2" t="s">
        <v>542</v>
      </c>
      <c r="B7778" s="6">
        <v>44231</v>
      </c>
      <c r="C7778" s="2" t="s">
        <v>543</v>
      </c>
      <c r="D7778" s="8">
        <v>1300000</v>
      </c>
      <c r="E7778" s="8">
        <f>E7777+(1300000-0)</f>
        <v>45978410.189999476</v>
      </c>
    </row>
    <row r="7779" spans="1:5" x14ac:dyDescent="0.25">
      <c r="A7779" s="2" t="s">
        <v>542</v>
      </c>
      <c r="B7779" s="6">
        <v>44231</v>
      </c>
      <c r="C7779" s="2" t="s">
        <v>543</v>
      </c>
      <c r="D7779" s="8">
        <v>1400000</v>
      </c>
      <c r="E7779" s="8">
        <f>E7778+(1400000-0)</f>
        <v>47378410.189999476</v>
      </c>
    </row>
    <row r="7780" spans="1:5" x14ac:dyDescent="0.25">
      <c r="A7780" s="2" t="s">
        <v>544</v>
      </c>
      <c r="B7780" s="6">
        <v>43734</v>
      </c>
      <c r="C7780" s="2" t="s">
        <v>67</v>
      </c>
      <c r="D7780" s="8">
        <v>-52.5</v>
      </c>
      <c r="E7780" s="8">
        <f>E7779+(0-52.5)</f>
        <v>47378357.689999476</v>
      </c>
    </row>
    <row r="7781" spans="1:5" x14ac:dyDescent="0.25">
      <c r="A7781" s="2" t="s">
        <v>544</v>
      </c>
      <c r="B7781" s="6">
        <v>43734</v>
      </c>
      <c r="C7781" s="2" t="s">
        <v>67</v>
      </c>
      <c r="D7781" s="8">
        <v>-52.5</v>
      </c>
      <c r="E7781" s="8">
        <f>E7780+(0-52.5)</f>
        <v>47378305.189999476</v>
      </c>
    </row>
    <row r="7782" spans="1:5" x14ac:dyDescent="0.25">
      <c r="A7782" s="2" t="s">
        <v>544</v>
      </c>
      <c r="B7782" s="6">
        <v>43734</v>
      </c>
      <c r="C7782" s="2" t="s">
        <v>67</v>
      </c>
      <c r="D7782" s="8">
        <v>-52.5</v>
      </c>
      <c r="E7782" s="8">
        <f>E7781+(0-52.5)</f>
        <v>47378252.689999476</v>
      </c>
    </row>
    <row r="7783" spans="1:5" x14ac:dyDescent="0.25">
      <c r="A7783" s="2" t="s">
        <v>544</v>
      </c>
      <c r="B7783" s="6">
        <v>43735</v>
      </c>
      <c r="C7783" s="2" t="s">
        <v>19</v>
      </c>
      <c r="D7783" s="8">
        <v>-16</v>
      </c>
      <c r="E7783" s="8">
        <f>E7782+(0-16)</f>
        <v>47378236.689999476</v>
      </c>
    </row>
    <row r="7784" spans="1:5" x14ac:dyDescent="0.25">
      <c r="A7784" s="2" t="s">
        <v>544</v>
      </c>
      <c r="B7784" s="6">
        <v>45092</v>
      </c>
      <c r="C7784" s="2" t="s">
        <v>545</v>
      </c>
      <c r="D7784" s="8">
        <v>-220000</v>
      </c>
      <c r="E7784" s="8">
        <f>E7783+(0-220000)</f>
        <v>47158236.689999476</v>
      </c>
    </row>
    <row r="7785" spans="1:5" x14ac:dyDescent="0.25">
      <c r="A7785" s="2" t="s">
        <v>546</v>
      </c>
      <c r="B7785" s="6">
        <v>45663</v>
      </c>
      <c r="C7785" s="2" t="s">
        <v>547</v>
      </c>
      <c r="D7785" s="8">
        <v>98250</v>
      </c>
      <c r="E7785" s="8">
        <f>E7784+(98250-0)</f>
        <v>47256486.689999476</v>
      </c>
    </row>
    <row r="7786" spans="1:5" x14ac:dyDescent="0.25">
      <c r="A7786" s="2" t="s">
        <v>548</v>
      </c>
      <c r="B7786" s="6">
        <v>45594</v>
      </c>
      <c r="C7786" s="2" t="s">
        <v>549</v>
      </c>
      <c r="D7786" s="8">
        <v>15000000</v>
      </c>
      <c r="E7786" s="8">
        <f>E7785+(15000000-0)</f>
        <v>62256486.689999476</v>
      </c>
    </row>
    <row r="7787" spans="1:5" x14ac:dyDescent="0.25">
      <c r="A7787" s="2" t="s">
        <v>550</v>
      </c>
      <c r="B7787" s="6">
        <v>46108</v>
      </c>
      <c r="C7787" s="2" t="s">
        <v>551</v>
      </c>
      <c r="D7787" s="8">
        <v>1215812.5</v>
      </c>
      <c r="E7787" s="8">
        <f>E7786+(1215812.5-0)</f>
        <v>63472299.189999476</v>
      </c>
    </row>
    <row r="7788" spans="1:5" x14ac:dyDescent="0.25">
      <c r="A7788" s="2" t="s">
        <v>552</v>
      </c>
      <c r="B7788" s="6">
        <v>45743</v>
      </c>
      <c r="C7788" s="2" t="s">
        <v>486</v>
      </c>
      <c r="D7788" s="8">
        <v>17602.93</v>
      </c>
      <c r="E7788" s="8">
        <f>E7787+(17602.93-0)</f>
        <v>63489902.119999476</v>
      </c>
    </row>
    <row r="7789" spans="1:5" x14ac:dyDescent="0.25">
      <c r="A7789" s="2" t="s">
        <v>552</v>
      </c>
      <c r="B7789" s="6">
        <v>45772</v>
      </c>
      <c r="C7789" s="2" t="s">
        <v>486</v>
      </c>
      <c r="D7789" s="8">
        <v>21261.18</v>
      </c>
      <c r="E7789" s="8">
        <f>E7788+(21261.18-0)</f>
        <v>63511163.299999475</v>
      </c>
    </row>
    <row r="7790" spans="1:5" x14ac:dyDescent="0.25">
      <c r="A7790" s="2" t="s">
        <v>553</v>
      </c>
      <c r="B7790" s="6">
        <v>44938</v>
      </c>
      <c r="C7790" s="2" t="s">
        <v>554</v>
      </c>
      <c r="D7790" s="8">
        <v>350000</v>
      </c>
      <c r="E7790" s="8">
        <f>E7789+(350000-0)</f>
        <v>63861163.299999475</v>
      </c>
    </row>
    <row r="7791" spans="1:5" x14ac:dyDescent="0.25">
      <c r="A7791" s="2" t="s">
        <v>553</v>
      </c>
      <c r="B7791" s="6">
        <v>44938</v>
      </c>
      <c r="C7791" s="2" t="s">
        <v>555</v>
      </c>
      <c r="D7791" s="8">
        <v>112000</v>
      </c>
      <c r="E7791" s="8">
        <f>E7790+(112000-0)</f>
        <v>63973163.299999475</v>
      </c>
    </row>
    <row r="7792" spans="1:5" x14ac:dyDescent="0.25">
      <c r="A7792" s="2" t="s">
        <v>556</v>
      </c>
      <c r="B7792" s="6">
        <v>44713</v>
      </c>
      <c r="C7792" s="2" t="s">
        <v>557</v>
      </c>
      <c r="D7792" s="8">
        <v>608000</v>
      </c>
      <c r="E7792" s="8">
        <f>E7791+(608000-0)</f>
        <v>64581163.299999475</v>
      </c>
    </row>
    <row r="7793" spans="1:5" x14ac:dyDescent="0.25">
      <c r="A7793" s="2" t="s">
        <v>556</v>
      </c>
      <c r="B7793" s="6">
        <v>45420</v>
      </c>
      <c r="C7793" s="2" t="s">
        <v>558</v>
      </c>
      <c r="D7793" s="8">
        <v>100000000</v>
      </c>
      <c r="E7793" s="8">
        <f>E7792+(100000000-0)</f>
        <v>164581163.29999948</v>
      </c>
    </row>
    <row r="7794" spans="1:5" x14ac:dyDescent="0.25">
      <c r="A7794" s="2" t="s">
        <v>556</v>
      </c>
      <c r="B7794" s="6">
        <v>45425</v>
      </c>
      <c r="C7794" s="2" t="s">
        <v>558</v>
      </c>
      <c r="D7794" s="8">
        <v>173880000</v>
      </c>
      <c r="E7794" s="8">
        <f>E7793+(173880000-0)</f>
        <v>338461163.29999948</v>
      </c>
    </row>
    <row r="7795" spans="1:5" x14ac:dyDescent="0.25">
      <c r="A7795" s="2" t="s">
        <v>559</v>
      </c>
      <c r="B7795" s="6">
        <v>44894</v>
      </c>
      <c r="C7795" s="2" t="s">
        <v>560</v>
      </c>
      <c r="D7795" s="8">
        <v>1500000</v>
      </c>
      <c r="E7795" s="8">
        <f>E7794+(1500000-0)</f>
        <v>339961163.29999948</v>
      </c>
    </row>
    <row r="7796" spans="1:5" x14ac:dyDescent="0.25">
      <c r="A7796" s="2" t="s">
        <v>561</v>
      </c>
      <c r="B7796" s="6">
        <v>44900</v>
      </c>
      <c r="C7796" s="2" t="s">
        <v>562</v>
      </c>
      <c r="D7796" s="8">
        <v>-1500000</v>
      </c>
      <c r="E7796" s="8">
        <f>E7795+(0-1500000)</f>
        <v>338461163.29999948</v>
      </c>
    </row>
    <row r="7797" spans="1:5" x14ac:dyDescent="0.25">
      <c r="A7797" s="2" t="s">
        <v>563</v>
      </c>
      <c r="B7797" s="6">
        <v>45420</v>
      </c>
      <c r="C7797" s="2" t="s">
        <v>564</v>
      </c>
      <c r="D7797" s="8">
        <v>-872444.39</v>
      </c>
      <c r="E7797" s="8">
        <f>E7796+(0-872444.39)</f>
        <v>337588718.90999949</v>
      </c>
    </row>
    <row r="7798" spans="1:5" x14ac:dyDescent="0.25">
      <c r="A7798" s="2" t="s">
        <v>565</v>
      </c>
      <c r="B7798" s="6">
        <v>44792</v>
      </c>
      <c r="C7798" s="2" t="s">
        <v>566</v>
      </c>
      <c r="D7798" s="8">
        <v>334000</v>
      </c>
      <c r="E7798" s="8">
        <f>E7797+(334000-0)</f>
        <v>337922718.90999949</v>
      </c>
    </row>
    <row r="7799" spans="1:5" x14ac:dyDescent="0.25">
      <c r="A7799" s="2" t="s">
        <v>567</v>
      </c>
      <c r="B7799" s="6">
        <v>45895</v>
      </c>
      <c r="C7799" s="2" t="s">
        <v>568</v>
      </c>
      <c r="D7799" s="8">
        <v>-100000000</v>
      </c>
      <c r="E7799" s="8">
        <f>E7798+(0-100000000)</f>
        <v>237922718.90999949</v>
      </c>
    </row>
    <row r="7800" spans="1:5" x14ac:dyDescent="0.25">
      <c r="A7800" s="2" t="s">
        <v>567</v>
      </c>
      <c r="B7800" s="6">
        <v>46042</v>
      </c>
      <c r="C7800" s="2" t="s">
        <v>569</v>
      </c>
      <c r="D7800" s="8">
        <v>-100000000</v>
      </c>
      <c r="E7800" s="8">
        <f>E7799+(0-100000000)</f>
        <v>137922718.90999949</v>
      </c>
    </row>
    <row r="7801" spans="1:5" x14ac:dyDescent="0.25">
      <c r="A7801" s="2" t="s">
        <v>567</v>
      </c>
      <c r="B7801" s="6">
        <v>46104</v>
      </c>
      <c r="C7801" s="2" t="s">
        <v>570</v>
      </c>
      <c r="D7801" s="8">
        <v>-70000000</v>
      </c>
      <c r="E7801" s="8">
        <f>E7800+(0-70000000)</f>
        <v>67922718.90999949</v>
      </c>
    </row>
    <row r="7802" spans="1:5" x14ac:dyDescent="0.25">
      <c r="A7802" s="2" t="s">
        <v>571</v>
      </c>
      <c r="B7802" s="6">
        <v>45908</v>
      </c>
      <c r="C7802" s="2" t="s">
        <v>572</v>
      </c>
      <c r="D7802" s="8">
        <v>14700</v>
      </c>
      <c r="E7802" s="8">
        <f>E7801+(14700-0)</f>
        <v>67937418.90999949</v>
      </c>
    </row>
    <row r="7803" spans="1:5" x14ac:dyDescent="0.25">
      <c r="A7803" s="2" t="s">
        <v>573</v>
      </c>
      <c r="B7803" s="6">
        <v>43978</v>
      </c>
      <c r="C7803" s="2" t="s">
        <v>574</v>
      </c>
      <c r="D7803" s="8">
        <v>900000</v>
      </c>
      <c r="E7803" s="8">
        <f>E7802+(900000-0)</f>
        <v>68837418.90999949</v>
      </c>
    </row>
    <row r="7804" spans="1:5" x14ac:dyDescent="0.25">
      <c r="A7804" s="2" t="s">
        <v>575</v>
      </c>
      <c r="B7804" s="6">
        <v>44071</v>
      </c>
      <c r="C7804" s="2" t="s">
        <v>533</v>
      </c>
      <c r="D7804" s="8">
        <v>200000</v>
      </c>
      <c r="E7804" s="8">
        <f>E7803+(200000-0)</f>
        <v>69037418.90999949</v>
      </c>
    </row>
    <row r="7805" spans="1:5" x14ac:dyDescent="0.25">
      <c r="A7805" s="2" t="s">
        <v>575</v>
      </c>
      <c r="B7805" s="6">
        <v>44147</v>
      </c>
      <c r="C7805" s="2" t="s">
        <v>576</v>
      </c>
      <c r="D7805" s="8">
        <v>10000000</v>
      </c>
      <c r="E7805" s="8">
        <f>E7804+(10000000-0)</f>
        <v>79037418.90999949</v>
      </c>
    </row>
    <row r="7806" spans="1:5" x14ac:dyDescent="0.25">
      <c r="A7806" s="2" t="s">
        <v>575</v>
      </c>
      <c r="B7806" s="6">
        <v>45264</v>
      </c>
      <c r="C7806" s="2" t="s">
        <v>577</v>
      </c>
      <c r="D7806" s="8">
        <v>-100000</v>
      </c>
      <c r="E7806" s="8">
        <f>E7805+(0-100000)</f>
        <v>78937418.90999949</v>
      </c>
    </row>
    <row r="7807" spans="1:5" x14ac:dyDescent="0.25">
      <c r="A7807" s="2" t="s">
        <v>575</v>
      </c>
      <c r="B7807" s="6">
        <v>45356</v>
      </c>
      <c r="C7807" s="2" t="s">
        <v>578</v>
      </c>
      <c r="D7807" s="8">
        <v>30000000</v>
      </c>
      <c r="E7807" s="8">
        <f>E7806+(30000000-0)</f>
        <v>108937418.90999949</v>
      </c>
    </row>
    <row r="7808" spans="1:5" x14ac:dyDescent="0.25">
      <c r="A7808" s="2" t="s">
        <v>575</v>
      </c>
      <c r="B7808" s="6">
        <v>45439</v>
      </c>
      <c r="C7808" s="2" t="s">
        <v>579</v>
      </c>
      <c r="D7808" s="8">
        <v>39000000</v>
      </c>
      <c r="E7808" s="8">
        <f>E7807+(39000000-0)</f>
        <v>147937418.90999949</v>
      </c>
    </row>
    <row r="7809" spans="1:5" x14ac:dyDescent="0.25">
      <c r="A7809" s="2" t="s">
        <v>575</v>
      </c>
      <c r="B7809" s="6">
        <v>45439</v>
      </c>
      <c r="C7809" s="2" t="s">
        <v>579</v>
      </c>
      <c r="D7809" s="8">
        <v>50000000</v>
      </c>
      <c r="E7809" s="8">
        <f>E7808+(50000000-0)</f>
        <v>197937418.90999949</v>
      </c>
    </row>
    <row r="7810" spans="1:5" x14ac:dyDescent="0.25">
      <c r="A7810" s="2" t="s">
        <v>575</v>
      </c>
      <c r="B7810" s="6">
        <v>45440</v>
      </c>
      <c r="C7810" s="2" t="s">
        <v>579</v>
      </c>
      <c r="D7810" s="8">
        <v>10000000</v>
      </c>
      <c r="E7810" s="8">
        <f>E7809+(10000000-0)</f>
        <v>207937418.90999949</v>
      </c>
    </row>
    <row r="7811" spans="1:5" x14ac:dyDescent="0.25">
      <c r="A7811" s="2" t="s">
        <v>575</v>
      </c>
      <c r="B7811" s="6">
        <v>45440</v>
      </c>
      <c r="C7811" s="2" t="s">
        <v>579</v>
      </c>
      <c r="D7811" s="8">
        <v>5000000</v>
      </c>
      <c r="E7811" s="8">
        <f>E7810+(5000000-0)</f>
        <v>212937418.90999949</v>
      </c>
    </row>
    <row r="7812" spans="1:5" x14ac:dyDescent="0.25">
      <c r="A7812" s="2" t="s">
        <v>575</v>
      </c>
      <c r="B7812" s="6">
        <v>45440</v>
      </c>
      <c r="C7812" s="2" t="s">
        <v>579</v>
      </c>
      <c r="D7812" s="8">
        <v>5109000</v>
      </c>
      <c r="E7812" s="8">
        <f>E7811+(5109000-0)</f>
        <v>218046418.90999949</v>
      </c>
    </row>
    <row r="7813" spans="1:5" x14ac:dyDescent="0.25">
      <c r="A7813" s="2" t="s">
        <v>575</v>
      </c>
      <c r="B7813" s="6">
        <v>45441</v>
      </c>
      <c r="C7813" s="2" t="s">
        <v>579</v>
      </c>
      <c r="D7813" s="8">
        <v>10000000</v>
      </c>
      <c r="E7813" s="8">
        <f>E7812+(10000000-0)</f>
        <v>228046418.90999949</v>
      </c>
    </row>
    <row r="7814" spans="1:5" x14ac:dyDescent="0.25">
      <c r="A7814" s="2" t="s">
        <v>575</v>
      </c>
      <c r="B7814" s="6">
        <v>45971</v>
      </c>
      <c r="C7814" s="2" t="s">
        <v>580</v>
      </c>
      <c r="D7814" s="8">
        <v>-12376270</v>
      </c>
      <c r="E7814" s="8">
        <f>E7813+(0-12376270)</f>
        <v>215670148.90999949</v>
      </c>
    </row>
    <row r="7815" spans="1:5" x14ac:dyDescent="0.25">
      <c r="A7815" s="2" t="s">
        <v>581</v>
      </c>
      <c r="B7815" s="6">
        <v>43993</v>
      </c>
      <c r="C7815" s="2" t="s">
        <v>533</v>
      </c>
      <c r="D7815" s="8">
        <v>600000</v>
      </c>
      <c r="E7815" s="8">
        <f>E7814+(600000-0)</f>
        <v>216270148.90999949</v>
      </c>
    </row>
    <row r="7816" spans="1:5" x14ac:dyDescent="0.25">
      <c r="A7816" s="2" t="s">
        <v>582</v>
      </c>
      <c r="B7816" s="6">
        <v>43754</v>
      </c>
      <c r="C7816" s="2" t="s">
        <v>583</v>
      </c>
      <c r="D7816" s="8">
        <v>5000000</v>
      </c>
      <c r="E7816" s="8">
        <f>E7815+(5000000-0)</f>
        <v>221270148.90999949</v>
      </c>
    </row>
    <row r="7817" spans="1:5" x14ac:dyDescent="0.25">
      <c r="A7817" s="2" t="s">
        <v>582</v>
      </c>
      <c r="B7817" s="6">
        <v>43754</v>
      </c>
      <c r="C7817" s="2" t="s">
        <v>583</v>
      </c>
      <c r="D7817" s="8">
        <v>5000000</v>
      </c>
      <c r="E7817" s="8">
        <f>E7816+(5000000-0)</f>
        <v>226270148.90999949</v>
      </c>
    </row>
    <row r="7818" spans="1:5" x14ac:dyDescent="0.25">
      <c r="A7818" s="2" t="s">
        <v>584</v>
      </c>
      <c r="B7818" s="6">
        <v>45751</v>
      </c>
      <c r="C7818" s="2" t="s">
        <v>585</v>
      </c>
      <c r="D7818" s="8">
        <v>-770353.59</v>
      </c>
      <c r="E7818" s="8">
        <f>E7817+(0-770353.59)</f>
        <v>225499795.31999949</v>
      </c>
    </row>
    <row r="7819" spans="1:5" x14ac:dyDescent="0.25">
      <c r="A7819" s="2" t="s">
        <v>586</v>
      </c>
      <c r="B7819" s="6">
        <v>45730</v>
      </c>
      <c r="C7819" s="2" t="s">
        <v>587</v>
      </c>
      <c r="D7819" s="8">
        <v>-489633.33</v>
      </c>
      <c r="E7819" s="8">
        <f>E7818+(0-489633.33)</f>
        <v>225010161.98999947</v>
      </c>
    </row>
    <row r="7820" spans="1:5" x14ac:dyDescent="0.25">
      <c r="A7820" s="2" t="s">
        <v>586</v>
      </c>
      <c r="B7820" s="6">
        <v>45734</v>
      </c>
      <c r="C7820" s="2" t="s">
        <v>588</v>
      </c>
      <c r="D7820" s="8">
        <v>-170473.08</v>
      </c>
      <c r="E7820" s="8">
        <f>E7819+(0-170473.08)</f>
        <v>224839688.90999946</v>
      </c>
    </row>
    <row r="7821" spans="1:5" x14ac:dyDescent="0.25">
      <c r="A7821" s="2" t="s">
        <v>586</v>
      </c>
      <c r="B7821" s="6">
        <v>45736</v>
      </c>
      <c r="C7821" s="2" t="s">
        <v>589</v>
      </c>
      <c r="D7821" s="8">
        <v>-16450</v>
      </c>
      <c r="E7821" s="8">
        <f>E7820+(0-16450)</f>
        <v>224823238.90999946</v>
      </c>
    </row>
    <row r="7822" spans="1:5" x14ac:dyDescent="0.25">
      <c r="A7822" s="2" t="s">
        <v>586</v>
      </c>
      <c r="B7822" s="6">
        <v>45740</v>
      </c>
      <c r="C7822" s="2" t="s">
        <v>590</v>
      </c>
      <c r="D7822" s="8">
        <v>-450000</v>
      </c>
      <c r="E7822" s="8">
        <f>E7821+(0-450000)</f>
        <v>224373238.90999946</v>
      </c>
    </row>
    <row r="7823" spans="1:5" x14ac:dyDescent="0.25">
      <c r="A7823" s="2" t="s">
        <v>586</v>
      </c>
      <c r="B7823" s="6">
        <v>45742</v>
      </c>
      <c r="C7823" s="2" t="s">
        <v>591</v>
      </c>
      <c r="D7823" s="8">
        <v>-200000</v>
      </c>
      <c r="E7823" s="8">
        <f>E7822+(0-200000)</f>
        <v>224173238.90999946</v>
      </c>
    </row>
    <row r="7824" spans="1:5" x14ac:dyDescent="0.25">
      <c r="A7824" s="2" t="s">
        <v>586</v>
      </c>
      <c r="B7824" s="6">
        <v>45743</v>
      </c>
      <c r="C7824" s="2" t="s">
        <v>590</v>
      </c>
      <c r="D7824" s="8">
        <v>-99307.69</v>
      </c>
      <c r="E7824" s="8">
        <f>E7823+(0-99307.69)</f>
        <v>224073931.21999946</v>
      </c>
    </row>
    <row r="7825" spans="1:5" x14ac:dyDescent="0.25">
      <c r="A7825" s="2" t="s">
        <v>586</v>
      </c>
      <c r="B7825" s="6">
        <v>45744</v>
      </c>
      <c r="C7825" s="2" t="s">
        <v>590</v>
      </c>
      <c r="D7825" s="8">
        <v>-400000</v>
      </c>
      <c r="E7825" s="8">
        <f>E7824+(0-400000)</f>
        <v>223673931.21999946</v>
      </c>
    </row>
    <row r="7826" spans="1:5" x14ac:dyDescent="0.25">
      <c r="A7826" s="2" t="s">
        <v>586</v>
      </c>
      <c r="B7826" s="6">
        <v>45750</v>
      </c>
      <c r="C7826" s="2" t="s">
        <v>592</v>
      </c>
      <c r="D7826" s="8">
        <v>-7643716</v>
      </c>
      <c r="E7826" s="8">
        <f>E7825+(0-7643716)</f>
        <v>216030215.21999946</v>
      </c>
    </row>
    <row r="7827" spans="1:5" x14ac:dyDescent="0.25">
      <c r="A7827" s="2" t="s">
        <v>586</v>
      </c>
      <c r="B7827" s="6">
        <v>45751</v>
      </c>
      <c r="C7827" s="2" t="s">
        <v>593</v>
      </c>
      <c r="D7827" s="8">
        <v>-411073.37</v>
      </c>
      <c r="E7827" s="8">
        <f>E7826+(0-411073.37)</f>
        <v>215619141.84999946</v>
      </c>
    </row>
    <row r="7828" spans="1:5" x14ac:dyDescent="0.25">
      <c r="A7828" s="2" t="s">
        <v>586</v>
      </c>
      <c r="B7828" s="6">
        <v>45754</v>
      </c>
      <c r="C7828" s="2" t="s">
        <v>594</v>
      </c>
      <c r="D7828" s="8">
        <v>-40000</v>
      </c>
      <c r="E7828" s="8">
        <f>E7827+(0-40000)</f>
        <v>215579141.84999946</v>
      </c>
    </row>
    <row r="7829" spans="1:5" x14ac:dyDescent="0.25">
      <c r="A7829" s="2" t="s">
        <v>586</v>
      </c>
      <c r="B7829" s="6">
        <v>45754</v>
      </c>
      <c r="C7829" s="2" t="s">
        <v>595</v>
      </c>
      <c r="D7829" s="8">
        <v>-25000</v>
      </c>
      <c r="E7829" s="8">
        <f>E7828+(0-25000)</f>
        <v>215554141.84999946</v>
      </c>
    </row>
    <row r="7830" spans="1:5" x14ac:dyDescent="0.25">
      <c r="A7830" s="2" t="s">
        <v>586</v>
      </c>
      <c r="B7830" s="6">
        <v>45754</v>
      </c>
      <c r="C7830" s="2" t="s">
        <v>596</v>
      </c>
      <c r="D7830" s="8">
        <v>-97896.24</v>
      </c>
      <c r="E7830" s="8">
        <f>E7829+(0-97896.24)</f>
        <v>215456245.60999945</v>
      </c>
    </row>
    <row r="7831" spans="1:5" x14ac:dyDescent="0.25">
      <c r="A7831" s="2" t="s">
        <v>586</v>
      </c>
      <c r="B7831" s="6">
        <v>45755</v>
      </c>
      <c r="C7831" s="2" t="s">
        <v>597</v>
      </c>
      <c r="D7831" s="8">
        <v>-84925</v>
      </c>
      <c r="E7831" s="8">
        <f>E7830+(0-84925)</f>
        <v>215371320.60999945</v>
      </c>
    </row>
    <row r="7832" spans="1:5" x14ac:dyDescent="0.25">
      <c r="A7832" s="2" t="s">
        <v>586</v>
      </c>
      <c r="B7832" s="6">
        <v>45755</v>
      </c>
      <c r="C7832" s="2" t="s">
        <v>598</v>
      </c>
      <c r="D7832" s="8">
        <v>-600000</v>
      </c>
      <c r="E7832" s="8">
        <f>E7831+(0-600000)</f>
        <v>214771320.60999945</v>
      </c>
    </row>
    <row r="7833" spans="1:5" x14ac:dyDescent="0.25">
      <c r="A7833" s="2" t="s">
        <v>586</v>
      </c>
      <c r="B7833" s="6">
        <v>45761</v>
      </c>
      <c r="C7833" s="2" t="s">
        <v>599</v>
      </c>
      <c r="D7833" s="8">
        <v>-80000</v>
      </c>
      <c r="E7833" s="8">
        <f>E7832+(0-80000)</f>
        <v>214691320.60999945</v>
      </c>
    </row>
    <row r="7834" spans="1:5" x14ac:dyDescent="0.25">
      <c r="A7834" s="2" t="s">
        <v>586</v>
      </c>
      <c r="B7834" s="6">
        <v>45761</v>
      </c>
      <c r="C7834" s="2" t="s">
        <v>600</v>
      </c>
      <c r="D7834" s="8">
        <v>-500000</v>
      </c>
      <c r="E7834" s="8">
        <f>E7833+(0-500000)</f>
        <v>214191320.60999945</v>
      </c>
    </row>
    <row r="7835" spans="1:5" x14ac:dyDescent="0.25">
      <c r="A7835" s="2" t="s">
        <v>586</v>
      </c>
      <c r="B7835" s="6">
        <v>45762</v>
      </c>
      <c r="C7835" s="2" t="s">
        <v>601</v>
      </c>
      <c r="D7835" s="8">
        <v>-196566</v>
      </c>
      <c r="E7835" s="8">
        <f>E7834+(0-196566)</f>
        <v>213994754.60999945</v>
      </c>
    </row>
    <row r="7836" spans="1:5" x14ac:dyDescent="0.25">
      <c r="A7836" s="2" t="s">
        <v>586</v>
      </c>
      <c r="B7836" s="6">
        <v>45762</v>
      </c>
      <c r="C7836" s="2" t="s">
        <v>602</v>
      </c>
      <c r="D7836" s="8">
        <v>-100000</v>
      </c>
      <c r="E7836" s="8">
        <f>E7835+(0-100000)</f>
        <v>213894754.60999945</v>
      </c>
    </row>
    <row r="7837" spans="1:5" x14ac:dyDescent="0.25">
      <c r="A7837" s="2" t="s">
        <v>586</v>
      </c>
      <c r="B7837" s="6">
        <v>45763</v>
      </c>
      <c r="C7837" s="2" t="s">
        <v>600</v>
      </c>
      <c r="D7837" s="8">
        <v>-50000</v>
      </c>
      <c r="E7837" s="8">
        <f>E7836+(0-50000)</f>
        <v>213844754.60999945</v>
      </c>
    </row>
    <row r="7838" spans="1:5" x14ac:dyDescent="0.25">
      <c r="A7838" s="2" t="s">
        <v>586</v>
      </c>
      <c r="B7838" s="6">
        <v>45763</v>
      </c>
      <c r="C7838" s="2" t="s">
        <v>603</v>
      </c>
      <c r="D7838" s="8">
        <v>-400000</v>
      </c>
      <c r="E7838" s="8">
        <f>E7837+(0-400000)</f>
        <v>213444754.60999945</v>
      </c>
    </row>
    <row r="7839" spans="1:5" x14ac:dyDescent="0.25">
      <c r="A7839" s="2" t="s">
        <v>586</v>
      </c>
      <c r="B7839" s="6">
        <v>45764</v>
      </c>
      <c r="C7839" s="2" t="s">
        <v>602</v>
      </c>
      <c r="D7839" s="8">
        <v>-300000</v>
      </c>
      <c r="E7839" s="8">
        <f>E7838+(0-300000)</f>
        <v>213144754.60999945</v>
      </c>
    </row>
    <row r="7840" spans="1:5" x14ac:dyDescent="0.25">
      <c r="A7840" s="2" t="s">
        <v>586</v>
      </c>
      <c r="B7840" s="6">
        <v>45764</v>
      </c>
      <c r="C7840" s="2" t="s">
        <v>602</v>
      </c>
      <c r="D7840" s="8">
        <v>-100000</v>
      </c>
      <c r="E7840" s="8">
        <f>E7839+(0-100000)</f>
        <v>213044754.60999945</v>
      </c>
    </row>
    <row r="7841" spans="1:5" x14ac:dyDescent="0.25">
      <c r="A7841" s="2" t="s">
        <v>586</v>
      </c>
      <c r="B7841" s="6">
        <v>45764</v>
      </c>
      <c r="C7841" s="2" t="s">
        <v>602</v>
      </c>
      <c r="D7841" s="8">
        <v>-250000</v>
      </c>
      <c r="E7841" s="8">
        <f>E7840+(0-250000)</f>
        <v>212794754.60999945</v>
      </c>
    </row>
    <row r="7842" spans="1:5" x14ac:dyDescent="0.25">
      <c r="A7842" s="2" t="s">
        <v>586</v>
      </c>
      <c r="B7842" s="6">
        <v>45769</v>
      </c>
      <c r="C7842" s="2" t="s">
        <v>602</v>
      </c>
      <c r="D7842" s="8">
        <v>-100000</v>
      </c>
      <c r="E7842" s="8">
        <f>E7841+(0-100000)</f>
        <v>212694754.60999945</v>
      </c>
    </row>
    <row r="7843" spans="1:5" x14ac:dyDescent="0.25">
      <c r="A7843" s="2" t="s">
        <v>586</v>
      </c>
      <c r="B7843" s="6">
        <v>45771</v>
      </c>
      <c r="C7843" s="2" t="s">
        <v>604</v>
      </c>
      <c r="D7843" s="8">
        <v>-944700</v>
      </c>
      <c r="E7843" s="8">
        <f>E7842+(0-944700)</f>
        <v>211750054.60999945</v>
      </c>
    </row>
    <row r="7844" spans="1:5" x14ac:dyDescent="0.25">
      <c r="A7844" s="2" t="s">
        <v>586</v>
      </c>
      <c r="B7844" s="6">
        <v>45779</v>
      </c>
      <c r="C7844" s="2" t="s">
        <v>605</v>
      </c>
      <c r="D7844" s="8">
        <v>-13359334</v>
      </c>
      <c r="E7844" s="8">
        <f>E7843+(0-13359334)</f>
        <v>198390720.60999945</v>
      </c>
    </row>
    <row r="7845" spans="1:5" x14ac:dyDescent="0.25">
      <c r="A7845" s="2" t="s">
        <v>586</v>
      </c>
      <c r="B7845" s="6">
        <v>45782</v>
      </c>
      <c r="C7845" s="2" t="s">
        <v>606</v>
      </c>
      <c r="D7845" s="8">
        <v>-6969562</v>
      </c>
      <c r="E7845" s="8">
        <f>E7844+(0-6969562)</f>
        <v>191421158.60999945</v>
      </c>
    </row>
    <row r="7846" spans="1:5" x14ac:dyDescent="0.25">
      <c r="A7846" s="2" t="s">
        <v>586</v>
      </c>
      <c r="B7846" s="6">
        <v>45784</v>
      </c>
      <c r="C7846" s="2" t="s">
        <v>607</v>
      </c>
      <c r="D7846" s="8">
        <v>-28648.75</v>
      </c>
      <c r="E7846" s="8">
        <f>E7845+(0-28648.75)</f>
        <v>191392509.85999945</v>
      </c>
    </row>
    <row r="7847" spans="1:5" x14ac:dyDescent="0.25">
      <c r="A7847" s="2" t="s">
        <v>586</v>
      </c>
      <c r="B7847" s="6">
        <v>45784</v>
      </c>
      <c r="C7847" s="2" t="s">
        <v>607</v>
      </c>
      <c r="D7847" s="8">
        <v>-28648.75</v>
      </c>
      <c r="E7847" s="8">
        <f>E7846+(0-28648.75)</f>
        <v>191363861.10999945</v>
      </c>
    </row>
    <row r="7848" spans="1:5" x14ac:dyDescent="0.25">
      <c r="A7848" s="2" t="s">
        <v>586</v>
      </c>
      <c r="B7848" s="6">
        <v>45799</v>
      </c>
      <c r="C7848" s="2" t="s">
        <v>608</v>
      </c>
      <c r="D7848" s="8">
        <v>-300000</v>
      </c>
      <c r="E7848" s="8">
        <f>E7847+(0-300000)</f>
        <v>191063861.10999945</v>
      </c>
    </row>
    <row r="7849" spans="1:5" x14ac:dyDescent="0.25">
      <c r="A7849" s="2" t="s">
        <v>609</v>
      </c>
      <c r="B7849" s="6">
        <v>45751</v>
      </c>
      <c r="C7849" s="2" t="s">
        <v>590</v>
      </c>
      <c r="D7849" s="8">
        <v>-18946.41</v>
      </c>
      <c r="E7849" s="8">
        <f>E7848+(0-18946.41)</f>
        <v>191044914.69999945</v>
      </c>
    </row>
    <row r="7850" spans="1:5" x14ac:dyDescent="0.25">
      <c r="A7850" s="2" t="s">
        <v>610</v>
      </c>
      <c r="B7850" s="6">
        <v>43592</v>
      </c>
      <c r="C7850" s="2" t="s">
        <v>611</v>
      </c>
      <c r="D7850" s="8">
        <v>1000000</v>
      </c>
      <c r="E7850" s="8">
        <f>E7849+(1000000-0)</f>
        <v>192044914.69999945</v>
      </c>
    </row>
    <row r="7851" spans="1:5" x14ac:dyDescent="0.25">
      <c r="A7851" s="2" t="s">
        <v>610</v>
      </c>
      <c r="B7851" s="6">
        <v>44732</v>
      </c>
      <c r="C7851" s="2" t="s">
        <v>612</v>
      </c>
      <c r="D7851" s="8">
        <v>300000</v>
      </c>
      <c r="E7851" s="8">
        <f>E7850+(300000-0)</f>
        <v>192344914.69999945</v>
      </c>
    </row>
    <row r="7852" spans="1:5" x14ac:dyDescent="0.25">
      <c r="A7852" s="2" t="s">
        <v>610</v>
      </c>
      <c r="B7852" s="6">
        <v>44755</v>
      </c>
      <c r="C7852" s="2" t="s">
        <v>613</v>
      </c>
      <c r="D7852" s="8">
        <v>319800</v>
      </c>
      <c r="E7852" s="8">
        <f>E7851+(319800-0)</f>
        <v>192664714.69999945</v>
      </c>
    </row>
    <row r="7853" spans="1:5" x14ac:dyDescent="0.25">
      <c r="A7853" s="2" t="s">
        <v>614</v>
      </c>
      <c r="B7853" s="6">
        <v>43474</v>
      </c>
      <c r="C7853" s="2" t="s">
        <v>615</v>
      </c>
      <c r="D7853" s="8">
        <v>2300000</v>
      </c>
      <c r="E7853" s="8">
        <f>E7852+(2300000-0)</f>
        <v>194964714.69999945</v>
      </c>
    </row>
    <row r="7854" spans="1:5" x14ac:dyDescent="0.25">
      <c r="A7854" s="2" t="s">
        <v>614</v>
      </c>
      <c r="B7854" s="6">
        <v>43530</v>
      </c>
      <c r="C7854" s="2" t="s">
        <v>616</v>
      </c>
      <c r="D7854" s="8">
        <v>600000</v>
      </c>
      <c r="E7854" s="8">
        <f>E7853+(600000-0)</f>
        <v>195564714.69999945</v>
      </c>
    </row>
    <row r="7855" spans="1:5" x14ac:dyDescent="0.25">
      <c r="A7855" s="2" t="s">
        <v>614</v>
      </c>
      <c r="B7855" s="6">
        <v>43544</v>
      </c>
      <c r="C7855" s="2" t="s">
        <v>617</v>
      </c>
      <c r="D7855" s="8">
        <v>1000000</v>
      </c>
      <c r="E7855" s="8">
        <f>E7854+(1000000-0)</f>
        <v>196564714.69999945</v>
      </c>
    </row>
    <row r="7856" spans="1:5" x14ac:dyDescent="0.25">
      <c r="A7856" s="2" t="s">
        <v>614</v>
      </c>
      <c r="B7856" s="6">
        <v>43609</v>
      </c>
      <c r="C7856" s="2" t="s">
        <v>618</v>
      </c>
      <c r="D7856" s="8">
        <v>600000</v>
      </c>
      <c r="E7856" s="8">
        <f>E7855+(600000-0)</f>
        <v>197164714.69999945</v>
      </c>
    </row>
    <row r="7857" spans="1:5" x14ac:dyDescent="0.25">
      <c r="A7857" s="2" t="s">
        <v>614</v>
      </c>
      <c r="B7857" s="6">
        <v>43609</v>
      </c>
      <c r="C7857" s="2" t="s">
        <v>619</v>
      </c>
      <c r="D7857" s="8">
        <v>338500</v>
      </c>
      <c r="E7857" s="8">
        <f>E7856+(338500-0)</f>
        <v>197503214.69999945</v>
      </c>
    </row>
    <row r="7858" spans="1:5" x14ac:dyDescent="0.25">
      <c r="A7858" s="2" t="s">
        <v>614</v>
      </c>
      <c r="B7858" s="6">
        <v>43622</v>
      </c>
      <c r="C7858" s="2" t="s">
        <v>620</v>
      </c>
      <c r="D7858" s="8">
        <v>1046000</v>
      </c>
      <c r="E7858" s="8">
        <f>E7857+(1046000-0)</f>
        <v>198549214.69999945</v>
      </c>
    </row>
    <row r="7859" spans="1:5" x14ac:dyDescent="0.25">
      <c r="A7859" s="2" t="s">
        <v>614</v>
      </c>
      <c r="B7859" s="6">
        <v>43622</v>
      </c>
      <c r="C7859" s="2" t="s">
        <v>621</v>
      </c>
      <c r="D7859" s="8">
        <v>442024</v>
      </c>
      <c r="E7859" s="8">
        <f>E7858+(442024-0)</f>
        <v>198991238.69999945</v>
      </c>
    </row>
    <row r="7860" spans="1:5" x14ac:dyDescent="0.25">
      <c r="A7860" s="2" t="s">
        <v>614</v>
      </c>
      <c r="B7860" s="6">
        <v>43627</v>
      </c>
      <c r="C7860" s="2" t="s">
        <v>622</v>
      </c>
      <c r="D7860" s="8">
        <v>120000</v>
      </c>
      <c r="E7860" s="8">
        <f>E7859+(120000-0)</f>
        <v>199111238.69999945</v>
      </c>
    </row>
    <row r="7861" spans="1:5" x14ac:dyDescent="0.25">
      <c r="A7861" s="2" t="s">
        <v>614</v>
      </c>
      <c r="B7861" s="6">
        <v>43675</v>
      </c>
      <c r="C7861" s="2" t="s">
        <v>623</v>
      </c>
      <c r="D7861" s="8">
        <v>850000</v>
      </c>
      <c r="E7861" s="8">
        <f>E7860+(850000-0)</f>
        <v>199961238.69999945</v>
      </c>
    </row>
    <row r="7862" spans="1:5" x14ac:dyDescent="0.25">
      <c r="A7862" s="2" t="s">
        <v>614</v>
      </c>
      <c r="B7862" s="6">
        <v>43698</v>
      </c>
      <c r="C7862" s="2" t="s">
        <v>624</v>
      </c>
      <c r="D7862" s="8">
        <v>2750000</v>
      </c>
      <c r="E7862" s="8">
        <f>E7861+(2750000-0)</f>
        <v>202711238.69999945</v>
      </c>
    </row>
    <row r="7863" spans="1:5" x14ac:dyDescent="0.25">
      <c r="A7863" s="2" t="s">
        <v>614</v>
      </c>
      <c r="B7863" s="6">
        <v>43713</v>
      </c>
      <c r="C7863" s="2" t="s">
        <v>616</v>
      </c>
      <c r="D7863" s="8">
        <v>560000</v>
      </c>
      <c r="E7863" s="8">
        <f>E7862+(560000-0)</f>
        <v>203271238.69999945</v>
      </c>
    </row>
    <row r="7864" spans="1:5" x14ac:dyDescent="0.25">
      <c r="A7864" s="2" t="s">
        <v>614</v>
      </c>
      <c r="B7864" s="6">
        <v>43747</v>
      </c>
      <c r="C7864" s="2" t="s">
        <v>625</v>
      </c>
      <c r="D7864" s="8">
        <v>116250</v>
      </c>
      <c r="E7864" s="8">
        <f>E7863+(116250-0)</f>
        <v>203387488.69999945</v>
      </c>
    </row>
    <row r="7865" spans="1:5" x14ac:dyDescent="0.25">
      <c r="A7865" s="2" t="s">
        <v>614</v>
      </c>
      <c r="B7865" s="6">
        <v>43769</v>
      </c>
      <c r="C7865" s="2" t="s">
        <v>614</v>
      </c>
      <c r="D7865" s="8">
        <v>500000</v>
      </c>
      <c r="E7865" s="8">
        <f>E7864+(500000-0)</f>
        <v>203887488.69999945</v>
      </c>
    </row>
    <row r="7866" spans="1:5" x14ac:dyDescent="0.25">
      <c r="A7866" s="2" t="s">
        <v>614</v>
      </c>
      <c r="B7866" s="6">
        <v>43782</v>
      </c>
      <c r="C7866" s="2" t="s">
        <v>626</v>
      </c>
      <c r="D7866" s="8">
        <v>175530</v>
      </c>
      <c r="E7866" s="8">
        <f>E7865+(175530-0)</f>
        <v>204063018.69999945</v>
      </c>
    </row>
    <row r="7867" spans="1:5" x14ac:dyDescent="0.25">
      <c r="A7867" s="2" t="s">
        <v>614</v>
      </c>
      <c r="B7867" s="6">
        <v>43805</v>
      </c>
      <c r="C7867" s="2" t="s">
        <v>627</v>
      </c>
      <c r="D7867" s="8">
        <v>1000000</v>
      </c>
      <c r="E7867" s="8">
        <f>E7866+(1000000-0)</f>
        <v>205063018.69999945</v>
      </c>
    </row>
    <row r="7868" spans="1:5" x14ac:dyDescent="0.25">
      <c r="A7868" s="2" t="s">
        <v>614</v>
      </c>
      <c r="B7868" s="6">
        <v>43822</v>
      </c>
      <c r="C7868" s="2" t="s">
        <v>628</v>
      </c>
      <c r="D7868" s="8">
        <v>857350</v>
      </c>
      <c r="E7868" s="8">
        <f>E7867+(857350-0)</f>
        <v>205920368.69999945</v>
      </c>
    </row>
    <row r="7869" spans="1:5" x14ac:dyDescent="0.25">
      <c r="A7869" s="2" t="s">
        <v>614</v>
      </c>
      <c r="B7869" s="6">
        <v>43875</v>
      </c>
      <c r="C7869" s="2" t="s">
        <v>629</v>
      </c>
      <c r="D7869" s="8">
        <v>180525</v>
      </c>
      <c r="E7869" s="8">
        <f>E7868+(180525-0)</f>
        <v>206100893.69999945</v>
      </c>
    </row>
    <row r="7870" spans="1:5" x14ac:dyDescent="0.25">
      <c r="A7870" s="2" t="s">
        <v>614</v>
      </c>
      <c r="B7870" s="6">
        <v>43889</v>
      </c>
      <c r="C7870" s="2" t="s">
        <v>630</v>
      </c>
      <c r="D7870" s="8">
        <v>500000</v>
      </c>
      <c r="E7870" s="8">
        <f>E7869+(500000-0)</f>
        <v>206600893.69999945</v>
      </c>
    </row>
    <row r="7871" spans="1:5" x14ac:dyDescent="0.25">
      <c r="A7871" s="2" t="s">
        <v>614</v>
      </c>
      <c r="B7871" s="6">
        <v>43998</v>
      </c>
      <c r="C7871" s="2" t="s">
        <v>510</v>
      </c>
      <c r="D7871" s="8">
        <v>-600000</v>
      </c>
      <c r="E7871" s="8">
        <f>E7870+(0-600000)</f>
        <v>206000893.69999945</v>
      </c>
    </row>
    <row r="7872" spans="1:5" x14ac:dyDescent="0.25">
      <c r="A7872" s="2" t="s">
        <v>614</v>
      </c>
      <c r="B7872" s="6">
        <v>44073</v>
      </c>
      <c r="C7872" s="2" t="s">
        <v>510</v>
      </c>
      <c r="D7872" s="8">
        <v>-200000</v>
      </c>
      <c r="E7872" s="8">
        <f>E7871+(0-200000)</f>
        <v>205800893.69999945</v>
      </c>
    </row>
    <row r="7873" spans="1:5" x14ac:dyDescent="0.25">
      <c r="A7873" s="2" t="s">
        <v>614</v>
      </c>
      <c r="B7873" s="6">
        <v>44144</v>
      </c>
      <c r="C7873" s="2" t="s">
        <v>631</v>
      </c>
      <c r="D7873" s="8">
        <v>400000</v>
      </c>
      <c r="E7873" s="8">
        <f>E7872+(400000-0)</f>
        <v>206200893.69999945</v>
      </c>
    </row>
    <row r="7874" spans="1:5" x14ac:dyDescent="0.25">
      <c r="A7874" s="2" t="s">
        <v>614</v>
      </c>
      <c r="B7874" s="6">
        <v>44175</v>
      </c>
      <c r="C7874" s="2" t="s">
        <v>632</v>
      </c>
      <c r="D7874" s="8">
        <v>-5000000</v>
      </c>
      <c r="E7874" s="8">
        <f>E7873+(0-5000000)</f>
        <v>201200893.69999945</v>
      </c>
    </row>
    <row r="7875" spans="1:5" x14ac:dyDescent="0.25">
      <c r="A7875" s="2" t="s">
        <v>614</v>
      </c>
      <c r="B7875" s="6">
        <v>44176</v>
      </c>
      <c r="C7875" s="2" t="s">
        <v>633</v>
      </c>
      <c r="D7875" s="8">
        <v>2400000</v>
      </c>
      <c r="E7875" s="8">
        <f>E7874+(2400000-0)</f>
        <v>203600893.69999945</v>
      </c>
    </row>
    <row r="7876" spans="1:5" x14ac:dyDescent="0.25">
      <c r="A7876" s="2" t="s">
        <v>614</v>
      </c>
      <c r="B7876" s="6">
        <v>44214</v>
      </c>
      <c r="C7876" s="2" t="s">
        <v>634</v>
      </c>
      <c r="D7876" s="8">
        <v>938500</v>
      </c>
      <c r="E7876" s="8">
        <f>E7875+(938500-0)</f>
        <v>204539393.69999945</v>
      </c>
    </row>
    <row r="7877" spans="1:5" x14ac:dyDescent="0.25">
      <c r="A7877" s="2" t="s">
        <v>614</v>
      </c>
      <c r="B7877" s="6">
        <v>44271</v>
      </c>
      <c r="C7877" s="2" t="s">
        <v>635</v>
      </c>
      <c r="D7877" s="8">
        <v>435000</v>
      </c>
      <c r="E7877" s="8">
        <f>E7876+(435000-0)</f>
        <v>204974393.69999945</v>
      </c>
    </row>
    <row r="7878" spans="1:5" x14ac:dyDescent="0.25">
      <c r="A7878" s="2" t="s">
        <v>614</v>
      </c>
      <c r="B7878" s="6">
        <v>44313</v>
      </c>
      <c r="C7878" s="2" t="s">
        <v>636</v>
      </c>
      <c r="D7878" s="8">
        <v>-5000000</v>
      </c>
      <c r="E7878" s="8">
        <f>E7877+(0-5000000)</f>
        <v>199974393.69999945</v>
      </c>
    </row>
    <row r="7879" spans="1:5" x14ac:dyDescent="0.25">
      <c r="A7879" s="2" t="s">
        <v>614</v>
      </c>
      <c r="B7879" s="6">
        <v>44412</v>
      </c>
      <c r="C7879" s="2" t="s">
        <v>637</v>
      </c>
      <c r="D7879" s="8">
        <v>1000000</v>
      </c>
      <c r="E7879" s="8">
        <f>E7878+(1000000-0)</f>
        <v>200974393.69999945</v>
      </c>
    </row>
    <row r="7880" spans="1:5" x14ac:dyDescent="0.25">
      <c r="A7880" s="2" t="s">
        <v>614</v>
      </c>
      <c r="B7880" s="6">
        <v>44414</v>
      </c>
      <c r="C7880" s="2" t="s">
        <v>638</v>
      </c>
      <c r="D7880" s="8">
        <v>150000</v>
      </c>
      <c r="E7880" s="8">
        <f>E7879+(150000-0)</f>
        <v>201124393.69999945</v>
      </c>
    </row>
    <row r="7881" spans="1:5" x14ac:dyDescent="0.25">
      <c r="A7881" s="2" t="s">
        <v>614</v>
      </c>
      <c r="B7881" s="6">
        <v>44476</v>
      </c>
      <c r="C7881" s="2" t="s">
        <v>639</v>
      </c>
      <c r="D7881" s="8">
        <v>120000</v>
      </c>
      <c r="E7881" s="8">
        <f>E7880+(120000-0)</f>
        <v>201244393.69999945</v>
      </c>
    </row>
    <row r="7882" spans="1:5" x14ac:dyDescent="0.25">
      <c r="A7882" s="2" t="s">
        <v>614</v>
      </c>
      <c r="B7882" s="6">
        <v>44496</v>
      </c>
      <c r="C7882" s="2" t="s">
        <v>640</v>
      </c>
      <c r="D7882" s="8">
        <v>680000</v>
      </c>
      <c r="E7882" s="8">
        <f>E7881+(680000-0)</f>
        <v>201924393.69999945</v>
      </c>
    </row>
    <row r="7883" spans="1:5" x14ac:dyDescent="0.25">
      <c r="A7883" s="2" t="s">
        <v>614</v>
      </c>
      <c r="B7883" s="6">
        <v>44522</v>
      </c>
      <c r="C7883" s="2" t="s">
        <v>641</v>
      </c>
      <c r="D7883" s="8">
        <v>100000</v>
      </c>
      <c r="E7883" s="8">
        <f>E7882+(100000-0)</f>
        <v>202024393.69999945</v>
      </c>
    </row>
    <row r="7884" spans="1:5" x14ac:dyDescent="0.25">
      <c r="A7884" s="2" t="s">
        <v>614</v>
      </c>
      <c r="B7884" s="6">
        <v>44571</v>
      </c>
      <c r="C7884" s="2" t="s">
        <v>642</v>
      </c>
      <c r="D7884" s="8">
        <v>2000000</v>
      </c>
      <c r="E7884" s="8">
        <f>E7883+(2000000-0)</f>
        <v>204024393.69999945</v>
      </c>
    </row>
    <row r="7885" spans="1:5" x14ac:dyDescent="0.25">
      <c r="A7885" s="2" t="s">
        <v>614</v>
      </c>
      <c r="B7885" s="6">
        <v>44571</v>
      </c>
      <c r="C7885" s="2" t="s">
        <v>643</v>
      </c>
      <c r="D7885" s="8">
        <v>390000</v>
      </c>
      <c r="E7885" s="8">
        <f>E7884+(390000-0)</f>
        <v>204414393.69999945</v>
      </c>
    </row>
    <row r="7886" spans="1:5" x14ac:dyDescent="0.25">
      <c r="A7886" s="2" t="s">
        <v>614</v>
      </c>
      <c r="B7886" s="6">
        <v>44687</v>
      </c>
      <c r="C7886" s="2" t="s">
        <v>644</v>
      </c>
      <c r="D7886" s="8">
        <v>800000</v>
      </c>
      <c r="E7886" s="8">
        <f>E7885+(800000-0)</f>
        <v>205214393.69999945</v>
      </c>
    </row>
    <row r="7887" spans="1:5" x14ac:dyDescent="0.25">
      <c r="A7887" s="2" t="s">
        <v>614</v>
      </c>
      <c r="B7887" s="6">
        <v>44741</v>
      </c>
      <c r="C7887" s="2" t="s">
        <v>645</v>
      </c>
      <c r="D7887" s="8">
        <v>500000</v>
      </c>
      <c r="E7887" s="8">
        <f>E7886+(500000-0)</f>
        <v>205714393.69999945</v>
      </c>
    </row>
    <row r="7888" spans="1:5" x14ac:dyDescent="0.25">
      <c r="A7888" s="2" t="s">
        <v>614</v>
      </c>
      <c r="B7888" s="6">
        <v>44784</v>
      </c>
      <c r="C7888" s="2" t="s">
        <v>645</v>
      </c>
      <c r="D7888" s="8">
        <v>200000</v>
      </c>
      <c r="E7888" s="8">
        <f>E7887+(200000-0)</f>
        <v>205914393.69999945</v>
      </c>
    </row>
    <row r="7889" spans="1:5" x14ac:dyDescent="0.25">
      <c r="A7889" s="2" t="s">
        <v>614</v>
      </c>
      <c r="B7889" s="6">
        <v>44784</v>
      </c>
      <c r="C7889" s="2" t="s">
        <v>646</v>
      </c>
      <c r="D7889" s="8">
        <v>200000</v>
      </c>
      <c r="E7889" s="8">
        <f>E7888+(200000-0)</f>
        <v>206114393.69999945</v>
      </c>
    </row>
    <row r="7890" spans="1:5" x14ac:dyDescent="0.25">
      <c r="A7890" s="2" t="s">
        <v>614</v>
      </c>
      <c r="B7890" s="6">
        <v>44788</v>
      </c>
      <c r="C7890" s="2" t="s">
        <v>647</v>
      </c>
      <c r="D7890" s="8">
        <v>450000</v>
      </c>
      <c r="E7890" s="8">
        <f>E7889+(450000-0)</f>
        <v>206564393.69999945</v>
      </c>
    </row>
    <row r="7891" spans="1:5" x14ac:dyDescent="0.25">
      <c r="A7891" s="2" t="s">
        <v>614</v>
      </c>
      <c r="B7891" s="6">
        <v>44791</v>
      </c>
      <c r="C7891" s="2" t="s">
        <v>648</v>
      </c>
      <c r="D7891" s="8">
        <v>500000</v>
      </c>
      <c r="E7891" s="8">
        <f>E7890+(500000-0)</f>
        <v>207064393.69999945</v>
      </c>
    </row>
    <row r="7892" spans="1:5" x14ac:dyDescent="0.25">
      <c r="A7892" s="2" t="s">
        <v>614</v>
      </c>
      <c r="B7892" s="6">
        <v>44795</v>
      </c>
      <c r="C7892" s="2" t="s">
        <v>647</v>
      </c>
      <c r="D7892" s="8">
        <v>205000</v>
      </c>
      <c r="E7892" s="8">
        <f>E7891+(205000-0)</f>
        <v>207269393.69999945</v>
      </c>
    </row>
    <row r="7893" spans="1:5" x14ac:dyDescent="0.25">
      <c r="A7893" s="2" t="s">
        <v>614</v>
      </c>
      <c r="B7893" s="6">
        <v>44802</v>
      </c>
      <c r="C7893" s="2" t="s">
        <v>645</v>
      </c>
      <c r="D7893" s="8">
        <v>100000</v>
      </c>
      <c r="E7893" s="8">
        <f>E7892+(100000-0)</f>
        <v>207369393.69999945</v>
      </c>
    </row>
    <row r="7894" spans="1:5" x14ac:dyDescent="0.25">
      <c r="A7894" s="2" t="s">
        <v>614</v>
      </c>
      <c r="B7894" s="6">
        <v>44816</v>
      </c>
      <c r="C7894" s="2" t="s">
        <v>649</v>
      </c>
      <c r="D7894" s="8">
        <v>4100500</v>
      </c>
      <c r="E7894" s="8">
        <f>E7893+(4100500-0)</f>
        <v>211469893.69999945</v>
      </c>
    </row>
    <row r="7895" spans="1:5" x14ac:dyDescent="0.25">
      <c r="A7895" s="2" t="s">
        <v>614</v>
      </c>
      <c r="B7895" s="6">
        <v>44817</v>
      </c>
      <c r="C7895" s="2" t="s">
        <v>650</v>
      </c>
      <c r="D7895" s="8">
        <v>360000</v>
      </c>
      <c r="E7895" s="8">
        <f>E7894+(360000-0)</f>
        <v>211829893.69999945</v>
      </c>
    </row>
    <row r="7896" spans="1:5" x14ac:dyDescent="0.25">
      <c r="A7896" s="2" t="s">
        <v>614</v>
      </c>
      <c r="B7896" s="6">
        <v>44827</v>
      </c>
      <c r="C7896" s="2" t="s">
        <v>625</v>
      </c>
      <c r="D7896" s="8">
        <v>104506</v>
      </c>
      <c r="E7896" s="8">
        <f>E7895+(104506-0)</f>
        <v>211934399.69999945</v>
      </c>
    </row>
    <row r="7897" spans="1:5" x14ac:dyDescent="0.25">
      <c r="A7897" s="2" t="s">
        <v>614</v>
      </c>
      <c r="B7897" s="6">
        <v>44832</v>
      </c>
      <c r="C7897" s="2" t="s">
        <v>645</v>
      </c>
      <c r="D7897" s="8">
        <v>200000</v>
      </c>
      <c r="E7897" s="8">
        <f>E7896+(200000-0)</f>
        <v>212134399.69999945</v>
      </c>
    </row>
    <row r="7898" spans="1:5" x14ac:dyDescent="0.25">
      <c r="A7898" s="2" t="s">
        <v>614</v>
      </c>
      <c r="B7898" s="6">
        <v>44909</v>
      </c>
      <c r="C7898" s="2" t="s">
        <v>651</v>
      </c>
      <c r="D7898" s="8">
        <v>292000</v>
      </c>
      <c r="E7898" s="8">
        <f>E7897+(292000-0)</f>
        <v>212426399.69999945</v>
      </c>
    </row>
    <row r="7899" spans="1:5" x14ac:dyDescent="0.25">
      <c r="A7899" s="2" t="s">
        <v>614</v>
      </c>
      <c r="B7899" s="6">
        <v>44958</v>
      </c>
      <c r="C7899" s="2" t="s">
        <v>645</v>
      </c>
      <c r="D7899" s="8">
        <v>200000</v>
      </c>
      <c r="E7899" s="8">
        <f>E7898+(200000-0)</f>
        <v>212626399.69999945</v>
      </c>
    </row>
    <row r="7900" spans="1:5" x14ac:dyDescent="0.25">
      <c r="A7900" s="2" t="s">
        <v>614</v>
      </c>
      <c r="B7900" s="6">
        <v>44963</v>
      </c>
      <c r="C7900" s="2" t="s">
        <v>652</v>
      </c>
      <c r="D7900" s="8">
        <v>150000</v>
      </c>
      <c r="E7900" s="8">
        <f>E7899+(150000-0)</f>
        <v>212776399.69999945</v>
      </c>
    </row>
    <row r="7901" spans="1:5" x14ac:dyDescent="0.25">
      <c r="A7901" s="2" t="s">
        <v>614</v>
      </c>
      <c r="B7901" s="6">
        <v>45014</v>
      </c>
      <c r="C7901" s="2" t="s">
        <v>653</v>
      </c>
      <c r="D7901" s="8">
        <v>1500000</v>
      </c>
      <c r="E7901" s="8">
        <f>E7900+(1500000-0)</f>
        <v>214276399.69999945</v>
      </c>
    </row>
    <row r="7902" spans="1:5" x14ac:dyDescent="0.25">
      <c r="A7902" s="2" t="s">
        <v>614</v>
      </c>
      <c r="B7902" s="6">
        <v>45016</v>
      </c>
      <c r="C7902" s="2" t="s">
        <v>650</v>
      </c>
      <c r="D7902" s="8">
        <v>5000000</v>
      </c>
      <c r="E7902" s="8">
        <f>E7901+(5000000-0)</f>
        <v>219276399.69999945</v>
      </c>
    </row>
    <row r="7903" spans="1:5" x14ac:dyDescent="0.25">
      <c r="A7903" s="2" t="s">
        <v>614</v>
      </c>
      <c r="B7903" s="6">
        <v>45019</v>
      </c>
      <c r="C7903" s="2" t="s">
        <v>616</v>
      </c>
      <c r="D7903" s="8">
        <v>150000</v>
      </c>
      <c r="E7903" s="8">
        <f>E7902+(150000-0)</f>
        <v>219426399.69999945</v>
      </c>
    </row>
    <row r="7904" spans="1:5" x14ac:dyDescent="0.25">
      <c r="A7904" s="2" t="s">
        <v>614</v>
      </c>
      <c r="B7904" s="6">
        <v>45020</v>
      </c>
      <c r="C7904" s="2" t="s">
        <v>654</v>
      </c>
      <c r="D7904" s="8">
        <v>570000</v>
      </c>
      <c r="E7904" s="8">
        <f>E7903+(570000-0)</f>
        <v>219996399.69999945</v>
      </c>
    </row>
    <row r="7905" spans="1:5" x14ac:dyDescent="0.25">
      <c r="A7905" s="2" t="s">
        <v>614</v>
      </c>
      <c r="B7905" s="6">
        <v>45086</v>
      </c>
      <c r="C7905" s="2" t="s">
        <v>655</v>
      </c>
      <c r="D7905" s="8">
        <v>204600</v>
      </c>
      <c r="E7905" s="8">
        <f>E7904+(204600-0)</f>
        <v>220200999.69999945</v>
      </c>
    </row>
    <row r="7906" spans="1:5" x14ac:dyDescent="0.25">
      <c r="A7906" s="2" t="s">
        <v>614</v>
      </c>
      <c r="B7906" s="6">
        <v>45107</v>
      </c>
      <c r="C7906" s="2" t="s">
        <v>656</v>
      </c>
      <c r="D7906" s="8">
        <v>1079881</v>
      </c>
      <c r="E7906" s="8">
        <f>E7905+(1079881-0)</f>
        <v>221280880.69999945</v>
      </c>
    </row>
    <row r="7907" spans="1:5" x14ac:dyDescent="0.25">
      <c r="A7907" s="2" t="s">
        <v>614</v>
      </c>
      <c r="B7907" s="6">
        <v>45133</v>
      </c>
      <c r="C7907" s="2" t="s">
        <v>657</v>
      </c>
      <c r="D7907" s="8">
        <v>-35000000</v>
      </c>
      <c r="E7907" s="8">
        <f>E7906+(0-35000000)</f>
        <v>186280880.69999945</v>
      </c>
    </row>
    <row r="7908" spans="1:5" x14ac:dyDescent="0.25">
      <c r="A7908" s="2" t="s">
        <v>614</v>
      </c>
      <c r="B7908" s="6">
        <v>45154</v>
      </c>
      <c r="C7908" s="2" t="s">
        <v>645</v>
      </c>
      <c r="D7908" s="8">
        <v>400000</v>
      </c>
      <c r="E7908" s="8">
        <f>E7907+(400000-0)</f>
        <v>186680880.69999945</v>
      </c>
    </row>
    <row r="7909" spans="1:5" x14ac:dyDescent="0.25">
      <c r="A7909" s="2" t="s">
        <v>614</v>
      </c>
      <c r="B7909" s="6">
        <v>45250</v>
      </c>
      <c r="C7909" s="2" t="s">
        <v>616</v>
      </c>
      <c r="D7909" s="8">
        <v>310000</v>
      </c>
      <c r="E7909" s="8">
        <f>E7908+(310000-0)</f>
        <v>186990880.69999945</v>
      </c>
    </row>
    <row r="7910" spans="1:5" x14ac:dyDescent="0.25">
      <c r="A7910" s="2" t="s">
        <v>614</v>
      </c>
      <c r="B7910" s="6">
        <v>45281</v>
      </c>
      <c r="C7910" s="2" t="s">
        <v>658</v>
      </c>
      <c r="D7910" s="8">
        <v>1000000</v>
      </c>
      <c r="E7910" s="8">
        <f>E7909+(1000000-0)</f>
        <v>187990880.69999945</v>
      </c>
    </row>
    <row r="7911" spans="1:5" x14ac:dyDescent="0.25">
      <c r="A7911" s="2" t="s">
        <v>614</v>
      </c>
      <c r="B7911" s="6">
        <v>45357</v>
      </c>
      <c r="C7911" s="2" t="s">
        <v>659</v>
      </c>
      <c r="D7911" s="8">
        <v>90000</v>
      </c>
      <c r="E7911" s="8">
        <f>E7910+(90000-0)</f>
        <v>188080880.69999945</v>
      </c>
    </row>
    <row r="7912" spans="1:5" x14ac:dyDescent="0.25">
      <c r="A7912" s="2" t="s">
        <v>614</v>
      </c>
      <c r="B7912" s="6">
        <v>45412</v>
      </c>
      <c r="C7912" s="2" t="s">
        <v>660</v>
      </c>
      <c r="D7912" s="8">
        <v>250000</v>
      </c>
      <c r="E7912" s="8">
        <f>E7911+(250000-0)</f>
        <v>188330880.69999945</v>
      </c>
    </row>
    <row r="7913" spans="1:5" x14ac:dyDescent="0.25">
      <c r="A7913" s="2" t="s">
        <v>614</v>
      </c>
      <c r="B7913" s="6">
        <v>45414</v>
      </c>
      <c r="C7913" s="2" t="s">
        <v>661</v>
      </c>
      <c r="D7913" s="8">
        <v>100000</v>
      </c>
      <c r="E7913" s="8">
        <f>E7912+(100000-0)</f>
        <v>188430880.69999945</v>
      </c>
    </row>
    <row r="7914" spans="1:5" x14ac:dyDescent="0.25">
      <c r="A7914" s="2" t="s">
        <v>614</v>
      </c>
      <c r="B7914" s="6">
        <v>45434</v>
      </c>
      <c r="C7914" s="2" t="s">
        <v>662</v>
      </c>
      <c r="D7914" s="8">
        <v>-750000</v>
      </c>
      <c r="E7914" s="8">
        <f>E7913+(0-750000)</f>
        <v>187680880.69999945</v>
      </c>
    </row>
    <row r="7915" spans="1:5" x14ac:dyDescent="0.25">
      <c r="A7915" s="2" t="s">
        <v>614</v>
      </c>
      <c r="B7915" s="6">
        <v>45435</v>
      </c>
      <c r="C7915" s="2" t="s">
        <v>663</v>
      </c>
      <c r="D7915" s="8">
        <v>2000000</v>
      </c>
      <c r="E7915" s="8">
        <f>E7914+(2000000-0)</f>
        <v>189680880.69999945</v>
      </c>
    </row>
    <row r="7916" spans="1:5" x14ac:dyDescent="0.25">
      <c r="A7916" s="2" t="s">
        <v>614</v>
      </c>
      <c r="B7916" s="6">
        <v>45439</v>
      </c>
      <c r="C7916" s="2" t="s">
        <v>662</v>
      </c>
      <c r="D7916" s="8">
        <v>-250000</v>
      </c>
      <c r="E7916" s="8">
        <f>E7915+(0-250000)</f>
        <v>189430880.69999945</v>
      </c>
    </row>
    <row r="7917" spans="1:5" x14ac:dyDescent="0.25">
      <c r="A7917" s="2" t="s">
        <v>614</v>
      </c>
      <c r="B7917" s="6">
        <v>45441</v>
      </c>
      <c r="C7917" s="2" t="s">
        <v>657</v>
      </c>
      <c r="D7917" s="8">
        <v>-102200000</v>
      </c>
      <c r="E7917" s="8">
        <f>E7916+(0-102200000)</f>
        <v>87230880.699999452</v>
      </c>
    </row>
    <row r="7918" spans="1:5" x14ac:dyDescent="0.25">
      <c r="A7918" s="2" t="s">
        <v>614</v>
      </c>
      <c r="B7918" s="6">
        <v>45442</v>
      </c>
      <c r="C7918" s="2" t="s">
        <v>664</v>
      </c>
      <c r="D7918" s="8">
        <v>-2100000</v>
      </c>
      <c r="E7918" s="8">
        <f>E7917+(0-2100000)</f>
        <v>85130880.699999452</v>
      </c>
    </row>
    <row r="7919" spans="1:5" x14ac:dyDescent="0.25">
      <c r="A7919" s="2" t="s">
        <v>614</v>
      </c>
      <c r="B7919" s="6">
        <v>45443</v>
      </c>
      <c r="C7919" s="2" t="s">
        <v>665</v>
      </c>
      <c r="D7919" s="8">
        <v>400000</v>
      </c>
      <c r="E7919" s="8">
        <f>E7918+(400000-0)</f>
        <v>85530880.699999452</v>
      </c>
    </row>
    <row r="7920" spans="1:5" x14ac:dyDescent="0.25">
      <c r="A7920" s="2" t="s">
        <v>614</v>
      </c>
      <c r="B7920" s="6">
        <v>45470</v>
      </c>
      <c r="C7920" s="2" t="s">
        <v>666</v>
      </c>
      <c r="D7920" s="8">
        <v>1288048.3700000001</v>
      </c>
      <c r="E7920" s="8">
        <f>E7919+(1288048.37-0)</f>
        <v>86818929.069999456</v>
      </c>
    </row>
    <row r="7921" spans="1:5" x14ac:dyDescent="0.25">
      <c r="A7921" s="2" t="s">
        <v>614</v>
      </c>
      <c r="B7921" s="6">
        <v>45471</v>
      </c>
      <c r="C7921" s="2" t="s">
        <v>667</v>
      </c>
      <c r="D7921" s="8">
        <v>2000000</v>
      </c>
      <c r="E7921" s="8">
        <f>E7920+(2000000-0)</f>
        <v>88818929.069999456</v>
      </c>
    </row>
    <row r="7922" spans="1:5" x14ac:dyDescent="0.25">
      <c r="A7922" s="2" t="s">
        <v>614</v>
      </c>
      <c r="B7922" s="6">
        <v>45471</v>
      </c>
      <c r="C7922" s="2" t="s">
        <v>668</v>
      </c>
      <c r="D7922" s="8">
        <v>290000</v>
      </c>
      <c r="E7922" s="8">
        <f>E7921+(290000-0)</f>
        <v>89108929.069999456</v>
      </c>
    </row>
    <row r="7923" spans="1:5" x14ac:dyDescent="0.25">
      <c r="A7923" s="2" t="s">
        <v>614</v>
      </c>
      <c r="B7923" s="6">
        <v>45483</v>
      </c>
      <c r="C7923" s="2" t="s">
        <v>664</v>
      </c>
      <c r="D7923" s="8">
        <v>-10000000</v>
      </c>
      <c r="E7923" s="8">
        <f>E7922+(0-10000000)</f>
        <v>79108929.069999456</v>
      </c>
    </row>
    <row r="7924" spans="1:5" x14ac:dyDescent="0.25">
      <c r="A7924" s="2" t="s">
        <v>614</v>
      </c>
      <c r="B7924" s="6">
        <v>45491</v>
      </c>
      <c r="C7924" s="2" t="s">
        <v>669</v>
      </c>
      <c r="D7924" s="8">
        <v>-91000000</v>
      </c>
      <c r="E7924" s="8">
        <f>E7923+(0-91000000)</f>
        <v>-11891070.930000544</v>
      </c>
    </row>
    <row r="7925" spans="1:5" x14ac:dyDescent="0.25">
      <c r="A7925" s="2" t="s">
        <v>614</v>
      </c>
      <c r="B7925" s="6">
        <v>45573</v>
      </c>
      <c r="C7925" s="2" t="s">
        <v>670</v>
      </c>
      <c r="D7925" s="8">
        <v>12000000</v>
      </c>
      <c r="E7925" s="8">
        <f>E7924+(12000000-0)</f>
        <v>108929.06999945641</v>
      </c>
    </row>
    <row r="7926" spans="1:5" x14ac:dyDescent="0.25">
      <c r="A7926" s="2" t="s">
        <v>614</v>
      </c>
      <c r="B7926" s="6">
        <v>45602</v>
      </c>
      <c r="C7926" s="2" t="s">
        <v>671</v>
      </c>
      <c r="D7926" s="8">
        <v>60000</v>
      </c>
      <c r="E7926" s="8">
        <f>E7925+(60000-0)</f>
        <v>168929.06999945641</v>
      </c>
    </row>
    <row r="7927" spans="1:5" x14ac:dyDescent="0.25">
      <c r="A7927" s="2" t="s">
        <v>614</v>
      </c>
      <c r="B7927" s="6">
        <v>45720</v>
      </c>
      <c r="C7927" s="2" t="s">
        <v>672</v>
      </c>
      <c r="D7927" s="8">
        <v>504355</v>
      </c>
      <c r="E7927" s="8">
        <f>E7926+(504355-0)</f>
        <v>673284.06999945641</v>
      </c>
    </row>
    <row r="7928" spans="1:5" x14ac:dyDescent="0.25">
      <c r="A7928" s="2" t="s">
        <v>614</v>
      </c>
      <c r="B7928" s="6">
        <v>45749</v>
      </c>
      <c r="C7928" s="2" t="s">
        <v>616</v>
      </c>
      <c r="D7928" s="8">
        <v>370000</v>
      </c>
      <c r="E7928" s="8">
        <f>E7927+(370000-0)</f>
        <v>1043284.0699994564</v>
      </c>
    </row>
    <row r="7929" spans="1:5" x14ac:dyDescent="0.25">
      <c r="A7929" s="2" t="s">
        <v>614</v>
      </c>
      <c r="B7929" s="6">
        <v>45813</v>
      </c>
      <c r="C7929" s="2" t="s">
        <v>673</v>
      </c>
      <c r="D7929" s="8">
        <v>400000</v>
      </c>
      <c r="E7929" s="8">
        <f>E7928+(400000-0)</f>
        <v>1443284.0699994564</v>
      </c>
    </row>
    <row r="7930" spans="1:5" x14ac:dyDescent="0.25">
      <c r="A7930" s="2" t="s">
        <v>614</v>
      </c>
      <c r="B7930" s="6">
        <v>45965</v>
      </c>
      <c r="C7930" s="2" t="s">
        <v>674</v>
      </c>
      <c r="D7930" s="8">
        <v>5000000</v>
      </c>
      <c r="E7930" s="8">
        <f>E7929+(5000000-0)</f>
        <v>6443284.0699994564</v>
      </c>
    </row>
    <row r="7931" spans="1:5" x14ac:dyDescent="0.25">
      <c r="A7931" s="2" t="s">
        <v>614</v>
      </c>
      <c r="B7931" s="6">
        <v>45971</v>
      </c>
      <c r="C7931" s="2" t="s">
        <v>675</v>
      </c>
      <c r="D7931" s="8">
        <v>8000000</v>
      </c>
      <c r="E7931" s="8">
        <f>E7930+(8000000-0)</f>
        <v>14443284.069999456</v>
      </c>
    </row>
    <row r="7932" spans="1:5" x14ac:dyDescent="0.25">
      <c r="A7932" s="2" t="s">
        <v>614</v>
      </c>
      <c r="B7932" s="6">
        <v>45971</v>
      </c>
      <c r="C7932" s="2" t="s">
        <v>675</v>
      </c>
      <c r="D7932" s="8">
        <v>4300000</v>
      </c>
      <c r="E7932" s="8">
        <f>E7931+(4300000-0)</f>
        <v>18743284.069999456</v>
      </c>
    </row>
    <row r="7933" spans="1:5" x14ac:dyDescent="0.25">
      <c r="A7933" s="2" t="s">
        <v>676</v>
      </c>
      <c r="B7933" s="6">
        <v>45328</v>
      </c>
      <c r="C7933" s="2" t="s">
        <v>677</v>
      </c>
      <c r="D7933" s="8">
        <v>-1400000</v>
      </c>
      <c r="E7933" s="8">
        <f>E7932+(0-1400000)</f>
        <v>17343284.069999456</v>
      </c>
    </row>
    <row r="7934" spans="1:5" x14ac:dyDescent="0.25">
      <c r="A7934" s="2" t="s">
        <v>678</v>
      </c>
      <c r="B7934" s="6">
        <v>44907</v>
      </c>
      <c r="C7934" s="2" t="s">
        <v>679</v>
      </c>
      <c r="D7934" s="8">
        <v>-252000</v>
      </c>
      <c r="E7934" s="8">
        <f>E7933+(0-252000)</f>
        <v>17091284.069999456</v>
      </c>
    </row>
    <row r="7935" spans="1:5" x14ac:dyDescent="0.25">
      <c r="A7935" s="2" t="s">
        <v>680</v>
      </c>
      <c r="B7935" s="6">
        <v>45763</v>
      </c>
      <c r="C7935" s="2" t="s">
        <v>681</v>
      </c>
      <c r="D7935" s="8">
        <v>404654</v>
      </c>
      <c r="E7935" s="8">
        <f>E7934+(404654-0)</f>
        <v>17495938.069999456</v>
      </c>
    </row>
    <row r="7936" spans="1:5" x14ac:dyDescent="0.25">
      <c r="A7936" s="2" t="s">
        <v>682</v>
      </c>
      <c r="B7936" s="6">
        <v>45944</v>
      </c>
      <c r="C7936" s="2" t="s">
        <v>683</v>
      </c>
      <c r="D7936" s="8">
        <v>10200000</v>
      </c>
      <c r="E7936" s="8">
        <f>E7935+(10200000-0)</f>
        <v>27695938.069999456</v>
      </c>
    </row>
    <row r="7937" spans="1:5" x14ac:dyDescent="0.25">
      <c r="A7937" s="2" t="s">
        <v>684</v>
      </c>
      <c r="B7937" s="6">
        <v>45366</v>
      </c>
      <c r="C7937" s="2" t="s">
        <v>685</v>
      </c>
      <c r="D7937" s="8">
        <v>1000000</v>
      </c>
      <c r="E7937" s="8">
        <f>E7936+(1000000-0)</f>
        <v>28695938.069999456</v>
      </c>
    </row>
    <row r="7938" spans="1:5" x14ac:dyDescent="0.25">
      <c r="A7938" s="2" t="s">
        <v>686</v>
      </c>
      <c r="B7938" s="6">
        <v>45313</v>
      </c>
      <c r="C7938" s="2" t="s">
        <v>687</v>
      </c>
      <c r="D7938" s="8">
        <v>1300000</v>
      </c>
      <c r="E7938" s="8">
        <f>E7937+(1300000-0)</f>
        <v>29995938.069999456</v>
      </c>
    </row>
    <row r="7939" spans="1:5" x14ac:dyDescent="0.25">
      <c r="A7939" s="2" t="s">
        <v>688</v>
      </c>
      <c r="B7939" s="6">
        <v>45246</v>
      </c>
      <c r="C7939" s="2" t="s">
        <v>689</v>
      </c>
      <c r="D7939" s="8">
        <v>4650000</v>
      </c>
      <c r="E7939" s="8">
        <f>E7938+(4650000-0)</f>
        <v>34645938.069999456</v>
      </c>
    </row>
    <row r="7940" spans="1:5" x14ac:dyDescent="0.25">
      <c r="A7940" s="2" t="s">
        <v>690</v>
      </c>
      <c r="B7940" s="6">
        <v>45261</v>
      </c>
      <c r="C7940" s="2" t="s">
        <v>689</v>
      </c>
      <c r="D7940" s="8">
        <v>450000</v>
      </c>
      <c r="E7940" s="8">
        <f>E7939+(450000-0)</f>
        <v>35095938.069999456</v>
      </c>
    </row>
    <row r="7941" spans="1:5" x14ac:dyDescent="0.25">
      <c r="A7941" s="2" t="s">
        <v>691</v>
      </c>
      <c r="B7941" s="6">
        <v>44970</v>
      </c>
      <c r="C7941" s="2" t="s">
        <v>692</v>
      </c>
      <c r="D7941" s="8">
        <v>34700</v>
      </c>
      <c r="E7941" s="8">
        <f>E7940+(34700-0)</f>
        <v>35130638.069999456</v>
      </c>
    </row>
    <row r="7942" spans="1:5" x14ac:dyDescent="0.25">
      <c r="A7942" s="2" t="s">
        <v>693</v>
      </c>
      <c r="B7942" s="6">
        <v>43734</v>
      </c>
      <c r="C7942" s="2" t="s">
        <v>694</v>
      </c>
      <c r="D7942" s="8">
        <v>5829695.0700000003</v>
      </c>
      <c r="E7942" s="8">
        <f>E7941+(5829695.07-0)</f>
        <v>40960333.139999457</v>
      </c>
    </row>
    <row r="7943" spans="1:5" x14ac:dyDescent="0.25">
      <c r="A7943" s="2" t="s">
        <v>695</v>
      </c>
      <c r="B7943" s="6">
        <v>44560</v>
      </c>
      <c r="C7943" s="2" t="s">
        <v>696</v>
      </c>
      <c r="D7943" s="8">
        <v>192404.73</v>
      </c>
      <c r="E7943" s="8">
        <f>E7942+(192404.73-0)</f>
        <v>41152737.869999453</v>
      </c>
    </row>
    <row r="7944" spans="1:5" x14ac:dyDescent="0.25">
      <c r="A7944" s="2" t="s">
        <v>697</v>
      </c>
      <c r="B7944" s="6">
        <v>45638</v>
      </c>
      <c r="C7944" s="2" t="s">
        <v>698</v>
      </c>
      <c r="D7944" s="8">
        <v>29730</v>
      </c>
      <c r="E7944" s="8">
        <f>E7943+(29730-0)</f>
        <v>41182467.869999453</v>
      </c>
    </row>
    <row r="7945" spans="1:5" x14ac:dyDescent="0.25">
      <c r="A7945" s="2" t="s">
        <v>699</v>
      </c>
      <c r="B7945" s="6">
        <v>45608</v>
      </c>
      <c r="C7945" s="2" t="s">
        <v>700</v>
      </c>
      <c r="D7945" s="8">
        <v>24400</v>
      </c>
      <c r="E7945" s="8">
        <f>E7944+(24400-0)</f>
        <v>41206867.869999453</v>
      </c>
    </row>
    <row r="7946" spans="1:5" x14ac:dyDescent="0.25">
      <c r="A7946" s="2" t="s">
        <v>699</v>
      </c>
      <c r="B7946" s="6">
        <v>45610</v>
      </c>
      <c r="C7946" s="2" t="s">
        <v>701</v>
      </c>
      <c r="D7946" s="8">
        <v>27000</v>
      </c>
      <c r="E7946" s="8">
        <f>E7945+(27000-0)</f>
        <v>41233867.869999453</v>
      </c>
    </row>
    <row r="7947" spans="1:5" x14ac:dyDescent="0.25">
      <c r="A7947" s="2" t="s">
        <v>702</v>
      </c>
      <c r="B7947" s="6">
        <v>44867</v>
      </c>
      <c r="C7947" s="2" t="s">
        <v>703</v>
      </c>
      <c r="D7947" s="8">
        <v>1000000</v>
      </c>
      <c r="E7947" s="8">
        <f>E7946+(1000000-0)</f>
        <v>42233867.869999453</v>
      </c>
    </row>
    <row r="7948" spans="1:5" x14ac:dyDescent="0.25">
      <c r="A7948" s="2" t="s">
        <v>704</v>
      </c>
      <c r="B7948" s="6">
        <v>45422</v>
      </c>
      <c r="C7948" s="2" t="s">
        <v>664</v>
      </c>
      <c r="D7948" s="8">
        <v>-220950000</v>
      </c>
      <c r="E7948" s="8">
        <f>E7947+(0-220950000)</f>
        <v>-178716132.13000053</v>
      </c>
    </row>
    <row r="7949" spans="1:5" x14ac:dyDescent="0.25">
      <c r="A7949" s="2" t="s">
        <v>704</v>
      </c>
      <c r="B7949" s="6">
        <v>45457</v>
      </c>
      <c r="C7949" s="2" t="s">
        <v>705</v>
      </c>
      <c r="D7949" s="8">
        <v>-5862667</v>
      </c>
      <c r="E7949" s="8">
        <f>E7948+(0-5862667)</f>
        <v>-184578799.13000053</v>
      </c>
    </row>
    <row r="7950" spans="1:5" x14ac:dyDescent="0.25">
      <c r="A7950" s="2" t="s">
        <v>706</v>
      </c>
      <c r="B7950" s="6">
        <v>45457</v>
      </c>
      <c r="C7950" s="2" t="s">
        <v>705</v>
      </c>
      <c r="D7950" s="8">
        <v>-859083.5</v>
      </c>
      <c r="E7950" s="8">
        <f>E7949+(0-859083.5)</f>
        <v>-185437882.63000053</v>
      </c>
    </row>
    <row r="7951" spans="1:5" x14ac:dyDescent="0.25">
      <c r="A7951" s="2" t="s">
        <v>707</v>
      </c>
      <c r="B7951" s="6">
        <v>45246</v>
      </c>
      <c r="C7951" s="2" t="s">
        <v>657</v>
      </c>
      <c r="D7951" s="8">
        <v>-3352766.29</v>
      </c>
      <c r="E7951" s="8">
        <f>E7950+(0-3352766.29)</f>
        <v>-188790648.92000052</v>
      </c>
    </row>
    <row r="7952" spans="1:5" x14ac:dyDescent="0.25">
      <c r="A7952" s="2" t="s">
        <v>708</v>
      </c>
      <c r="B7952" s="6">
        <v>43956</v>
      </c>
      <c r="C7952" s="2" t="s">
        <v>709</v>
      </c>
      <c r="D7952" s="8">
        <v>2200000</v>
      </c>
      <c r="E7952" s="8">
        <f>E7951+(2200000-0)</f>
        <v>-186590648.92000052</v>
      </c>
    </row>
    <row r="7953" spans="1:5" x14ac:dyDescent="0.25">
      <c r="A7953" s="2" t="s">
        <v>708</v>
      </c>
      <c r="B7953" s="6">
        <v>44341</v>
      </c>
      <c r="C7953" s="2" t="s">
        <v>710</v>
      </c>
      <c r="D7953" s="8">
        <v>487500</v>
      </c>
      <c r="E7953" s="8">
        <f>E7952+(487500-0)</f>
        <v>-186103148.92000052</v>
      </c>
    </row>
    <row r="7954" spans="1:5" x14ac:dyDescent="0.25">
      <c r="A7954" s="2" t="s">
        <v>708</v>
      </c>
      <c r="B7954" s="6">
        <v>45314</v>
      </c>
      <c r="C7954" s="2" t="s">
        <v>711</v>
      </c>
      <c r="D7954" s="8">
        <v>-1300000</v>
      </c>
      <c r="E7954" s="8">
        <f>E7953+(0-1300000)</f>
        <v>-187403148.92000052</v>
      </c>
    </row>
    <row r="7955" spans="1:5" x14ac:dyDescent="0.25">
      <c r="A7955" s="2" t="s">
        <v>712</v>
      </c>
      <c r="B7955" s="6">
        <v>45414</v>
      </c>
      <c r="C7955" s="2" t="s">
        <v>713</v>
      </c>
      <c r="D7955" s="8">
        <v>140000</v>
      </c>
      <c r="E7955" s="8">
        <f>E7954+(140000-0)</f>
        <v>-187263148.92000052</v>
      </c>
    </row>
    <row r="7956" spans="1:5" x14ac:dyDescent="0.25">
      <c r="A7956" s="2" t="s">
        <v>714</v>
      </c>
      <c r="B7956" s="6">
        <v>45356</v>
      </c>
      <c r="C7956" s="2" t="s">
        <v>715</v>
      </c>
      <c r="D7956" s="8">
        <v>10000000</v>
      </c>
      <c r="E7956" s="8">
        <f>E7955+(10000000-0)</f>
        <v>-177263148.92000052</v>
      </c>
    </row>
    <row r="7957" spans="1:5" x14ac:dyDescent="0.25">
      <c r="A7957" s="2" t="s">
        <v>714</v>
      </c>
      <c r="B7957" s="6">
        <v>45356</v>
      </c>
      <c r="C7957" s="2" t="s">
        <v>715</v>
      </c>
      <c r="D7957" s="8">
        <v>21679000</v>
      </c>
      <c r="E7957" s="8">
        <f>E7956+(21679000-0)</f>
        <v>-155584148.92000052</v>
      </c>
    </row>
    <row r="7958" spans="1:5" x14ac:dyDescent="0.25">
      <c r="A7958" s="2" t="s">
        <v>714</v>
      </c>
      <c r="B7958" s="6">
        <v>45356</v>
      </c>
      <c r="C7958" s="2" t="s">
        <v>715</v>
      </c>
      <c r="D7958" s="8">
        <v>9000000</v>
      </c>
      <c r="E7958" s="8">
        <f>E7957+(9000000-0)</f>
        <v>-146584148.92000052</v>
      </c>
    </row>
    <row r="7959" spans="1:5" x14ac:dyDescent="0.25">
      <c r="A7959" s="2" t="s">
        <v>714</v>
      </c>
      <c r="B7959" s="6">
        <v>45356</v>
      </c>
      <c r="C7959" s="2" t="s">
        <v>715</v>
      </c>
      <c r="D7959" s="8">
        <v>2679000</v>
      </c>
      <c r="E7959" s="8">
        <f>E7958+(2679000-0)</f>
        <v>-143905148.92000052</v>
      </c>
    </row>
    <row r="7960" spans="1:5" x14ac:dyDescent="0.25">
      <c r="A7960" s="2" t="s">
        <v>714</v>
      </c>
      <c r="B7960" s="6">
        <v>45362</v>
      </c>
      <c r="C7960" s="2" t="s">
        <v>715</v>
      </c>
      <c r="D7960" s="8">
        <v>13000000</v>
      </c>
      <c r="E7960" s="8">
        <f>E7959+(13000000-0)</f>
        <v>-130905148.92000052</v>
      </c>
    </row>
    <row r="7961" spans="1:5" x14ac:dyDescent="0.25">
      <c r="A7961" s="2" t="s">
        <v>716</v>
      </c>
      <c r="B7961" s="6">
        <v>45594</v>
      </c>
      <c r="C7961" s="2" t="s">
        <v>717</v>
      </c>
      <c r="D7961" s="8">
        <v>-25640000</v>
      </c>
      <c r="E7961" s="8">
        <f>E7960+(0-25640000)</f>
        <v>-156545148.92000052</v>
      </c>
    </row>
    <row r="7962" spans="1:5" x14ac:dyDescent="0.25">
      <c r="A7962" s="2" t="s">
        <v>718</v>
      </c>
      <c r="B7962" s="6">
        <v>45342</v>
      </c>
      <c r="C7962" s="2" t="s">
        <v>719</v>
      </c>
      <c r="D7962" s="8">
        <v>33360000</v>
      </c>
      <c r="E7962" s="8">
        <f>E7961+(33360000-0)</f>
        <v>-123185148.92000052</v>
      </c>
    </row>
    <row r="7963" spans="1:5" x14ac:dyDescent="0.25">
      <c r="A7963" s="2" t="s">
        <v>720</v>
      </c>
      <c r="B7963" s="6">
        <v>45393</v>
      </c>
      <c r="C7963" s="2" t="s">
        <v>721</v>
      </c>
      <c r="D7963" s="8">
        <v>-1000000</v>
      </c>
      <c r="E7963" s="8">
        <f>E7962+(0-1000000)</f>
        <v>-124185148.92000052</v>
      </c>
    </row>
    <row r="7964" spans="1:5" x14ac:dyDescent="0.25">
      <c r="A7964" s="2" t="s">
        <v>722</v>
      </c>
      <c r="B7964" s="6">
        <v>44022</v>
      </c>
      <c r="C7964" s="2" t="s">
        <v>723</v>
      </c>
      <c r="D7964" s="8">
        <v>1000000</v>
      </c>
      <c r="E7964" s="8">
        <f>E7963+(1000000-0)</f>
        <v>-123185148.92000052</v>
      </c>
    </row>
    <row r="7965" spans="1:5" x14ac:dyDescent="0.25">
      <c r="A7965" s="2" t="s">
        <v>724</v>
      </c>
      <c r="B7965" s="6">
        <v>45334</v>
      </c>
      <c r="C7965" s="2" t="s">
        <v>725</v>
      </c>
      <c r="D7965" s="8">
        <v>156520</v>
      </c>
      <c r="E7965" s="8">
        <f>E7964+(156520-0)</f>
        <v>-123028628.92000052</v>
      </c>
    </row>
    <row r="7966" spans="1:5" x14ac:dyDescent="0.25">
      <c r="A7966" s="2" t="s">
        <v>726</v>
      </c>
      <c r="B7966" s="6">
        <v>43565</v>
      </c>
      <c r="C7966" s="2" t="s">
        <v>727</v>
      </c>
      <c r="D7966" s="8">
        <v>5000000</v>
      </c>
      <c r="E7966" s="8">
        <f>E7965+(5000000-0)</f>
        <v>-118028628.92000052</v>
      </c>
    </row>
    <row r="7967" spans="1:5" x14ac:dyDescent="0.25">
      <c r="A7967" s="2" t="s">
        <v>726</v>
      </c>
      <c r="B7967" s="6">
        <v>43754</v>
      </c>
      <c r="C7967" s="2" t="s">
        <v>728</v>
      </c>
      <c r="D7967" s="8">
        <v>50000</v>
      </c>
      <c r="E7967" s="8">
        <f>E7966+(50000-0)</f>
        <v>-117978628.92000052</v>
      </c>
    </row>
    <row r="7968" spans="1:5" x14ac:dyDescent="0.25">
      <c r="A7968" s="2" t="s">
        <v>729</v>
      </c>
      <c r="B7968" s="6">
        <v>45693</v>
      </c>
      <c r="C7968" s="2" t="s">
        <v>730</v>
      </c>
      <c r="D7968" s="8">
        <v>250000</v>
      </c>
      <c r="E7968" s="8">
        <f>E7967+(250000-0)</f>
        <v>-117728628.92000052</v>
      </c>
    </row>
    <row r="7969" spans="1:5" x14ac:dyDescent="0.25">
      <c r="A7969" s="2" t="s">
        <v>731</v>
      </c>
      <c r="B7969" s="6">
        <v>45238</v>
      </c>
      <c r="C7969" s="2" t="s">
        <v>732</v>
      </c>
      <c r="D7969" s="8">
        <v>-30000000</v>
      </c>
      <c r="E7969" s="8">
        <f>E7968+(0-30000000)</f>
        <v>-147728628.92000052</v>
      </c>
    </row>
    <row r="7970" spans="1:5" x14ac:dyDescent="0.25">
      <c r="A7970" s="2" t="s">
        <v>733</v>
      </c>
      <c r="B7970" s="6">
        <v>45601</v>
      </c>
      <c r="C7970" s="2" t="s">
        <v>734</v>
      </c>
      <c r="D7970" s="8">
        <v>1466000</v>
      </c>
      <c r="E7970" s="8">
        <f>E7969+(1466000-0)</f>
        <v>-146262628.92000052</v>
      </c>
    </row>
    <row r="7971" spans="1:5" x14ac:dyDescent="0.25">
      <c r="A7971" s="2" t="s">
        <v>735</v>
      </c>
      <c r="B7971" s="6">
        <v>45266</v>
      </c>
      <c r="C7971" s="2" t="s">
        <v>736</v>
      </c>
      <c r="D7971" s="8">
        <v>-450000</v>
      </c>
      <c r="E7971" s="8">
        <f>E7970+(0-450000)</f>
        <v>-146712628.92000052</v>
      </c>
    </row>
    <row r="7972" spans="1:5" x14ac:dyDescent="0.25">
      <c r="A7972" s="2" t="s">
        <v>737</v>
      </c>
      <c r="B7972" s="6">
        <v>44907</v>
      </c>
      <c r="C7972" s="2" t="s">
        <v>738</v>
      </c>
      <c r="D7972" s="8">
        <v>-1000000</v>
      </c>
      <c r="E7972" s="8">
        <f>E7971+(0-1000000)</f>
        <v>-147712628.92000052</v>
      </c>
    </row>
    <row r="7973" spans="1:5" x14ac:dyDescent="0.25">
      <c r="A7973" s="2" t="s">
        <v>739</v>
      </c>
      <c r="B7973" s="6">
        <v>45253</v>
      </c>
      <c r="C7973" s="2" t="s">
        <v>740</v>
      </c>
      <c r="D7973" s="8">
        <v>-4650000</v>
      </c>
      <c r="E7973" s="8">
        <f>E7972+(0-4650000)</f>
        <v>-152362628.92000052</v>
      </c>
    </row>
    <row r="7974" spans="1:5" x14ac:dyDescent="0.25">
      <c r="A7974" s="2" t="s">
        <v>741</v>
      </c>
      <c r="B7974" s="6">
        <v>45771</v>
      </c>
      <c r="C7974" s="2" t="s">
        <v>742</v>
      </c>
      <c r="D7974" s="8">
        <v>8225</v>
      </c>
      <c r="E7974" s="8">
        <f>E7973+(8225-0)</f>
        <v>-152354403.92000052</v>
      </c>
    </row>
    <row r="7975" spans="1:5" x14ac:dyDescent="0.25">
      <c r="A7975" s="2" t="s">
        <v>743</v>
      </c>
      <c r="B7975" s="6">
        <v>45715</v>
      </c>
      <c r="C7975" s="2" t="s">
        <v>744</v>
      </c>
      <c r="D7975" s="8">
        <v>-2044</v>
      </c>
      <c r="E7975" s="8">
        <f>E7974+(0-2044)</f>
        <v>-152356447.92000052</v>
      </c>
    </row>
    <row r="7976" spans="1:5" x14ac:dyDescent="0.25">
      <c r="A7976" s="2" t="s">
        <v>745</v>
      </c>
      <c r="B7976" s="6">
        <v>45261</v>
      </c>
      <c r="C7976" s="2" t="s">
        <v>746</v>
      </c>
      <c r="D7976" s="8">
        <v>227000</v>
      </c>
      <c r="E7976" s="8">
        <f>E7975+(227000-0)</f>
        <v>-152129447.92000052</v>
      </c>
    </row>
    <row r="7977" spans="1:5" x14ac:dyDescent="0.25">
      <c r="A7977" s="2" t="s">
        <v>747</v>
      </c>
      <c r="B7977" s="6">
        <v>44966</v>
      </c>
      <c r="C7977" s="2" t="s">
        <v>748</v>
      </c>
      <c r="D7977" s="8">
        <v>40000</v>
      </c>
      <c r="E7977" s="8">
        <f>E7976+(40000-0)</f>
        <v>-152089447.92000052</v>
      </c>
    </row>
    <row r="7978" spans="1:5" x14ac:dyDescent="0.25">
      <c r="A7978" s="2" t="s">
        <v>747</v>
      </c>
      <c r="B7978" s="6">
        <v>44966</v>
      </c>
      <c r="C7978" s="2" t="s">
        <v>748</v>
      </c>
      <c r="D7978" s="8">
        <v>60000</v>
      </c>
      <c r="E7978" s="8">
        <f>E7977+(60000-0)</f>
        <v>-152029447.92000052</v>
      </c>
    </row>
    <row r="7979" spans="1:5" x14ac:dyDescent="0.25">
      <c r="A7979" s="2" t="s">
        <v>747</v>
      </c>
      <c r="B7979" s="6">
        <v>44966</v>
      </c>
      <c r="C7979" s="2" t="s">
        <v>748</v>
      </c>
      <c r="D7979" s="8">
        <v>20000</v>
      </c>
      <c r="E7979" s="8">
        <f>E7978+(20000-0)</f>
        <v>-152009447.92000052</v>
      </c>
    </row>
    <row r="7980" spans="1:5" x14ac:dyDescent="0.25">
      <c r="A7980" s="2" t="s">
        <v>747</v>
      </c>
      <c r="B7980" s="6">
        <v>44987</v>
      </c>
      <c r="C7980" s="2" t="s">
        <v>749</v>
      </c>
      <c r="D7980" s="8">
        <v>500000</v>
      </c>
      <c r="E7980" s="8">
        <f>E7979+(500000-0)</f>
        <v>-151509447.92000052</v>
      </c>
    </row>
    <row r="7981" spans="1:5" x14ac:dyDescent="0.25">
      <c r="A7981" s="2" t="s">
        <v>747</v>
      </c>
      <c r="B7981" s="6">
        <v>45085</v>
      </c>
      <c r="C7981" s="2" t="s">
        <v>750</v>
      </c>
      <c r="D7981" s="8">
        <v>30000</v>
      </c>
      <c r="E7981" s="8">
        <f>E7980+(30000-0)</f>
        <v>-151479447.92000052</v>
      </c>
    </row>
    <row r="7982" spans="1:5" x14ac:dyDescent="0.25">
      <c r="A7982" s="2" t="s">
        <v>751</v>
      </c>
      <c r="B7982" s="6">
        <v>45077</v>
      </c>
      <c r="C7982" s="2" t="s">
        <v>752</v>
      </c>
      <c r="D7982" s="8">
        <v>-1167000</v>
      </c>
      <c r="E7982" s="8">
        <f>E7981+(0-1167000)</f>
        <v>-152646447.92000052</v>
      </c>
    </row>
    <row r="7983" spans="1:5" x14ac:dyDescent="0.25">
      <c r="A7983" s="2" t="s">
        <v>751</v>
      </c>
      <c r="B7983" s="6">
        <v>45133</v>
      </c>
      <c r="C7983" s="2" t="s">
        <v>753</v>
      </c>
      <c r="D7983" s="8">
        <v>50000000</v>
      </c>
      <c r="E7983" s="8">
        <f>E7982+(50000000-0)</f>
        <v>-102646447.92000052</v>
      </c>
    </row>
    <row r="7984" spans="1:5" x14ac:dyDescent="0.25">
      <c r="A7984" s="2" t="s">
        <v>751</v>
      </c>
      <c r="B7984" s="6">
        <v>45155</v>
      </c>
      <c r="C7984" s="2" t="s">
        <v>754</v>
      </c>
      <c r="D7984" s="8">
        <v>1000000</v>
      </c>
      <c r="E7984" s="8">
        <f>E7983+(1000000-0)</f>
        <v>-101646447.92000052</v>
      </c>
    </row>
    <row r="7985" spans="1:5" x14ac:dyDescent="0.25">
      <c r="A7985" s="2" t="s">
        <v>751</v>
      </c>
      <c r="B7985" s="6">
        <v>45156</v>
      </c>
      <c r="C7985" s="2" t="s">
        <v>755</v>
      </c>
      <c r="D7985" s="8">
        <v>5427050</v>
      </c>
      <c r="E7985" s="8">
        <f>E7984+(5427050-0)</f>
        <v>-96219397.920000523</v>
      </c>
    </row>
    <row r="7986" spans="1:5" x14ac:dyDescent="0.25">
      <c r="A7986" s="2" t="s">
        <v>751</v>
      </c>
      <c r="B7986" s="6">
        <v>45238</v>
      </c>
      <c r="C7986" s="2" t="s">
        <v>756</v>
      </c>
      <c r="D7986" s="8">
        <v>20000000</v>
      </c>
      <c r="E7986" s="8">
        <f>E7985+(20000000-0)</f>
        <v>-76219397.920000523</v>
      </c>
    </row>
    <row r="7987" spans="1:5" x14ac:dyDescent="0.25">
      <c r="A7987" s="2" t="s">
        <v>751</v>
      </c>
      <c r="B7987" s="6">
        <v>45419</v>
      </c>
      <c r="C7987" s="2" t="s">
        <v>757</v>
      </c>
      <c r="D7987" s="8">
        <v>-36125000</v>
      </c>
      <c r="E7987" s="8">
        <f>E7986+(0-36125000)</f>
        <v>-112344397.92000052</v>
      </c>
    </row>
    <row r="7988" spans="1:5" x14ac:dyDescent="0.25">
      <c r="A7988" s="2" t="s">
        <v>751</v>
      </c>
      <c r="B7988" s="6">
        <v>45421</v>
      </c>
      <c r="C7988" s="2" t="s">
        <v>579</v>
      </c>
      <c r="D7988" s="8">
        <v>80000000</v>
      </c>
      <c r="E7988" s="8">
        <f>E7987+(80000000-0)</f>
        <v>-32344397.920000523</v>
      </c>
    </row>
    <row r="7989" spans="1:5" x14ac:dyDescent="0.25">
      <c r="A7989" s="2" t="s">
        <v>751</v>
      </c>
      <c r="B7989" s="6">
        <v>45421</v>
      </c>
      <c r="C7989" s="2" t="s">
        <v>579</v>
      </c>
      <c r="D7989" s="8">
        <v>25000000</v>
      </c>
      <c r="E7989" s="8">
        <f>E7988+(25000000-0)</f>
        <v>-7344397.9200005233</v>
      </c>
    </row>
    <row r="7990" spans="1:5" x14ac:dyDescent="0.25">
      <c r="A7990" s="2" t="s">
        <v>751</v>
      </c>
      <c r="B7990" s="6">
        <v>45421</v>
      </c>
      <c r="C7990" s="2" t="s">
        <v>579</v>
      </c>
      <c r="D7990" s="8">
        <v>25000000</v>
      </c>
      <c r="E7990" s="8">
        <f>E7989+(25000000-0)</f>
        <v>17655602.079999477</v>
      </c>
    </row>
    <row r="7991" spans="1:5" x14ac:dyDescent="0.25">
      <c r="A7991" s="2" t="s">
        <v>751</v>
      </c>
      <c r="B7991" s="6">
        <v>45421</v>
      </c>
      <c r="C7991" s="2" t="s">
        <v>579</v>
      </c>
      <c r="D7991" s="8">
        <v>25000000</v>
      </c>
      <c r="E7991" s="8">
        <f>E7990+(25000000-0)</f>
        <v>42655602.079999477</v>
      </c>
    </row>
    <row r="7992" spans="1:5" x14ac:dyDescent="0.25">
      <c r="A7992" s="2" t="s">
        <v>751</v>
      </c>
      <c r="B7992" s="6">
        <v>45421</v>
      </c>
      <c r="C7992" s="2" t="s">
        <v>579</v>
      </c>
      <c r="D7992" s="8">
        <v>25000000</v>
      </c>
      <c r="E7992" s="8">
        <f>E7991+(25000000-0)</f>
        <v>67655602.079999477</v>
      </c>
    </row>
    <row r="7993" spans="1:5" x14ac:dyDescent="0.25">
      <c r="A7993" s="2" t="s">
        <v>751</v>
      </c>
      <c r="B7993" s="6">
        <v>45422</v>
      </c>
      <c r="C7993" s="2" t="s">
        <v>558</v>
      </c>
      <c r="D7993" s="8">
        <v>-10000000</v>
      </c>
      <c r="E7993" s="8">
        <f>E7992+(0-10000000)</f>
        <v>57655602.079999477</v>
      </c>
    </row>
    <row r="7994" spans="1:5" x14ac:dyDescent="0.25">
      <c r="A7994" s="2" t="s">
        <v>751</v>
      </c>
      <c r="B7994" s="6">
        <v>45422</v>
      </c>
      <c r="C7994" s="2" t="s">
        <v>758</v>
      </c>
      <c r="D7994" s="8">
        <v>40000000</v>
      </c>
      <c r="E7994" s="8">
        <f>E7993+(40000000-0)</f>
        <v>97655602.079999477</v>
      </c>
    </row>
    <row r="7995" spans="1:5" x14ac:dyDescent="0.25">
      <c r="A7995" s="2" t="s">
        <v>751</v>
      </c>
      <c r="B7995" s="6">
        <v>45422</v>
      </c>
      <c r="C7995" s="2" t="s">
        <v>579</v>
      </c>
      <c r="D7995" s="8">
        <v>15000000</v>
      </c>
      <c r="E7995" s="8">
        <f>E7994+(15000000-0)</f>
        <v>112655602.07999948</v>
      </c>
    </row>
    <row r="7996" spans="1:5" x14ac:dyDescent="0.25">
      <c r="A7996" s="2" t="s">
        <v>751</v>
      </c>
      <c r="B7996" s="6">
        <v>45425</v>
      </c>
      <c r="C7996" s="2" t="s">
        <v>579</v>
      </c>
      <c r="D7996" s="8">
        <v>5000000</v>
      </c>
      <c r="E7996" s="8">
        <f>E7995+(5000000-0)</f>
        <v>117655602.07999948</v>
      </c>
    </row>
    <row r="7997" spans="1:5" x14ac:dyDescent="0.25">
      <c r="A7997" s="2" t="s">
        <v>751</v>
      </c>
      <c r="B7997" s="6">
        <v>45425</v>
      </c>
      <c r="C7997" s="2" t="s">
        <v>664</v>
      </c>
      <c r="D7997" s="8">
        <v>-152000000</v>
      </c>
      <c r="E7997" s="8">
        <f>E7996+(0-152000000)</f>
        <v>-34344397.920000523</v>
      </c>
    </row>
    <row r="7998" spans="1:5" x14ac:dyDescent="0.25">
      <c r="A7998" s="2" t="s">
        <v>751</v>
      </c>
      <c r="B7998" s="6">
        <v>45426</v>
      </c>
      <c r="C7998" s="2" t="s">
        <v>664</v>
      </c>
      <c r="D7998" s="8">
        <v>-500000</v>
      </c>
      <c r="E7998" s="8">
        <f>E7997+(0-500000)</f>
        <v>-34844397.920000523</v>
      </c>
    </row>
    <row r="7999" spans="1:5" x14ac:dyDescent="0.25">
      <c r="A7999" s="2" t="s">
        <v>751</v>
      </c>
      <c r="B7999" s="6">
        <v>45426</v>
      </c>
      <c r="C7999" s="2" t="s">
        <v>664</v>
      </c>
      <c r="D7999" s="8">
        <v>-1500000</v>
      </c>
      <c r="E7999" s="8">
        <f>E7998+(0-1500000)</f>
        <v>-36344397.920000523</v>
      </c>
    </row>
    <row r="8000" spans="1:5" x14ac:dyDescent="0.25">
      <c r="A8000" s="2" t="s">
        <v>751</v>
      </c>
      <c r="B8000" s="6">
        <v>45426</v>
      </c>
      <c r="C8000" s="2" t="s">
        <v>579</v>
      </c>
      <c r="D8000" s="8">
        <v>10000000</v>
      </c>
      <c r="E8000" s="8">
        <f>E7999+(10000000-0)</f>
        <v>-26344397.920000523</v>
      </c>
    </row>
    <row r="8001" spans="1:5" x14ac:dyDescent="0.25">
      <c r="A8001" s="2" t="s">
        <v>751</v>
      </c>
      <c r="B8001" s="6">
        <v>45427</v>
      </c>
      <c r="C8001" s="2" t="s">
        <v>579</v>
      </c>
      <c r="D8001" s="8">
        <v>5000000</v>
      </c>
      <c r="E8001" s="8">
        <f>E8000+(5000000-0)</f>
        <v>-21344397.920000523</v>
      </c>
    </row>
    <row r="8002" spans="1:5" x14ac:dyDescent="0.25">
      <c r="A8002" s="2" t="s">
        <v>751</v>
      </c>
      <c r="B8002" s="6">
        <v>45428</v>
      </c>
      <c r="C8002" s="2" t="s">
        <v>579</v>
      </c>
      <c r="D8002" s="8">
        <v>5000000</v>
      </c>
      <c r="E8002" s="8">
        <f>E8001+(5000000-0)</f>
        <v>-16344397.920000523</v>
      </c>
    </row>
    <row r="8003" spans="1:5" x14ac:dyDescent="0.25">
      <c r="A8003" s="2" t="s">
        <v>751</v>
      </c>
      <c r="B8003" s="6">
        <v>45429</v>
      </c>
      <c r="C8003" s="2" t="s">
        <v>664</v>
      </c>
      <c r="D8003" s="8">
        <v>-30800000</v>
      </c>
      <c r="E8003" s="8">
        <f>E8002+(0-30800000)</f>
        <v>-47144397.920000523</v>
      </c>
    </row>
    <row r="8004" spans="1:5" x14ac:dyDescent="0.25">
      <c r="A8004" s="2" t="s">
        <v>751</v>
      </c>
      <c r="B8004" s="6">
        <v>45429</v>
      </c>
      <c r="C8004" s="2" t="s">
        <v>664</v>
      </c>
      <c r="D8004" s="8">
        <v>-128960000</v>
      </c>
      <c r="E8004" s="8">
        <f>E8003+(0-128960000)</f>
        <v>-176104397.92000052</v>
      </c>
    </row>
    <row r="8005" spans="1:5" x14ac:dyDescent="0.25">
      <c r="A8005" s="2" t="s">
        <v>751</v>
      </c>
      <c r="B8005" s="6">
        <v>45429</v>
      </c>
      <c r="C8005" s="2" t="s">
        <v>664</v>
      </c>
      <c r="D8005" s="8">
        <v>-30400000</v>
      </c>
      <c r="E8005" s="8">
        <f>E8004+(0-30400000)</f>
        <v>-206504397.92000052</v>
      </c>
    </row>
    <row r="8006" spans="1:5" x14ac:dyDescent="0.25">
      <c r="A8006" s="2" t="s">
        <v>751</v>
      </c>
      <c r="B8006" s="6">
        <v>45429</v>
      </c>
      <c r="C8006" s="2" t="s">
        <v>664</v>
      </c>
      <c r="D8006" s="8">
        <v>-200000</v>
      </c>
      <c r="E8006" s="8">
        <f>E8005+(0-200000)</f>
        <v>-206704397.92000052</v>
      </c>
    </row>
    <row r="8007" spans="1:5" x14ac:dyDescent="0.25">
      <c r="A8007" s="2" t="s">
        <v>751</v>
      </c>
      <c r="B8007" s="6">
        <v>45429</v>
      </c>
      <c r="C8007" s="2" t="s">
        <v>664</v>
      </c>
      <c r="D8007" s="8">
        <v>-100000</v>
      </c>
      <c r="E8007" s="8">
        <f>E8006+(0-100000)</f>
        <v>-206804397.92000052</v>
      </c>
    </row>
    <row r="8008" spans="1:5" x14ac:dyDescent="0.25">
      <c r="A8008" s="2" t="s">
        <v>751</v>
      </c>
      <c r="B8008" s="6">
        <v>45433</v>
      </c>
      <c r="C8008" s="2" t="s">
        <v>664</v>
      </c>
      <c r="D8008" s="8">
        <v>-320000</v>
      </c>
      <c r="E8008" s="8">
        <f>E8007+(0-320000)</f>
        <v>-207124397.92000052</v>
      </c>
    </row>
    <row r="8009" spans="1:5" x14ac:dyDescent="0.25">
      <c r="A8009" s="2" t="s">
        <v>751</v>
      </c>
      <c r="B8009" s="6">
        <v>45436</v>
      </c>
      <c r="C8009" s="2" t="s">
        <v>759</v>
      </c>
      <c r="D8009" s="8">
        <v>-770000</v>
      </c>
      <c r="E8009" s="8">
        <f>E8008+(0-770000)</f>
        <v>-207894397.92000052</v>
      </c>
    </row>
    <row r="8010" spans="1:5" x14ac:dyDescent="0.25">
      <c r="A8010" s="2" t="s">
        <v>751</v>
      </c>
      <c r="B8010" s="6">
        <v>45436</v>
      </c>
      <c r="C8010" s="2" t="s">
        <v>760</v>
      </c>
      <c r="D8010" s="8">
        <v>-150000</v>
      </c>
      <c r="E8010" s="8">
        <f>E8009+(0-150000)</f>
        <v>-208044397.92000052</v>
      </c>
    </row>
    <row r="8011" spans="1:5" x14ac:dyDescent="0.25">
      <c r="A8011" s="2" t="s">
        <v>751</v>
      </c>
      <c r="B8011" s="6">
        <v>45439</v>
      </c>
      <c r="C8011" s="2" t="s">
        <v>761</v>
      </c>
      <c r="D8011" s="8">
        <v>-80000</v>
      </c>
      <c r="E8011" s="8">
        <f>E8010+(0-80000)</f>
        <v>-208124397.92000052</v>
      </c>
    </row>
    <row r="8012" spans="1:5" x14ac:dyDescent="0.25">
      <c r="A8012" s="2" t="s">
        <v>751</v>
      </c>
      <c r="B8012" s="6">
        <v>45439</v>
      </c>
      <c r="C8012" s="2" t="s">
        <v>762</v>
      </c>
      <c r="D8012" s="8">
        <v>-60000</v>
      </c>
      <c r="E8012" s="8">
        <f>E8011+(0-60000)</f>
        <v>-208184397.92000052</v>
      </c>
    </row>
    <row r="8013" spans="1:5" x14ac:dyDescent="0.25">
      <c r="A8013" s="2" t="s">
        <v>751</v>
      </c>
      <c r="B8013" s="6">
        <v>45439</v>
      </c>
      <c r="C8013" s="2" t="s">
        <v>763</v>
      </c>
      <c r="D8013" s="8">
        <v>-25000</v>
      </c>
      <c r="E8013" s="8">
        <f>E8012+(0-25000)</f>
        <v>-208209397.92000052</v>
      </c>
    </row>
    <row r="8014" spans="1:5" x14ac:dyDescent="0.25">
      <c r="A8014" s="2" t="s">
        <v>751</v>
      </c>
      <c r="B8014" s="6">
        <v>45439</v>
      </c>
      <c r="C8014" s="2" t="s">
        <v>761</v>
      </c>
      <c r="D8014" s="8">
        <v>-355733</v>
      </c>
      <c r="E8014" s="8">
        <f>E8013+(0-355733)</f>
        <v>-208565130.92000052</v>
      </c>
    </row>
    <row r="8015" spans="1:5" x14ac:dyDescent="0.25">
      <c r="A8015" s="2" t="s">
        <v>751</v>
      </c>
      <c r="B8015" s="6">
        <v>45439</v>
      </c>
      <c r="C8015" s="2" t="s">
        <v>761</v>
      </c>
      <c r="D8015" s="8">
        <v>-3362558</v>
      </c>
      <c r="E8015" s="8">
        <f>E8014+(0-3362558)</f>
        <v>-211927688.92000052</v>
      </c>
    </row>
    <row r="8016" spans="1:5" x14ac:dyDescent="0.25">
      <c r="A8016" s="2" t="s">
        <v>751</v>
      </c>
      <c r="B8016" s="6">
        <v>45440</v>
      </c>
      <c r="C8016" s="2" t="s">
        <v>761</v>
      </c>
      <c r="D8016" s="8">
        <v>-309877</v>
      </c>
      <c r="E8016" s="8">
        <f>E8015+(0-309877)</f>
        <v>-212237565.92000052</v>
      </c>
    </row>
    <row r="8017" spans="1:5" x14ac:dyDescent="0.25">
      <c r="A8017" s="2" t="s">
        <v>751</v>
      </c>
      <c r="B8017" s="6">
        <v>45440</v>
      </c>
      <c r="C8017" s="2" t="s">
        <v>764</v>
      </c>
      <c r="D8017" s="8">
        <v>-150000</v>
      </c>
      <c r="E8017" s="8">
        <f>E8016+(0-150000)</f>
        <v>-212387565.92000052</v>
      </c>
    </row>
    <row r="8018" spans="1:5" x14ac:dyDescent="0.25">
      <c r="A8018" s="2" t="s">
        <v>751</v>
      </c>
      <c r="B8018" s="6">
        <v>45448</v>
      </c>
      <c r="C8018" s="2" t="s">
        <v>579</v>
      </c>
      <c r="D8018" s="8">
        <v>10500000</v>
      </c>
      <c r="E8018" s="8">
        <f>E8017+(10500000-0)</f>
        <v>-201887565.92000052</v>
      </c>
    </row>
    <row r="8019" spans="1:5" x14ac:dyDescent="0.25">
      <c r="A8019" s="2" t="s">
        <v>751</v>
      </c>
      <c r="B8019" s="6">
        <v>45471</v>
      </c>
      <c r="C8019" s="2" t="s">
        <v>579</v>
      </c>
      <c r="D8019" s="8">
        <v>1500000</v>
      </c>
      <c r="E8019" s="8">
        <f>E8018+(1500000-0)</f>
        <v>-200387565.92000052</v>
      </c>
    </row>
    <row r="8020" spans="1:5" x14ac:dyDescent="0.25">
      <c r="A8020" s="2" t="s">
        <v>751</v>
      </c>
      <c r="B8020" s="6">
        <v>45517</v>
      </c>
      <c r="C8020" s="2" t="s">
        <v>579</v>
      </c>
      <c r="D8020" s="8">
        <v>12500000</v>
      </c>
      <c r="E8020" s="8">
        <f>E8019+(12500000-0)</f>
        <v>-187887565.92000052</v>
      </c>
    </row>
    <row r="8021" spans="1:5" x14ac:dyDescent="0.25">
      <c r="A8021" s="2" t="s">
        <v>751</v>
      </c>
      <c r="B8021" s="6">
        <v>45518</v>
      </c>
      <c r="C8021" s="2" t="s">
        <v>579</v>
      </c>
      <c r="D8021" s="8">
        <v>1600000</v>
      </c>
      <c r="E8021" s="8">
        <f>E8020+(1600000-0)</f>
        <v>-186287565.92000052</v>
      </c>
    </row>
    <row r="8022" spans="1:5" x14ac:dyDescent="0.25">
      <c r="A8022" s="2" t="s">
        <v>751</v>
      </c>
      <c r="B8022" s="6">
        <v>45530</v>
      </c>
      <c r="C8022" s="2" t="s">
        <v>579</v>
      </c>
      <c r="D8022" s="8">
        <v>7500000</v>
      </c>
      <c r="E8022" s="8">
        <f>E8021+(7500000-0)</f>
        <v>-178787565.92000052</v>
      </c>
    </row>
    <row r="8023" spans="1:5" x14ac:dyDescent="0.25">
      <c r="A8023" s="2" t="s">
        <v>751</v>
      </c>
      <c r="B8023" s="6">
        <v>45531</v>
      </c>
      <c r="C8023" s="2" t="s">
        <v>765</v>
      </c>
      <c r="D8023" s="8">
        <v>-217700</v>
      </c>
      <c r="E8023" s="8">
        <f>E8022+(0-217700)</f>
        <v>-179005265.92000052</v>
      </c>
    </row>
    <row r="8024" spans="1:5" x14ac:dyDescent="0.25">
      <c r="A8024" s="2" t="s">
        <v>751</v>
      </c>
      <c r="B8024" s="6">
        <v>45531</v>
      </c>
      <c r="C8024" s="2" t="s">
        <v>765</v>
      </c>
      <c r="D8024" s="8">
        <v>-65000</v>
      </c>
      <c r="E8024" s="8">
        <f>E8023+(0-65000)</f>
        <v>-179070265.92000052</v>
      </c>
    </row>
    <row r="8025" spans="1:5" x14ac:dyDescent="0.25">
      <c r="A8025" s="2" t="s">
        <v>751</v>
      </c>
      <c r="B8025" s="6">
        <v>45541</v>
      </c>
      <c r="C8025" s="2" t="s">
        <v>579</v>
      </c>
      <c r="D8025" s="8">
        <v>2000000</v>
      </c>
      <c r="E8025" s="8">
        <f>E8024+(2000000-0)</f>
        <v>-177070265.92000052</v>
      </c>
    </row>
    <row r="8026" spans="1:5" x14ac:dyDescent="0.25">
      <c r="A8026" s="2" t="s">
        <v>751</v>
      </c>
      <c r="B8026" s="6">
        <v>45617</v>
      </c>
      <c r="C8026" s="2" t="s">
        <v>579</v>
      </c>
      <c r="D8026" s="8">
        <v>5000000</v>
      </c>
      <c r="E8026" s="8">
        <f>E8025+(5000000-0)</f>
        <v>-172070265.92000052</v>
      </c>
    </row>
    <row r="8027" spans="1:5" x14ac:dyDescent="0.25">
      <c r="A8027" s="2" t="s">
        <v>766</v>
      </c>
      <c r="B8027" s="6">
        <v>45436</v>
      </c>
      <c r="C8027" s="2" t="s">
        <v>761</v>
      </c>
      <c r="D8027" s="8">
        <v>-3847333</v>
      </c>
      <c r="E8027" s="8">
        <f>E8026+(0-3847333)</f>
        <v>-175917598.92000052</v>
      </c>
    </row>
    <row r="8028" spans="1:5" x14ac:dyDescent="0.25">
      <c r="A8028" s="2" t="s">
        <v>767</v>
      </c>
      <c r="B8028" s="6">
        <v>45471</v>
      </c>
      <c r="C8028" s="2" t="s">
        <v>768</v>
      </c>
      <c r="D8028" s="8">
        <v>-331000</v>
      </c>
      <c r="E8028" s="8">
        <f>E8027+(0-331000)</f>
        <v>-176248598.92000052</v>
      </c>
    </row>
    <row r="8029" spans="1:5" x14ac:dyDescent="0.25">
      <c r="A8029" s="2" t="s">
        <v>16</v>
      </c>
      <c r="B8029" s="6">
        <v>43983</v>
      </c>
      <c r="C8029" s="2" t="s">
        <v>16</v>
      </c>
      <c r="D8029" s="8">
        <v>-350</v>
      </c>
      <c r="E8029" s="8">
        <f>E8028+(0-350)</f>
        <v>-176248948.92000052</v>
      </c>
    </row>
    <row r="8030" spans="1:5" x14ac:dyDescent="0.25">
      <c r="A8030" s="2" t="s">
        <v>16</v>
      </c>
      <c r="B8030" s="6">
        <v>43984</v>
      </c>
      <c r="C8030" s="2" t="s">
        <v>17</v>
      </c>
      <c r="D8030" s="8">
        <v>-64</v>
      </c>
      <c r="E8030" s="8">
        <f>E8029+(0-64)</f>
        <v>-176249012.92000052</v>
      </c>
    </row>
    <row r="8031" spans="1:5" x14ac:dyDescent="0.25">
      <c r="A8031" s="2" t="s">
        <v>16</v>
      </c>
      <c r="B8031" s="6">
        <v>43984</v>
      </c>
      <c r="C8031" s="2" t="s">
        <v>16</v>
      </c>
      <c r="D8031" s="8">
        <v>-200</v>
      </c>
      <c r="E8031" s="8">
        <f>E8030+(0-200)</f>
        <v>-176249212.92000052</v>
      </c>
    </row>
    <row r="8032" spans="1:5" x14ac:dyDescent="0.25">
      <c r="A8032" s="2" t="s">
        <v>16</v>
      </c>
      <c r="B8032" s="6">
        <v>43985</v>
      </c>
      <c r="C8032" s="2" t="s">
        <v>16</v>
      </c>
      <c r="D8032" s="8">
        <v>-50</v>
      </c>
      <c r="E8032" s="8">
        <f>E8031+(0-50)</f>
        <v>-176249262.92000052</v>
      </c>
    </row>
    <row r="8033" spans="1:5" x14ac:dyDescent="0.25">
      <c r="A8033" s="2" t="s">
        <v>16</v>
      </c>
      <c r="B8033" s="6">
        <v>43985</v>
      </c>
      <c r="C8033" s="2" t="s">
        <v>16</v>
      </c>
      <c r="D8033" s="8">
        <v>-50</v>
      </c>
      <c r="E8033" s="8">
        <f>E8032+(0-50)</f>
        <v>-176249312.92000052</v>
      </c>
    </row>
    <row r="8034" spans="1:5" x14ac:dyDescent="0.25">
      <c r="A8034" s="2" t="s">
        <v>16</v>
      </c>
      <c r="B8034" s="6">
        <v>43985</v>
      </c>
      <c r="C8034" s="2" t="s">
        <v>16</v>
      </c>
      <c r="D8034" s="8">
        <v>-250</v>
      </c>
      <c r="E8034" s="8">
        <f>E8033+(0-250)</f>
        <v>-176249562.92000052</v>
      </c>
    </row>
    <row r="8035" spans="1:5" x14ac:dyDescent="0.25">
      <c r="A8035" s="2" t="s">
        <v>16</v>
      </c>
      <c r="B8035" s="6">
        <v>43985</v>
      </c>
      <c r="C8035" s="2" t="s">
        <v>16</v>
      </c>
      <c r="D8035" s="8">
        <v>-50</v>
      </c>
      <c r="E8035" s="8">
        <f>E8034+(0-50)</f>
        <v>-176249612.92000052</v>
      </c>
    </row>
    <row r="8036" spans="1:5" x14ac:dyDescent="0.25">
      <c r="A8036" s="2" t="s">
        <v>16</v>
      </c>
      <c r="B8036" s="6">
        <v>43985</v>
      </c>
      <c r="C8036" s="2" t="s">
        <v>17</v>
      </c>
      <c r="D8036" s="8">
        <v>-68</v>
      </c>
      <c r="E8036" s="8">
        <f>E8035+(0-68)</f>
        <v>-176249680.92000052</v>
      </c>
    </row>
    <row r="8037" spans="1:5" x14ac:dyDescent="0.25">
      <c r="A8037" s="2" t="s">
        <v>16</v>
      </c>
      <c r="B8037" s="6">
        <v>43986</v>
      </c>
      <c r="C8037" s="2" t="s">
        <v>17</v>
      </c>
      <c r="D8037" s="8">
        <v>-52</v>
      </c>
      <c r="E8037" s="8">
        <f>E8036+(0-52)</f>
        <v>-176249732.92000052</v>
      </c>
    </row>
    <row r="8038" spans="1:5" x14ac:dyDescent="0.25">
      <c r="A8038" s="2" t="s">
        <v>16</v>
      </c>
      <c r="B8038" s="6">
        <v>43986</v>
      </c>
      <c r="C8038" s="2" t="s">
        <v>16</v>
      </c>
      <c r="D8038" s="8">
        <v>-50</v>
      </c>
      <c r="E8038" s="8">
        <f>E8037+(0-50)</f>
        <v>-176249782.92000052</v>
      </c>
    </row>
    <row r="8039" spans="1:5" x14ac:dyDescent="0.25">
      <c r="A8039" s="2" t="s">
        <v>769</v>
      </c>
      <c r="B8039" s="6">
        <v>43984</v>
      </c>
      <c r="C8039" s="2" t="s">
        <v>16</v>
      </c>
      <c r="D8039" s="8">
        <v>-50</v>
      </c>
      <c r="E8039" s="8">
        <f>E8038+(0-50)</f>
        <v>-176249832.92000052</v>
      </c>
    </row>
    <row r="8040" spans="1:5" x14ac:dyDescent="0.25">
      <c r="A8040" s="2" t="s">
        <v>770</v>
      </c>
      <c r="B8040" s="6">
        <v>44224</v>
      </c>
      <c r="C8040" s="2" t="s">
        <v>771</v>
      </c>
      <c r="D8040" s="8">
        <v>50000</v>
      </c>
      <c r="E8040" s="8">
        <f>E8039+(50000-0)</f>
        <v>-176199832.92000052</v>
      </c>
    </row>
    <row r="8041" spans="1:5" x14ac:dyDescent="0.25">
      <c r="A8041" s="2" t="s">
        <v>770</v>
      </c>
      <c r="B8041" s="6">
        <v>44489</v>
      </c>
      <c r="C8041" s="2" t="s">
        <v>772</v>
      </c>
      <c r="D8041" s="8">
        <v>140000</v>
      </c>
      <c r="E8041" s="8">
        <f>E8040+(140000-0)</f>
        <v>-176059832.92000052</v>
      </c>
    </row>
    <row r="8042" spans="1:5" x14ac:dyDescent="0.25">
      <c r="A8042" s="2" t="s">
        <v>773</v>
      </c>
      <c r="B8042" s="6">
        <v>45593</v>
      </c>
      <c r="C8042" s="2" t="s">
        <v>774</v>
      </c>
      <c r="D8042" s="8">
        <v>25604600</v>
      </c>
      <c r="E8042" s="8">
        <f>E8041+(25604600-0)</f>
        <v>-150455232.92000052</v>
      </c>
    </row>
    <row r="8043" spans="1:5" x14ac:dyDescent="0.25">
      <c r="A8043" s="2" t="s">
        <v>775</v>
      </c>
      <c r="B8043" s="6">
        <v>44162</v>
      </c>
      <c r="C8043" s="2" t="s">
        <v>776</v>
      </c>
      <c r="D8043" s="8">
        <v>-1000000</v>
      </c>
      <c r="E8043" s="8">
        <f>E8042+(0-1000000)</f>
        <v>-151455232.92000052</v>
      </c>
    </row>
    <row r="8044" spans="1:5" x14ac:dyDescent="0.25">
      <c r="A8044" s="2" t="s">
        <v>775</v>
      </c>
      <c r="B8044" s="6">
        <v>44939</v>
      </c>
      <c r="C8044" s="2" t="s">
        <v>777</v>
      </c>
      <c r="D8044" s="8">
        <v>1438000</v>
      </c>
      <c r="E8044" s="8">
        <f>E8043+(1438000-0)</f>
        <v>-150017232.92000052</v>
      </c>
    </row>
    <row r="8045" spans="1:5" x14ac:dyDescent="0.25">
      <c r="A8045" s="2" t="s">
        <v>778</v>
      </c>
      <c r="B8045" s="6">
        <v>45369</v>
      </c>
      <c r="C8045" s="2" t="s">
        <v>779</v>
      </c>
      <c r="D8045" s="8">
        <v>5000000</v>
      </c>
      <c r="E8045" s="8">
        <f>E8044+(5000000-0)</f>
        <v>-145017232.92000052</v>
      </c>
    </row>
    <row r="8046" spans="1:5" x14ac:dyDescent="0.25">
      <c r="A8046" s="2" t="s">
        <v>780</v>
      </c>
      <c r="B8046" s="6">
        <v>44342</v>
      </c>
      <c r="C8046" s="2" t="s">
        <v>781</v>
      </c>
      <c r="D8046" s="8">
        <v>1800000</v>
      </c>
      <c r="E8046" s="8">
        <f>E8045+(1800000-0)</f>
        <v>-143217232.92000052</v>
      </c>
    </row>
    <row r="8047" spans="1:5" x14ac:dyDescent="0.25">
      <c r="A8047" s="2" t="s">
        <v>782</v>
      </c>
      <c r="B8047" s="6">
        <v>45793</v>
      </c>
      <c r="C8047" s="2" t="s">
        <v>783</v>
      </c>
      <c r="D8047" s="8">
        <v>7031500</v>
      </c>
      <c r="E8047" s="8">
        <f>E8046+(7031500-0)</f>
        <v>-136185732.92000052</v>
      </c>
    </row>
    <row r="8048" spans="1:5" x14ac:dyDescent="0.25">
      <c r="A8048" s="2" t="s">
        <v>784</v>
      </c>
      <c r="B8048" s="6">
        <v>45799</v>
      </c>
      <c r="C8048" s="2" t="s">
        <v>783</v>
      </c>
      <c r="D8048" s="8">
        <v>700</v>
      </c>
      <c r="E8048" s="8">
        <f>E8047+(700-0)</f>
        <v>-136185032.92000052</v>
      </c>
    </row>
    <row r="8049" spans="1:5" x14ac:dyDescent="0.25">
      <c r="A8049" s="2" t="s">
        <v>785</v>
      </c>
      <c r="B8049" s="6">
        <v>45849</v>
      </c>
      <c r="C8049" s="2" t="s">
        <v>786</v>
      </c>
      <c r="D8049" s="8">
        <v>1260208.6599999999</v>
      </c>
      <c r="E8049" s="8">
        <f>E8048+(1260208.66-0)</f>
        <v>-134924824.26000053</v>
      </c>
    </row>
    <row r="8050" spans="1:5" x14ac:dyDescent="0.25">
      <c r="A8050" s="2" t="s">
        <v>787</v>
      </c>
      <c r="B8050" s="6">
        <v>45803</v>
      </c>
      <c r="C8050" s="2" t="s">
        <v>788</v>
      </c>
      <c r="D8050" s="8">
        <v>213643.92</v>
      </c>
      <c r="E8050" s="8">
        <f>E8049+(213643.92-0)</f>
        <v>-134711180.34000054</v>
      </c>
    </row>
    <row r="8051" spans="1:5" x14ac:dyDescent="0.25">
      <c r="A8051" s="2" t="s">
        <v>787</v>
      </c>
      <c r="B8051" s="6">
        <v>45880</v>
      </c>
      <c r="C8051" s="2" t="s">
        <v>788</v>
      </c>
      <c r="D8051" s="8">
        <v>865205.25</v>
      </c>
      <c r="E8051" s="8">
        <f>E8050+(865205.25-0)</f>
        <v>-133845975.09000054</v>
      </c>
    </row>
    <row r="8052" spans="1:5" x14ac:dyDescent="0.25">
      <c r="A8052" s="2" t="s">
        <v>787</v>
      </c>
      <c r="B8052" s="6">
        <v>45945</v>
      </c>
      <c r="C8052" s="2" t="s">
        <v>788</v>
      </c>
      <c r="D8052" s="8">
        <v>217400.75</v>
      </c>
      <c r="E8052" s="8">
        <f>E8051+(217400.75-0)</f>
        <v>-133628574.34000054</v>
      </c>
    </row>
    <row r="8053" spans="1:5" x14ac:dyDescent="0.25">
      <c r="A8053" s="2" t="s">
        <v>787</v>
      </c>
      <c r="B8053" s="6">
        <v>45982</v>
      </c>
      <c r="C8053" s="2" t="s">
        <v>788</v>
      </c>
      <c r="D8053" s="8">
        <v>396900</v>
      </c>
      <c r="E8053" s="8">
        <f>E8052+(396900-0)</f>
        <v>-133231674.34000054</v>
      </c>
    </row>
    <row r="8054" spans="1:5" x14ac:dyDescent="0.25">
      <c r="A8054" s="2" t="s">
        <v>787</v>
      </c>
      <c r="B8054" s="6">
        <v>45982</v>
      </c>
      <c r="C8054" s="2" t="s">
        <v>788</v>
      </c>
      <c r="D8054" s="8">
        <v>1093415.3999999999</v>
      </c>
      <c r="E8054" s="8">
        <f>E8053+(1093415.4-0)</f>
        <v>-132138258.94000053</v>
      </c>
    </row>
    <row r="8055" spans="1:5" x14ac:dyDescent="0.25">
      <c r="A8055" s="2" t="s">
        <v>787</v>
      </c>
      <c r="B8055" s="6">
        <v>46003</v>
      </c>
      <c r="C8055" s="2" t="s">
        <v>788</v>
      </c>
      <c r="D8055" s="8">
        <v>365999.37</v>
      </c>
      <c r="E8055" s="8">
        <f>E8054+(365999.37-0)</f>
        <v>-131772259.57000053</v>
      </c>
    </row>
    <row r="8056" spans="1:5" x14ac:dyDescent="0.25">
      <c r="A8056" s="2" t="s">
        <v>789</v>
      </c>
      <c r="B8056" s="6">
        <v>45863</v>
      </c>
      <c r="C8056" s="2" t="s">
        <v>790</v>
      </c>
      <c r="D8056" s="8">
        <v>64040</v>
      </c>
      <c r="E8056" s="8">
        <f>E8055+(64040-0)</f>
        <v>-131708219.57000053</v>
      </c>
    </row>
    <row r="8057" spans="1:5" x14ac:dyDescent="0.25">
      <c r="A8057" s="2" t="s">
        <v>791</v>
      </c>
      <c r="B8057" s="6">
        <v>45919</v>
      </c>
      <c r="C8057" s="2" t="s">
        <v>551</v>
      </c>
      <c r="D8057" s="8">
        <v>249251.24</v>
      </c>
      <c r="E8057" s="8">
        <f>E8056+(249251.24-0)</f>
        <v>-131458968.33000053</v>
      </c>
    </row>
    <row r="8058" spans="1:5" x14ac:dyDescent="0.25">
      <c r="A8058" s="2" t="s">
        <v>792</v>
      </c>
      <c r="B8058" s="6">
        <v>45358</v>
      </c>
      <c r="C8058" s="2" t="s">
        <v>793</v>
      </c>
      <c r="D8058" s="8">
        <v>10980</v>
      </c>
      <c r="E8058" s="8">
        <f>E8057+(10980-0)</f>
        <v>-131447988.33000053</v>
      </c>
    </row>
    <row r="8059" spans="1:5" x14ac:dyDescent="0.25">
      <c r="A8059" s="2" t="s">
        <v>792</v>
      </c>
      <c r="B8059" s="6">
        <v>45364</v>
      </c>
      <c r="C8059" s="2" t="s">
        <v>794</v>
      </c>
      <c r="D8059" s="8">
        <v>1000000</v>
      </c>
      <c r="E8059" s="8">
        <f>E8058+(1000000-0)</f>
        <v>-130447988.33000053</v>
      </c>
    </row>
    <row r="8060" spans="1:5" x14ac:dyDescent="0.25">
      <c r="A8060" s="2" t="s">
        <v>792</v>
      </c>
      <c r="B8060" s="6">
        <v>45369</v>
      </c>
      <c r="C8060" s="2" t="s">
        <v>795</v>
      </c>
      <c r="D8060" s="8">
        <v>14112</v>
      </c>
      <c r="E8060" s="8">
        <f>E8059+(14112-0)</f>
        <v>-130433876.33000053</v>
      </c>
    </row>
    <row r="8061" spans="1:5" x14ac:dyDescent="0.25">
      <c r="A8061" s="2" t="s">
        <v>792</v>
      </c>
      <c r="B8061" s="6">
        <v>45369</v>
      </c>
      <c r="C8061" s="2" t="s">
        <v>795</v>
      </c>
      <c r="D8061" s="8">
        <v>12768</v>
      </c>
      <c r="E8061" s="8">
        <f>E8060+(12768-0)</f>
        <v>-130421108.33000053</v>
      </c>
    </row>
    <row r="8062" spans="1:5" x14ac:dyDescent="0.25">
      <c r="A8062" s="2" t="s">
        <v>792</v>
      </c>
      <c r="B8062" s="6">
        <v>45399</v>
      </c>
      <c r="C8062" s="2" t="s">
        <v>796</v>
      </c>
      <c r="D8062" s="8">
        <v>4635540</v>
      </c>
      <c r="E8062" s="8">
        <f>E8061+(4635540-0)</f>
        <v>-125785568.33000053</v>
      </c>
    </row>
    <row r="8063" spans="1:5" x14ac:dyDescent="0.25">
      <c r="A8063" s="2" t="s">
        <v>792</v>
      </c>
      <c r="B8063" s="6">
        <v>45427</v>
      </c>
      <c r="C8063" s="2" t="s">
        <v>797</v>
      </c>
      <c r="D8063" s="8">
        <v>500000</v>
      </c>
      <c r="E8063" s="8">
        <f>E8062+(500000-0)</f>
        <v>-125285568.33000053</v>
      </c>
    </row>
    <row r="8064" spans="1:5" x14ac:dyDescent="0.25">
      <c r="A8064" s="2" t="s">
        <v>792</v>
      </c>
      <c r="B8064" s="6">
        <v>45439</v>
      </c>
      <c r="C8064" s="2" t="s">
        <v>798</v>
      </c>
      <c r="D8064" s="8">
        <v>730290</v>
      </c>
      <c r="E8064" s="8">
        <f>E8063+(730290-0)</f>
        <v>-124555278.33000053</v>
      </c>
    </row>
    <row r="8065" spans="1:5" x14ac:dyDescent="0.25">
      <c r="A8065" s="2" t="s">
        <v>792</v>
      </c>
      <c r="B8065" s="6">
        <v>45516</v>
      </c>
      <c r="C8065" s="2" t="s">
        <v>799</v>
      </c>
      <c r="D8065" s="8">
        <v>66950</v>
      </c>
      <c r="E8065" s="8">
        <f>E8064+(66950-0)</f>
        <v>-124488328.33000053</v>
      </c>
    </row>
    <row r="8066" spans="1:5" x14ac:dyDescent="0.25">
      <c r="A8066" s="2" t="s">
        <v>792</v>
      </c>
      <c r="B8066" s="6">
        <v>45569</v>
      </c>
      <c r="C8066" s="2" t="s">
        <v>800</v>
      </c>
      <c r="D8066" s="8">
        <v>849375.8</v>
      </c>
      <c r="E8066" s="8">
        <f>E8065+(849375.8-0)</f>
        <v>-123638952.53000054</v>
      </c>
    </row>
    <row r="8067" spans="1:5" x14ac:dyDescent="0.25">
      <c r="A8067" s="2" t="s">
        <v>792</v>
      </c>
      <c r="B8067" s="6">
        <v>45621</v>
      </c>
      <c r="C8067" s="2" t="s">
        <v>801</v>
      </c>
      <c r="D8067" s="8">
        <v>24156</v>
      </c>
      <c r="E8067" s="8">
        <f>E8066+(24156-0)</f>
        <v>-123614796.53000054</v>
      </c>
    </row>
    <row r="8068" spans="1:5" x14ac:dyDescent="0.25">
      <c r="A8068" s="2" t="s">
        <v>792</v>
      </c>
      <c r="B8068" s="6">
        <v>45681</v>
      </c>
      <c r="C8068" s="2" t="s">
        <v>796</v>
      </c>
      <c r="D8068" s="8">
        <v>39900</v>
      </c>
      <c r="E8068" s="8">
        <f>E8067+(39900-0)</f>
        <v>-123574896.53000054</v>
      </c>
    </row>
    <row r="8069" spans="1:5" x14ac:dyDescent="0.25">
      <c r="A8069" s="2" t="s">
        <v>802</v>
      </c>
      <c r="B8069" s="6">
        <v>45331</v>
      </c>
      <c r="C8069" s="2" t="s">
        <v>803</v>
      </c>
      <c r="D8069" s="8">
        <v>66774</v>
      </c>
      <c r="E8069" s="8">
        <f>E8068+(66774-0)</f>
        <v>-123508122.53000054</v>
      </c>
    </row>
    <row r="8070" spans="1:5" x14ac:dyDescent="0.25">
      <c r="A8070" s="2" t="s">
        <v>802</v>
      </c>
      <c r="B8070" s="6">
        <v>45580</v>
      </c>
      <c r="C8070" s="2" t="s">
        <v>801</v>
      </c>
      <c r="D8070" s="8">
        <v>24156</v>
      </c>
      <c r="E8070" s="8">
        <f>E8069+(24156-0)</f>
        <v>-123483966.53000054</v>
      </c>
    </row>
    <row r="8071" spans="1:5" x14ac:dyDescent="0.25">
      <c r="A8071" s="2" t="s">
        <v>804</v>
      </c>
      <c r="B8071" s="6">
        <v>45468</v>
      </c>
      <c r="C8071" s="2" t="s">
        <v>803</v>
      </c>
      <c r="D8071" s="8">
        <v>19935</v>
      </c>
      <c r="E8071" s="8">
        <f>E8070+(19935-0)</f>
        <v>-123464031.53000054</v>
      </c>
    </row>
    <row r="8072" spans="1:5" x14ac:dyDescent="0.25">
      <c r="A8072" s="2" t="s">
        <v>805</v>
      </c>
      <c r="B8072" s="6">
        <v>44894</v>
      </c>
      <c r="C8072" s="2" t="s">
        <v>560</v>
      </c>
      <c r="D8072" s="8">
        <v>1500000</v>
      </c>
      <c r="E8072" s="8">
        <f>E8071+(1500000-0)</f>
        <v>-121964031.53000054</v>
      </c>
    </row>
    <row r="8073" spans="1:5" x14ac:dyDescent="0.25">
      <c r="A8073" s="2" t="s">
        <v>806</v>
      </c>
      <c r="B8073" s="6">
        <v>43563</v>
      </c>
      <c r="C8073" s="2" t="s">
        <v>807</v>
      </c>
      <c r="D8073" s="8">
        <v>2903962.5</v>
      </c>
      <c r="E8073" s="8">
        <f>E8072+(2903962.5-0)</f>
        <v>-119060069.03000054</v>
      </c>
    </row>
    <row r="8074" spans="1:5" x14ac:dyDescent="0.25">
      <c r="A8074" s="2" t="s">
        <v>806</v>
      </c>
      <c r="B8074" s="6">
        <v>44841</v>
      </c>
      <c r="C8074" s="2" t="s">
        <v>808</v>
      </c>
      <c r="D8074" s="8">
        <v>15000000</v>
      </c>
      <c r="E8074" s="8">
        <f>E8073+(15000000-0)</f>
        <v>-104060069.03000054</v>
      </c>
    </row>
    <row r="8075" spans="1:5" x14ac:dyDescent="0.25">
      <c r="A8075" s="2" t="s">
        <v>806</v>
      </c>
      <c r="B8075" s="6">
        <v>44865</v>
      </c>
      <c r="C8075" s="2" t="s">
        <v>809</v>
      </c>
      <c r="D8075" s="8">
        <v>-9000000</v>
      </c>
      <c r="E8075" s="8">
        <f>E8074+(0-9000000)</f>
        <v>-113060069.03000054</v>
      </c>
    </row>
    <row r="8076" spans="1:5" x14ac:dyDescent="0.25">
      <c r="A8076" s="2" t="s">
        <v>806</v>
      </c>
      <c r="B8076" s="6">
        <v>44865</v>
      </c>
      <c r="C8076" s="2" t="s">
        <v>809</v>
      </c>
      <c r="D8076" s="8">
        <v>-6000000</v>
      </c>
      <c r="E8076" s="8">
        <f>E8075+(0-6000000)</f>
        <v>-119060069.03000054</v>
      </c>
    </row>
    <row r="8077" spans="1:5" x14ac:dyDescent="0.25">
      <c r="A8077" s="2" t="s">
        <v>810</v>
      </c>
      <c r="B8077" s="6">
        <v>44895</v>
      </c>
      <c r="C8077" s="2" t="s">
        <v>562</v>
      </c>
      <c r="D8077" s="8">
        <v>-1500000</v>
      </c>
      <c r="E8077" s="8">
        <f>E8076+(0-1500000)</f>
        <v>-120560069.03000054</v>
      </c>
    </row>
    <row r="8078" spans="1:5" x14ac:dyDescent="0.25">
      <c r="A8078" s="2" t="s">
        <v>811</v>
      </c>
      <c r="B8078" s="6">
        <v>45897</v>
      </c>
      <c r="C8078" s="2" t="s">
        <v>812</v>
      </c>
      <c r="D8078" s="8">
        <v>-5817.96</v>
      </c>
      <c r="E8078" s="8">
        <f>E8077+(0-5817.96)</f>
        <v>-120565886.99000053</v>
      </c>
    </row>
    <row r="8079" spans="1:5" x14ac:dyDescent="0.25">
      <c r="A8079" s="2" t="s">
        <v>813</v>
      </c>
      <c r="B8079" s="6">
        <v>45835</v>
      </c>
      <c r="C8079" s="2" t="s">
        <v>814</v>
      </c>
      <c r="D8079" s="8">
        <v>-2729.26</v>
      </c>
      <c r="E8079" s="8">
        <f>E8078+(0-2729.26)</f>
        <v>-120568616.25000054</v>
      </c>
    </row>
    <row r="8080" spans="1:5" x14ac:dyDescent="0.25">
      <c r="A8080" s="2" t="s">
        <v>815</v>
      </c>
      <c r="B8080" s="6">
        <v>45863</v>
      </c>
      <c r="C8080" s="2" t="s">
        <v>816</v>
      </c>
      <c r="D8080" s="8">
        <v>-4460.7299999999996</v>
      </c>
      <c r="E8080" s="8">
        <f>E8079+(0-4460.73)</f>
        <v>-120573076.98000054</v>
      </c>
    </row>
    <row r="8081" spans="1:5" x14ac:dyDescent="0.25">
      <c r="A8081" s="2" t="s">
        <v>817</v>
      </c>
      <c r="B8081" s="6">
        <v>45743</v>
      </c>
      <c r="C8081" s="2" t="s">
        <v>818</v>
      </c>
      <c r="D8081" s="8">
        <v>-1760.29</v>
      </c>
      <c r="E8081" s="8">
        <f>E8080+(0-1760.29)</f>
        <v>-120574837.27000055</v>
      </c>
    </row>
    <row r="8082" spans="1:5" x14ac:dyDescent="0.25">
      <c r="A8082" s="2" t="s">
        <v>819</v>
      </c>
      <c r="B8082" s="6">
        <v>45804</v>
      </c>
      <c r="C8082" s="2" t="s">
        <v>814</v>
      </c>
      <c r="D8082" s="8">
        <v>-2302.66</v>
      </c>
      <c r="E8082" s="8">
        <f>E8081+(0-2302.66)</f>
        <v>-120577139.93000054</v>
      </c>
    </row>
    <row r="8083" spans="1:5" x14ac:dyDescent="0.25">
      <c r="A8083" s="2" t="s">
        <v>820</v>
      </c>
      <c r="B8083" s="6">
        <v>45684</v>
      </c>
      <c r="C8083" s="2" t="s">
        <v>821</v>
      </c>
      <c r="D8083" s="8">
        <v>-75232.98</v>
      </c>
      <c r="E8083" s="8">
        <f>E8082+(0-75232.98)</f>
        <v>-120652372.91000055</v>
      </c>
    </row>
    <row r="8084" spans="1:5" x14ac:dyDescent="0.25">
      <c r="A8084" s="2" t="s">
        <v>820</v>
      </c>
      <c r="B8084" s="6">
        <v>45715</v>
      </c>
      <c r="C8084" s="2" t="s">
        <v>230</v>
      </c>
      <c r="D8084" s="8">
        <v>-1798.25</v>
      </c>
      <c r="E8084" s="8">
        <f>E8083+(0-1798.25)</f>
        <v>-120654171.16000055</v>
      </c>
    </row>
    <row r="8085" spans="1:5" x14ac:dyDescent="0.25">
      <c r="A8085" s="2" t="s">
        <v>822</v>
      </c>
      <c r="B8085" s="6">
        <v>44273</v>
      </c>
      <c r="C8085" s="2" t="s">
        <v>823</v>
      </c>
      <c r="D8085" s="8">
        <v>1400000</v>
      </c>
      <c r="E8085" s="8">
        <f>E8084+(1400000-0)</f>
        <v>-119254171.16000055</v>
      </c>
    </row>
    <row r="8086" spans="1:5" customFormat="1" ht="14.5" x14ac:dyDescent="0.35">
      <c r="D8086" s="12"/>
    </row>
    <row r="8087" spans="1:5" s="4" customFormat="1" ht="12" thickBot="1" x14ac:dyDescent="0.3">
      <c r="A8087" s="3" t="s">
        <v>824</v>
      </c>
      <c r="B8087" s="5"/>
      <c r="C8087" s="3" t="s">
        <v>825</v>
      </c>
      <c r="D8087" s="7">
        <f>SUBTOTAL(9, D2:D8086)</f>
        <v>-119254171.16000055</v>
      </c>
      <c r="E8087" s="7"/>
    </row>
    <row r="8088" spans="1:5" customFormat="1" ht="15.5" thickTop="1" thickBot="1" x14ac:dyDescent="0.4">
      <c r="A8088" s="13"/>
      <c r="B8088" s="13"/>
      <c r="C8088" s="13"/>
      <c r="D8088" s="14"/>
      <c r="E8088" s="13"/>
    </row>
  </sheetData>
  <pageMargins left="0.7" right="0.7" top="1.4444444444444444" bottom="0.65277777777777779" header="0.3" footer="0.3"/>
  <pageSetup orientation="landscape" r:id="rId1"/>
  <headerFooter>
    <oddHeader xml:space="preserve">&amp;C&amp;"Arial"&amp;12&amp;BPLACEWARE NIGERIA LIMITED&amp;B
&amp;11&amp;BOther Outstanding Items&amp;B
&amp;BAs of Jun 30, 2026&amp;B
&amp;B10290 - Fidelity Bank&amp;B&amp;L&amp;"Arial"&amp;12
&amp;11
&amp;"Times New Roman"&amp;8Filter Criteria includes: 1) Uncleared Transactions; 2) Others. Report order is by Number.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Other Outstanding Items</vt:lpstr>
      <vt:lpstr>'Other Outstanding Items'!Print_Titles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2026-07-05T18:51:49Z</dcterms:created>
  <dcterms:modified xsi:type="dcterms:W3CDTF">2026-07-05T18:53:44Z</dcterms:modified>
</cp:coreProperties>
</file>