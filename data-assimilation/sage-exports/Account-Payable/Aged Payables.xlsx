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95DC9147-82D0-4E38-AD7B-8D6DCC852BB3}" xr6:coauthVersionLast="47" xr6:coauthVersionMax="47" xr10:uidLastSave="{00000000-0000-0000-0000-000000000000}"/>
  <bookViews>
    <workbookView xWindow="-110" yWindow="-110" windowWidth="19420" windowHeight="10300" xr2:uid="{C94552A1-5231-4559-B636-366A81748E84}"/>
  </bookViews>
  <sheets>
    <sheet name="Aged Payables" sheetId="1" r:id="rId1"/>
  </sheets>
  <definedNames>
    <definedName name="_xlnm.Print_Titles" localSheetId="0">'Aged Payables'!$1:$1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3" i="1" l="1"/>
  <c r="I183" i="1"/>
  <c r="H183" i="1"/>
  <c r="G183" i="1"/>
  <c r="F183" i="1"/>
  <c r="J181" i="1"/>
  <c r="I181" i="1"/>
  <c r="H181" i="1"/>
  <c r="G181" i="1"/>
  <c r="F181" i="1"/>
  <c r="J175" i="1"/>
  <c r="I175" i="1"/>
  <c r="H175" i="1"/>
  <c r="G175" i="1"/>
  <c r="F175" i="1"/>
  <c r="J171" i="1"/>
  <c r="I171" i="1"/>
  <c r="H171" i="1"/>
  <c r="G171" i="1"/>
  <c r="F171" i="1"/>
  <c r="J165" i="1"/>
  <c r="I165" i="1"/>
  <c r="H165" i="1"/>
  <c r="G165" i="1"/>
  <c r="F165" i="1"/>
  <c r="J154" i="1"/>
  <c r="I154" i="1"/>
  <c r="H154" i="1"/>
  <c r="G154" i="1"/>
  <c r="F154" i="1"/>
  <c r="J144" i="1"/>
  <c r="I144" i="1"/>
  <c r="H144" i="1"/>
  <c r="G144" i="1"/>
  <c r="F144" i="1"/>
  <c r="J113" i="1"/>
  <c r="I113" i="1"/>
  <c r="H113" i="1"/>
  <c r="G113" i="1"/>
  <c r="F113" i="1"/>
  <c r="J109" i="1"/>
  <c r="I109" i="1"/>
  <c r="H109" i="1"/>
  <c r="G109" i="1"/>
  <c r="F109" i="1"/>
  <c r="J97" i="1"/>
  <c r="I97" i="1"/>
  <c r="H97" i="1"/>
  <c r="G97" i="1"/>
  <c r="F97" i="1"/>
  <c r="J93" i="1"/>
  <c r="I93" i="1"/>
  <c r="H93" i="1"/>
  <c r="G93" i="1"/>
  <c r="F93" i="1"/>
  <c r="J74" i="1"/>
  <c r="I74" i="1"/>
  <c r="H74" i="1"/>
  <c r="G74" i="1"/>
  <c r="F74" i="1"/>
  <c r="J67" i="1"/>
  <c r="I67" i="1"/>
  <c r="H67" i="1"/>
  <c r="G67" i="1"/>
  <c r="F67" i="1"/>
  <c r="J60" i="1"/>
  <c r="I60" i="1"/>
  <c r="H60" i="1"/>
  <c r="G60" i="1"/>
  <c r="F60" i="1"/>
  <c r="J50" i="1"/>
  <c r="I50" i="1"/>
  <c r="H50" i="1"/>
  <c r="G50" i="1"/>
  <c r="F50" i="1"/>
  <c r="J46" i="1"/>
  <c r="I46" i="1"/>
  <c r="H46" i="1"/>
  <c r="G46" i="1"/>
  <c r="F46" i="1"/>
  <c r="J41" i="1"/>
  <c r="I41" i="1"/>
  <c r="H41" i="1"/>
  <c r="G41" i="1"/>
  <c r="F41" i="1"/>
  <c r="J37" i="1"/>
  <c r="I37" i="1"/>
  <c r="H37" i="1"/>
  <c r="G37" i="1"/>
  <c r="F37" i="1"/>
  <c r="J33" i="1"/>
  <c r="I33" i="1"/>
  <c r="H33" i="1"/>
  <c r="G33" i="1"/>
  <c r="F33" i="1"/>
  <c r="J28" i="1"/>
  <c r="I28" i="1"/>
  <c r="H28" i="1"/>
  <c r="G28" i="1"/>
  <c r="F28" i="1"/>
  <c r="J20" i="1"/>
  <c r="I20" i="1"/>
  <c r="H20" i="1"/>
  <c r="G20" i="1"/>
  <c r="F20" i="1"/>
  <c r="J16" i="1"/>
  <c r="I16" i="1"/>
  <c r="H16" i="1"/>
  <c r="G16" i="1"/>
  <c r="F16" i="1"/>
</calcChain>
</file>

<file path=xl/sharedStrings.xml><?xml version="1.0" encoding="utf-8"?>
<sst xmlns="http://schemas.openxmlformats.org/spreadsheetml/2006/main" count="710" uniqueCount="160">
  <si>
    <t>Vendor ID</t>
  </si>
  <si>
    <t>Vendor</t>
  </si>
  <si>
    <t>Contact</t>
  </si>
  <si>
    <t>Telephone 1</t>
  </si>
  <si>
    <t>Invoice/CM #</t>
  </si>
  <si>
    <t>0 - 30</t>
  </si>
  <si>
    <t>31 - 60</t>
  </si>
  <si>
    <t>61 - 90</t>
  </si>
  <si>
    <t>Over 90 days</t>
  </si>
  <si>
    <t>Amount Due</t>
  </si>
  <si>
    <t>Assene-Laborex Ltd</t>
  </si>
  <si>
    <t/>
  </si>
  <si>
    <t>00-265937-00</t>
  </si>
  <si>
    <t>00-265933-00</t>
  </si>
  <si>
    <t>00-265935-00</t>
  </si>
  <si>
    <t>00-323325-00</t>
  </si>
  <si>
    <t>00-323324-00</t>
  </si>
  <si>
    <t>00-324793-00</t>
  </si>
  <si>
    <t>00-324792-00</t>
  </si>
  <si>
    <t>00-326771-00</t>
  </si>
  <si>
    <t>00-326772-00</t>
  </si>
  <si>
    <t>00-328606-00</t>
  </si>
  <si>
    <t>00-328605-00</t>
  </si>
  <si>
    <t>00-328604-00</t>
  </si>
  <si>
    <t>00-328982-00</t>
  </si>
  <si>
    <t>Camol Pharmaceutical</t>
  </si>
  <si>
    <t>Camol Pharmaceuticals Limited</t>
  </si>
  <si>
    <t>33869</t>
  </si>
  <si>
    <t>Carecore Pharmacy</t>
  </si>
  <si>
    <t>07042280460</t>
  </si>
  <si>
    <t>05/08/2024</t>
  </si>
  <si>
    <t>0056961</t>
  </si>
  <si>
    <t>0056957</t>
  </si>
  <si>
    <t>0056959</t>
  </si>
  <si>
    <t>0056960</t>
  </si>
  <si>
    <t>CHANRAI HEALTHCARE</t>
  </si>
  <si>
    <t>CHANRAI HEALTHCARE LTD</t>
  </si>
  <si>
    <t>0000414</t>
  </si>
  <si>
    <t>TRANSER</t>
  </si>
  <si>
    <t>DANAX NIG. LTD</t>
  </si>
  <si>
    <t>0009262</t>
  </si>
  <si>
    <t>Famatex Pharmacy Ltd</t>
  </si>
  <si>
    <t>Famatex Pharmacy  Ltd</t>
  </si>
  <si>
    <t>004817</t>
  </si>
  <si>
    <t>Glaxo Smithkline</t>
  </si>
  <si>
    <t>Glaxo smithkline pharmaceutical Nig ltd</t>
  </si>
  <si>
    <t>5397606914</t>
  </si>
  <si>
    <t>5397606916</t>
  </si>
  <si>
    <t>GSK CONSUMER</t>
  </si>
  <si>
    <t>SmithKline Beecham Nig Ltd</t>
  </si>
  <si>
    <t>5397772728</t>
  </si>
  <si>
    <t>Medvacc Pharmaceutic</t>
  </si>
  <si>
    <t>Medvacc Pharmaceuticals Ltd</t>
  </si>
  <si>
    <t>Closing Bal2018</t>
  </si>
  <si>
    <t>00033</t>
  </si>
  <si>
    <t>2025010</t>
  </si>
  <si>
    <t>0014246</t>
  </si>
  <si>
    <t>0014308</t>
  </si>
  <si>
    <t>2025055</t>
  </si>
  <si>
    <t>2025100</t>
  </si>
  <si>
    <t>Octapharma Ltd</t>
  </si>
  <si>
    <t>64,Aina Street Ojodu</t>
  </si>
  <si>
    <t>00065</t>
  </si>
  <si>
    <t>00070</t>
  </si>
  <si>
    <t>00071</t>
  </si>
  <si>
    <t>00076</t>
  </si>
  <si>
    <t>Phillips Pharma. Nig</t>
  </si>
  <si>
    <t>Phillips Pharma. Nig. Ltd</t>
  </si>
  <si>
    <t>1010029974</t>
  </si>
  <si>
    <t>1010038317</t>
  </si>
  <si>
    <t>58381197</t>
  </si>
  <si>
    <t>1010049943</t>
  </si>
  <si>
    <t>Placeware Enterprise</t>
  </si>
  <si>
    <t>02861</t>
  </si>
  <si>
    <t>02883</t>
  </si>
  <si>
    <t>00006</t>
  </si>
  <si>
    <t>00025</t>
  </si>
  <si>
    <t>00029</t>
  </si>
  <si>
    <t>00031</t>
  </si>
  <si>
    <t>00035</t>
  </si>
  <si>
    <t>00038</t>
  </si>
  <si>
    <t>00043</t>
  </si>
  <si>
    <t>00045</t>
  </si>
  <si>
    <t>00049</t>
  </si>
  <si>
    <t>00047</t>
  </si>
  <si>
    <t>00051</t>
  </si>
  <si>
    <t>00075</t>
  </si>
  <si>
    <t>00055</t>
  </si>
  <si>
    <t>00060</t>
  </si>
  <si>
    <t>R.Jolad Hospital</t>
  </si>
  <si>
    <t>R.jolad Hospital</t>
  </si>
  <si>
    <t>RJH/INV/23/03/0077</t>
  </si>
  <si>
    <t>Sanofi Pasteur Avent</t>
  </si>
  <si>
    <t>Sanofi Aventis Pasteur</t>
  </si>
  <si>
    <t>2399</t>
  </si>
  <si>
    <t>2508</t>
  </si>
  <si>
    <t>2783</t>
  </si>
  <si>
    <t>3157</t>
  </si>
  <si>
    <t>4486</t>
  </si>
  <si>
    <t>4564</t>
  </si>
  <si>
    <t>4807</t>
  </si>
  <si>
    <t>100389070</t>
  </si>
  <si>
    <t>Vaccines Place Abuja</t>
  </si>
  <si>
    <t>Vaccipharm</t>
  </si>
  <si>
    <t>Vaccipharm  Limited</t>
  </si>
  <si>
    <t>INV616</t>
  </si>
  <si>
    <t>INV1061</t>
  </si>
  <si>
    <t>INV3163</t>
  </si>
  <si>
    <t>INV3419</t>
  </si>
  <si>
    <t>INV3775</t>
  </si>
  <si>
    <t>INV3877</t>
  </si>
  <si>
    <t>INV4513</t>
  </si>
  <si>
    <t>INV6755</t>
  </si>
  <si>
    <t>INV9027</t>
  </si>
  <si>
    <t>25003</t>
  </si>
  <si>
    <t>27997</t>
  </si>
  <si>
    <t>VPL/PLW 002</t>
  </si>
  <si>
    <t>29299</t>
  </si>
  <si>
    <t>00001</t>
  </si>
  <si>
    <t>29975</t>
  </si>
  <si>
    <t>30101</t>
  </si>
  <si>
    <t>45200174</t>
  </si>
  <si>
    <t>45200164</t>
  </si>
  <si>
    <t>45200185</t>
  </si>
  <si>
    <t>45200211</t>
  </si>
  <si>
    <t>32142</t>
  </si>
  <si>
    <t>32143</t>
  </si>
  <si>
    <t>32184</t>
  </si>
  <si>
    <t>45200240</t>
  </si>
  <si>
    <t>32381</t>
  </si>
  <si>
    <t>32451</t>
  </si>
  <si>
    <t>32658</t>
  </si>
  <si>
    <t>World Wide (GSK)</t>
  </si>
  <si>
    <t>World Wide (GSk)</t>
  </si>
  <si>
    <t>26004000</t>
  </si>
  <si>
    <t>26006456</t>
  </si>
  <si>
    <t>26007841</t>
  </si>
  <si>
    <t>26007813</t>
  </si>
  <si>
    <t>1020126012131</t>
  </si>
  <si>
    <t>1020126012542</t>
  </si>
  <si>
    <t>26009698</t>
  </si>
  <si>
    <t>World wide (Novo)</t>
  </si>
  <si>
    <t>World Wide Commercial Ventures Ltd</t>
  </si>
  <si>
    <t>18017602</t>
  </si>
  <si>
    <t>19004392</t>
  </si>
  <si>
    <t>19009146</t>
  </si>
  <si>
    <t>25020025</t>
  </si>
  <si>
    <t>26006406</t>
  </si>
  <si>
    <t>26007606</t>
  </si>
  <si>
    <t>WLGRIN26009416</t>
  </si>
  <si>
    <t>World wide (Pfizer)</t>
  </si>
  <si>
    <t>WLGRIN23014347</t>
  </si>
  <si>
    <t>25005077</t>
  </si>
  <si>
    <t>World wide(Special O</t>
  </si>
  <si>
    <t>World Wide Comm. Vent Ltd(Specail Order</t>
  </si>
  <si>
    <t>Zolon Healthcare Ltd</t>
  </si>
  <si>
    <t>22021019463</t>
  </si>
  <si>
    <t>22021020441</t>
  </si>
  <si>
    <t>22021021647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</si>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</sst>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903F-FA9C-4E0C-AADA-5014B6F50A84}">
  <dimension ref="A1:J184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4" width="19.6328125" style="2" customWidth="1"/>
    <col min="5" max="5" width="12.6328125" style="2" customWidth="1"/>
    <col min="6" max="6" width="11.6328125" style="6" customWidth="1"/>
    <col min="7" max="7" width="12.6328125" style="6" customWidth="1"/>
    <col min="8" max="9" width="11.6328125" style="6" customWidth="1"/>
    <col min="10" max="10" width="10.6328125" style="6" customWidth="1"/>
    <col min="11" max="16384" width="8.7265625" style="1"/>
  </cols>
  <sheetData>
    <row r="1" spans="1:10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2" t="s">
        <v>10</v>
      </c>
      <c r="B2" s="2" t="s">
        <v>10</v>
      </c>
      <c r="C2" s="2" t="s">
        <v>11</v>
      </c>
      <c r="D2" s="2" t="s">
        <v>11</v>
      </c>
      <c r="E2" s="2" t="s">
        <v>12</v>
      </c>
      <c r="I2" s="6">
        <v>1100000</v>
      </c>
      <c r="J2" s="6">
        <v>1100000</v>
      </c>
    </row>
    <row r="3" spans="1:10" x14ac:dyDescent="0.25">
      <c r="A3" s="2" t="s">
        <v>10</v>
      </c>
      <c r="B3" s="2" t="s">
        <v>10</v>
      </c>
      <c r="C3" s="2" t="s">
        <v>11</v>
      </c>
      <c r="D3" s="2" t="s">
        <v>11</v>
      </c>
      <c r="E3" s="2" t="s">
        <v>13</v>
      </c>
      <c r="I3" s="6">
        <v>1250000</v>
      </c>
      <c r="J3" s="6">
        <v>1250000</v>
      </c>
    </row>
    <row r="4" spans="1:10" x14ac:dyDescent="0.25">
      <c r="A4" s="2" t="s">
        <v>10</v>
      </c>
      <c r="B4" s="2" t="s">
        <v>10</v>
      </c>
      <c r="C4" s="2" t="s">
        <v>11</v>
      </c>
      <c r="D4" s="2" t="s">
        <v>11</v>
      </c>
      <c r="E4" s="2" t="s">
        <v>14</v>
      </c>
      <c r="I4" s="6">
        <v>1370000</v>
      </c>
      <c r="J4" s="6">
        <v>1370000</v>
      </c>
    </row>
    <row r="5" spans="1:10" x14ac:dyDescent="0.25">
      <c r="A5" s="2" t="s">
        <v>10</v>
      </c>
      <c r="B5" s="2" t="s">
        <v>10</v>
      </c>
      <c r="C5" s="2" t="s">
        <v>11</v>
      </c>
      <c r="D5" s="2" t="s">
        <v>11</v>
      </c>
      <c r="E5" s="2" t="s">
        <v>15</v>
      </c>
      <c r="G5" s="6">
        <v>492000.6</v>
      </c>
      <c r="J5" s="6">
        <v>492000.6</v>
      </c>
    </row>
    <row r="6" spans="1:10" x14ac:dyDescent="0.25">
      <c r="A6" s="2" t="s">
        <v>10</v>
      </c>
      <c r="B6" s="2" t="s">
        <v>10</v>
      </c>
      <c r="C6" s="2" t="s">
        <v>11</v>
      </c>
      <c r="D6" s="2" t="s">
        <v>11</v>
      </c>
      <c r="E6" s="2" t="s">
        <v>16</v>
      </c>
      <c r="G6" s="6">
        <v>1871000</v>
      </c>
      <c r="J6" s="6">
        <v>1871000</v>
      </c>
    </row>
    <row r="7" spans="1:10" x14ac:dyDescent="0.25">
      <c r="A7" s="2" t="s">
        <v>10</v>
      </c>
      <c r="B7" s="2" t="s">
        <v>10</v>
      </c>
      <c r="C7" s="2" t="s">
        <v>11</v>
      </c>
      <c r="D7" s="2" t="s">
        <v>11</v>
      </c>
      <c r="E7" s="2" t="s">
        <v>17</v>
      </c>
      <c r="G7" s="6">
        <v>1601001.2</v>
      </c>
      <c r="J7" s="6">
        <v>1601001.2</v>
      </c>
    </row>
    <row r="8" spans="1:10" x14ac:dyDescent="0.25">
      <c r="A8" s="2" t="s">
        <v>10</v>
      </c>
      <c r="B8" s="2" t="s">
        <v>10</v>
      </c>
      <c r="C8" s="2" t="s">
        <v>11</v>
      </c>
      <c r="D8" s="2" t="s">
        <v>11</v>
      </c>
      <c r="E8" s="2" t="s">
        <v>18</v>
      </c>
      <c r="G8" s="6">
        <v>5880000</v>
      </c>
      <c r="J8" s="6">
        <v>5880000</v>
      </c>
    </row>
    <row r="9" spans="1:10" x14ac:dyDescent="0.25">
      <c r="A9" s="2" t="s">
        <v>10</v>
      </c>
      <c r="B9" s="2" t="s">
        <v>10</v>
      </c>
      <c r="C9" s="2" t="s">
        <v>11</v>
      </c>
      <c r="D9" s="2" t="s">
        <v>11</v>
      </c>
      <c r="E9" s="2" t="s">
        <v>19</v>
      </c>
      <c r="F9" s="6">
        <v>5880000</v>
      </c>
      <c r="J9" s="6">
        <v>5880000</v>
      </c>
    </row>
    <row r="10" spans="1:10" x14ac:dyDescent="0.25">
      <c r="A10" s="2" t="s">
        <v>10</v>
      </c>
      <c r="B10" s="2" t="s">
        <v>10</v>
      </c>
      <c r="C10" s="2" t="s">
        <v>11</v>
      </c>
      <c r="D10" s="2" t="s">
        <v>11</v>
      </c>
      <c r="E10" s="2" t="s">
        <v>20</v>
      </c>
      <c r="F10" s="6">
        <v>1309700</v>
      </c>
      <c r="J10" s="6">
        <v>1309700</v>
      </c>
    </row>
    <row r="11" spans="1:10" x14ac:dyDescent="0.25">
      <c r="A11" s="2" t="s">
        <v>10</v>
      </c>
      <c r="B11" s="2" t="s">
        <v>10</v>
      </c>
      <c r="C11" s="2" t="s">
        <v>11</v>
      </c>
      <c r="D11" s="2" t="s">
        <v>11</v>
      </c>
      <c r="E11" s="2" t="s">
        <v>21</v>
      </c>
      <c r="F11" s="6">
        <v>2790480</v>
      </c>
      <c r="J11" s="6">
        <v>2790480</v>
      </c>
    </row>
    <row r="12" spans="1:10" x14ac:dyDescent="0.25">
      <c r="A12" s="2" t="s">
        <v>10</v>
      </c>
      <c r="B12" s="2" t="s">
        <v>10</v>
      </c>
      <c r="C12" s="2" t="s">
        <v>11</v>
      </c>
      <c r="D12" s="2" t="s">
        <v>11</v>
      </c>
      <c r="E12" s="2" t="s">
        <v>22</v>
      </c>
      <c r="F12" s="6">
        <v>49360</v>
      </c>
      <c r="J12" s="6">
        <v>49360</v>
      </c>
    </row>
    <row r="13" spans="1:10" x14ac:dyDescent="0.25">
      <c r="A13" s="2" t="s">
        <v>10</v>
      </c>
      <c r="B13" s="2" t="s">
        <v>10</v>
      </c>
      <c r="C13" s="2" t="s">
        <v>11</v>
      </c>
      <c r="D13" s="2" t="s">
        <v>11</v>
      </c>
      <c r="E13" s="2" t="s">
        <v>23</v>
      </c>
      <c r="F13" s="6">
        <v>531520</v>
      </c>
      <c r="J13" s="6">
        <v>531520</v>
      </c>
    </row>
    <row r="14" spans="1:10" x14ac:dyDescent="0.25">
      <c r="A14" s="2" t="s">
        <v>10</v>
      </c>
      <c r="B14" s="2" t="s">
        <v>10</v>
      </c>
      <c r="C14" s="2" t="s">
        <v>11</v>
      </c>
      <c r="D14" s="2" t="s">
        <v>11</v>
      </c>
      <c r="E14" s="2" t="s">
        <v>24</v>
      </c>
      <c r="F14" s="6">
        <v>2367000</v>
      </c>
      <c r="J14" s="6">
        <v>2367000</v>
      </c>
    </row>
    <row r="15" spans="1:10" customFormat="1" ht="14.5" x14ac:dyDescent="0.35">
      <c r="F15" s="10"/>
      <c r="G15" s="10"/>
      <c r="H15" s="10"/>
      <c r="I15" s="10"/>
      <c r="J15" s="10"/>
    </row>
    <row r="16" spans="1:10" s="4" customFormat="1" x14ac:dyDescent="0.25">
      <c r="A16" s="3" t="s">
        <v>10</v>
      </c>
      <c r="B16" s="3" t="s">
        <v>10</v>
      </c>
      <c r="C16" s="3" t="s">
        <v>11</v>
      </c>
      <c r="D16" s="3" t="s">
        <v>11</v>
      </c>
      <c r="E16" s="3" t="s">
        <v>11</v>
      </c>
      <c r="F16" s="5">
        <f>SUBTOTAL(9, F2:F15)</f>
        <v>12928060</v>
      </c>
      <c r="G16" s="5">
        <f>SUBTOTAL(9, G2:G15)</f>
        <v>9844001.8000000007</v>
      </c>
      <c r="H16" s="5">
        <f>SUBTOTAL(9, H2:H15)</f>
        <v>0</v>
      </c>
      <c r="I16" s="5">
        <f>SUBTOTAL(9, I2:I15)</f>
        <v>3720000</v>
      </c>
      <c r="J16" s="5">
        <f>SUBTOTAL(9, J2:J15)</f>
        <v>26492061.800000001</v>
      </c>
    </row>
    <row r="17" spans="1:10" customFormat="1" ht="14.5" x14ac:dyDescent="0.35">
      <c r="F17" s="10"/>
      <c r="G17" s="10"/>
      <c r="H17" s="10"/>
      <c r="I17" s="10"/>
      <c r="J17" s="10"/>
    </row>
    <row r="18" spans="1:10" x14ac:dyDescent="0.25">
      <c r="A18" s="2" t="s">
        <v>25</v>
      </c>
      <c r="B18" s="2" t="s">
        <v>26</v>
      </c>
      <c r="C18" s="2" t="s">
        <v>11</v>
      </c>
      <c r="D18" s="2" t="s">
        <v>11</v>
      </c>
      <c r="E18" s="2" t="s">
        <v>27</v>
      </c>
      <c r="F18" s="6">
        <v>137000</v>
      </c>
      <c r="J18" s="6">
        <v>137000</v>
      </c>
    </row>
    <row r="19" spans="1:10" customFormat="1" ht="14.5" x14ac:dyDescent="0.35">
      <c r="F19" s="10"/>
      <c r="G19" s="10"/>
      <c r="H19" s="10"/>
      <c r="I19" s="10"/>
      <c r="J19" s="10"/>
    </row>
    <row r="20" spans="1:10" s="4" customFormat="1" x14ac:dyDescent="0.25">
      <c r="A20" s="3" t="s">
        <v>25</v>
      </c>
      <c r="B20" s="3" t="s">
        <v>26</v>
      </c>
      <c r="C20" s="3" t="s">
        <v>11</v>
      </c>
      <c r="D20" s="3" t="s">
        <v>11</v>
      </c>
      <c r="E20" s="3" t="s">
        <v>11</v>
      </c>
      <c r="F20" s="5">
        <f>SUBTOTAL(9, F18:F19)</f>
        <v>137000</v>
      </c>
      <c r="G20" s="5">
        <f>SUBTOTAL(9, G18:G19)</f>
        <v>0</v>
      </c>
      <c r="H20" s="5">
        <f>SUBTOTAL(9, H18:H19)</f>
        <v>0</v>
      </c>
      <c r="I20" s="5">
        <f>SUBTOTAL(9, I18:I19)</f>
        <v>0</v>
      </c>
      <c r="J20" s="5">
        <f>SUBTOTAL(9, J18:J19)</f>
        <v>137000</v>
      </c>
    </row>
    <row r="21" spans="1:10" customFormat="1" ht="14.5" x14ac:dyDescent="0.35">
      <c r="F21" s="10"/>
      <c r="G21" s="10"/>
      <c r="H21" s="10"/>
      <c r="I21" s="10"/>
      <c r="J21" s="10"/>
    </row>
    <row r="22" spans="1:10" x14ac:dyDescent="0.25">
      <c r="A22" s="2" t="s">
        <v>28</v>
      </c>
      <c r="B22" s="2" t="s">
        <v>28</v>
      </c>
      <c r="C22" s="2" t="s">
        <v>29</v>
      </c>
      <c r="D22" s="2" t="s">
        <v>11</v>
      </c>
      <c r="E22" s="2" t="s">
        <v>30</v>
      </c>
      <c r="I22" s="6">
        <v>33864</v>
      </c>
      <c r="J22" s="6">
        <v>33864</v>
      </c>
    </row>
    <row r="23" spans="1:10" x14ac:dyDescent="0.25">
      <c r="A23" s="2" t="s">
        <v>28</v>
      </c>
      <c r="B23" s="2" t="s">
        <v>28</v>
      </c>
      <c r="C23" s="2" t="s">
        <v>29</v>
      </c>
      <c r="D23" s="2" t="s">
        <v>11</v>
      </c>
      <c r="E23" s="2" t="s">
        <v>31</v>
      </c>
      <c r="I23" s="6">
        <v>1080</v>
      </c>
      <c r="J23" s="6">
        <v>1080</v>
      </c>
    </row>
    <row r="24" spans="1:10" x14ac:dyDescent="0.25">
      <c r="A24" s="2" t="s">
        <v>28</v>
      </c>
      <c r="B24" s="2" t="s">
        <v>28</v>
      </c>
      <c r="C24" s="2" t="s">
        <v>29</v>
      </c>
      <c r="D24" s="2" t="s">
        <v>11</v>
      </c>
      <c r="E24" s="2" t="s">
        <v>32</v>
      </c>
      <c r="I24" s="6">
        <v>-3420620</v>
      </c>
      <c r="J24" s="6">
        <v>-3420620</v>
      </c>
    </row>
    <row r="25" spans="1:10" x14ac:dyDescent="0.25">
      <c r="A25" s="2" t="s">
        <v>28</v>
      </c>
      <c r="B25" s="2" t="s">
        <v>28</v>
      </c>
      <c r="C25" s="2" t="s">
        <v>29</v>
      </c>
      <c r="D25" s="2" t="s">
        <v>11</v>
      </c>
      <c r="E25" s="2" t="s">
        <v>33</v>
      </c>
      <c r="I25" s="6">
        <v>-1785505</v>
      </c>
      <c r="J25" s="6">
        <v>-1785505</v>
      </c>
    </row>
    <row r="26" spans="1:10" x14ac:dyDescent="0.25">
      <c r="A26" s="2" t="s">
        <v>28</v>
      </c>
      <c r="B26" s="2" t="s">
        <v>28</v>
      </c>
      <c r="C26" s="2" t="s">
        <v>29</v>
      </c>
      <c r="D26" s="2" t="s">
        <v>11</v>
      </c>
      <c r="E26" s="2" t="s">
        <v>34</v>
      </c>
      <c r="I26" s="6">
        <v>-737995</v>
      </c>
      <c r="J26" s="6">
        <v>-737995</v>
      </c>
    </row>
    <row r="27" spans="1:10" customFormat="1" ht="14.5" x14ac:dyDescent="0.35">
      <c r="F27" s="10"/>
      <c r="G27" s="10"/>
      <c r="H27" s="10"/>
      <c r="I27" s="10"/>
      <c r="J27" s="10"/>
    </row>
    <row r="28" spans="1:10" s="4" customFormat="1" x14ac:dyDescent="0.25">
      <c r="A28" s="3" t="s">
        <v>28</v>
      </c>
      <c r="B28" s="3" t="s">
        <v>28</v>
      </c>
      <c r="C28" s="3" t="s">
        <v>11</v>
      </c>
      <c r="D28" s="3" t="s">
        <v>11</v>
      </c>
      <c r="E28" s="3" t="s">
        <v>11</v>
      </c>
      <c r="F28" s="5">
        <f>SUBTOTAL(9, F22:F27)</f>
        <v>0</v>
      </c>
      <c r="G28" s="5">
        <f>SUBTOTAL(9, G22:G27)</f>
        <v>0</v>
      </c>
      <c r="H28" s="5">
        <f>SUBTOTAL(9, H22:H27)</f>
        <v>0</v>
      </c>
      <c r="I28" s="5">
        <f>SUBTOTAL(9, I22:I27)</f>
        <v>-5909176</v>
      </c>
      <c r="J28" s="5">
        <f>SUBTOTAL(9, J22:J27)</f>
        <v>-5909176</v>
      </c>
    </row>
    <row r="29" spans="1:10" customFormat="1" ht="14.5" x14ac:dyDescent="0.35">
      <c r="F29" s="10"/>
      <c r="G29" s="10"/>
      <c r="H29" s="10"/>
      <c r="I29" s="10"/>
      <c r="J29" s="10"/>
    </row>
    <row r="30" spans="1:10" x14ac:dyDescent="0.25">
      <c r="A30" s="2" t="s">
        <v>35</v>
      </c>
      <c r="B30" s="2" t="s">
        <v>36</v>
      </c>
      <c r="C30" s="2" t="s">
        <v>11</v>
      </c>
      <c r="D30" s="2" t="s">
        <v>11</v>
      </c>
      <c r="E30" s="2" t="s">
        <v>37</v>
      </c>
      <c r="I30" s="6">
        <v>-99999.96</v>
      </c>
      <c r="J30" s="6">
        <v>-99999.96</v>
      </c>
    </row>
    <row r="31" spans="1:10" x14ac:dyDescent="0.25">
      <c r="A31" s="2" t="s">
        <v>35</v>
      </c>
      <c r="B31" s="2" t="s">
        <v>36</v>
      </c>
      <c r="C31" s="2" t="s">
        <v>11</v>
      </c>
      <c r="D31" s="2" t="s">
        <v>11</v>
      </c>
      <c r="E31" s="2" t="s">
        <v>38</v>
      </c>
      <c r="I31" s="6">
        <v>100000</v>
      </c>
      <c r="J31" s="6">
        <v>100000</v>
      </c>
    </row>
    <row r="32" spans="1:10" customFormat="1" ht="14.5" x14ac:dyDescent="0.35">
      <c r="F32" s="10"/>
      <c r="G32" s="10"/>
      <c r="H32" s="10"/>
      <c r="I32" s="10"/>
      <c r="J32" s="10"/>
    </row>
    <row r="33" spans="1:10" s="4" customFormat="1" x14ac:dyDescent="0.25">
      <c r="A33" s="3" t="s">
        <v>35</v>
      </c>
      <c r="B33" s="3" t="s">
        <v>36</v>
      </c>
      <c r="C33" s="3" t="s">
        <v>11</v>
      </c>
      <c r="D33" s="3" t="s">
        <v>11</v>
      </c>
      <c r="E33" s="3" t="s">
        <v>11</v>
      </c>
      <c r="F33" s="5">
        <f>SUBTOTAL(9, F30:F32)</f>
        <v>0</v>
      </c>
      <c r="G33" s="5">
        <f>SUBTOTAL(9, G30:G32)</f>
        <v>0</v>
      </c>
      <c r="H33" s="5">
        <f>SUBTOTAL(9, H30:H32)</f>
        <v>0</v>
      </c>
      <c r="I33" s="5">
        <f>SUBTOTAL(9, I30:I32)</f>
        <v>3.9999999993597157E-2</v>
      </c>
      <c r="J33" s="5">
        <f>SUBTOTAL(9, J30:J32)</f>
        <v>3.9999999993597157E-2</v>
      </c>
    </row>
    <row r="34" spans="1:10" customFormat="1" ht="14.5" x14ac:dyDescent="0.35">
      <c r="F34" s="10"/>
      <c r="G34" s="10"/>
      <c r="H34" s="10"/>
      <c r="I34" s="10"/>
      <c r="J34" s="10"/>
    </row>
    <row r="35" spans="1:10" x14ac:dyDescent="0.25">
      <c r="A35" s="2" t="s">
        <v>39</v>
      </c>
      <c r="B35" s="2" t="s">
        <v>39</v>
      </c>
      <c r="C35" s="2" t="s">
        <v>11</v>
      </c>
      <c r="D35" s="2" t="s">
        <v>11</v>
      </c>
      <c r="E35" s="2" t="s">
        <v>40</v>
      </c>
      <c r="I35" s="6">
        <v>20</v>
      </c>
      <c r="J35" s="6">
        <v>20</v>
      </c>
    </row>
    <row r="36" spans="1:10" customFormat="1" ht="14.5" x14ac:dyDescent="0.35">
      <c r="F36" s="10"/>
      <c r="G36" s="10"/>
      <c r="H36" s="10"/>
      <c r="I36" s="10"/>
      <c r="J36" s="10"/>
    </row>
    <row r="37" spans="1:10" s="4" customFormat="1" x14ac:dyDescent="0.25">
      <c r="A37" s="3" t="s">
        <v>39</v>
      </c>
      <c r="B37" s="3" t="s">
        <v>39</v>
      </c>
      <c r="C37" s="3" t="s">
        <v>11</v>
      </c>
      <c r="D37" s="3" t="s">
        <v>11</v>
      </c>
      <c r="E37" s="3" t="s">
        <v>11</v>
      </c>
      <c r="F37" s="5">
        <f>SUBTOTAL(9, F35:F36)</f>
        <v>0</v>
      </c>
      <c r="G37" s="5">
        <f>SUBTOTAL(9, G35:G36)</f>
        <v>0</v>
      </c>
      <c r="H37" s="5">
        <f>SUBTOTAL(9, H35:H36)</f>
        <v>0</v>
      </c>
      <c r="I37" s="5">
        <f>SUBTOTAL(9, I35:I36)</f>
        <v>20</v>
      </c>
      <c r="J37" s="5">
        <f>SUBTOTAL(9, J35:J36)</f>
        <v>20</v>
      </c>
    </row>
    <row r="38" spans="1:10" customFormat="1" ht="14.5" x14ac:dyDescent="0.35">
      <c r="F38" s="10"/>
      <c r="G38" s="10"/>
      <c r="H38" s="10"/>
      <c r="I38" s="10"/>
      <c r="J38" s="10"/>
    </row>
    <row r="39" spans="1:10" x14ac:dyDescent="0.25">
      <c r="A39" s="2" t="s">
        <v>41</v>
      </c>
      <c r="B39" s="2" t="s">
        <v>42</v>
      </c>
      <c r="C39" s="2" t="s">
        <v>11</v>
      </c>
      <c r="D39" s="2" t="s">
        <v>11</v>
      </c>
      <c r="E39" s="2" t="s">
        <v>43</v>
      </c>
      <c r="F39" s="6">
        <v>648000</v>
      </c>
      <c r="J39" s="6">
        <v>648000</v>
      </c>
    </row>
    <row r="40" spans="1:10" customFormat="1" ht="14.5" x14ac:dyDescent="0.35">
      <c r="F40" s="10"/>
      <c r="G40" s="10"/>
      <c r="H40" s="10"/>
      <c r="I40" s="10"/>
      <c r="J40" s="10"/>
    </row>
    <row r="41" spans="1:10" s="4" customFormat="1" x14ac:dyDescent="0.25">
      <c r="A41" s="3" t="s">
        <v>41</v>
      </c>
      <c r="B41" s="3" t="s">
        <v>42</v>
      </c>
      <c r="C41" s="3" t="s">
        <v>11</v>
      </c>
      <c r="D41" s="3" t="s">
        <v>11</v>
      </c>
      <c r="E41" s="3" t="s">
        <v>11</v>
      </c>
      <c r="F41" s="5">
        <f>SUBTOTAL(9, F39:F40)</f>
        <v>648000</v>
      </c>
      <c r="G41" s="5">
        <f>SUBTOTAL(9, G39:G40)</f>
        <v>0</v>
      </c>
      <c r="H41" s="5">
        <f>SUBTOTAL(9, H39:H40)</f>
        <v>0</v>
      </c>
      <c r="I41" s="5">
        <f>SUBTOTAL(9, I39:I40)</f>
        <v>0</v>
      </c>
      <c r="J41" s="5">
        <f>SUBTOTAL(9, J39:J40)</f>
        <v>648000</v>
      </c>
    </row>
    <row r="42" spans="1:10" customFormat="1" ht="14.5" x14ac:dyDescent="0.35">
      <c r="F42" s="10"/>
      <c r="G42" s="10"/>
      <c r="H42" s="10"/>
      <c r="I42" s="10"/>
      <c r="J42" s="10"/>
    </row>
    <row r="43" spans="1:10" x14ac:dyDescent="0.25">
      <c r="A43" s="2" t="s">
        <v>44</v>
      </c>
      <c r="B43" s="2" t="s">
        <v>45</v>
      </c>
      <c r="C43" s="2" t="s">
        <v>11</v>
      </c>
      <c r="D43" s="2" t="s">
        <v>11</v>
      </c>
      <c r="E43" s="2" t="s">
        <v>46</v>
      </c>
      <c r="I43" s="6">
        <v>6650500</v>
      </c>
      <c r="J43" s="6">
        <v>6650500</v>
      </c>
    </row>
    <row r="44" spans="1:10" x14ac:dyDescent="0.25">
      <c r="A44" s="2" t="s">
        <v>44</v>
      </c>
      <c r="B44" s="2" t="s">
        <v>45</v>
      </c>
      <c r="C44" s="2" t="s">
        <v>11</v>
      </c>
      <c r="D44" s="2" t="s">
        <v>11</v>
      </c>
      <c r="E44" s="2" t="s">
        <v>47</v>
      </c>
      <c r="I44" s="6">
        <v>23747000</v>
      </c>
      <c r="J44" s="6">
        <v>23747000</v>
      </c>
    </row>
    <row r="45" spans="1:10" customFormat="1" ht="14.5" x14ac:dyDescent="0.35">
      <c r="F45" s="10"/>
      <c r="G45" s="10"/>
      <c r="H45" s="10"/>
      <c r="I45" s="10"/>
      <c r="J45" s="10"/>
    </row>
    <row r="46" spans="1:10" s="4" customFormat="1" x14ac:dyDescent="0.25">
      <c r="A46" s="3" t="s">
        <v>44</v>
      </c>
      <c r="B46" s="3" t="s">
        <v>45</v>
      </c>
      <c r="C46" s="3" t="s">
        <v>11</v>
      </c>
      <c r="D46" s="3" t="s">
        <v>11</v>
      </c>
      <c r="E46" s="3" t="s">
        <v>11</v>
      </c>
      <c r="F46" s="5">
        <f>SUBTOTAL(9, F43:F45)</f>
        <v>0</v>
      </c>
      <c r="G46" s="5">
        <f>SUBTOTAL(9, G43:G45)</f>
        <v>0</v>
      </c>
      <c r="H46" s="5">
        <f>SUBTOTAL(9, H43:H45)</f>
        <v>0</v>
      </c>
      <c r="I46" s="5">
        <f>SUBTOTAL(9, I43:I45)</f>
        <v>30397500</v>
      </c>
      <c r="J46" s="5">
        <f>SUBTOTAL(9, J43:J45)</f>
        <v>30397500</v>
      </c>
    </row>
    <row r="47" spans="1:10" customFormat="1" ht="14.5" x14ac:dyDescent="0.35">
      <c r="F47" s="10"/>
      <c r="G47" s="10"/>
      <c r="H47" s="10"/>
      <c r="I47" s="10"/>
      <c r="J47" s="10"/>
    </row>
    <row r="48" spans="1:10" x14ac:dyDescent="0.25">
      <c r="A48" s="2" t="s">
        <v>48</v>
      </c>
      <c r="B48" s="2" t="s">
        <v>49</v>
      </c>
      <c r="C48" s="2" t="s">
        <v>11</v>
      </c>
      <c r="D48" s="2" t="s">
        <v>11</v>
      </c>
      <c r="E48" s="2" t="s">
        <v>50</v>
      </c>
      <c r="I48" s="6">
        <v>9078000</v>
      </c>
      <c r="J48" s="6">
        <v>9078000</v>
      </c>
    </row>
    <row r="49" spans="1:10" customFormat="1" ht="14.5" x14ac:dyDescent="0.35">
      <c r="F49" s="10"/>
      <c r="G49" s="10"/>
      <c r="H49" s="10"/>
      <c r="I49" s="10"/>
      <c r="J49" s="10"/>
    </row>
    <row r="50" spans="1:10" s="4" customFormat="1" x14ac:dyDescent="0.25">
      <c r="A50" s="3" t="s">
        <v>48</v>
      </c>
      <c r="B50" s="3" t="s">
        <v>49</v>
      </c>
      <c r="C50" s="3" t="s">
        <v>11</v>
      </c>
      <c r="D50" s="3" t="s">
        <v>11</v>
      </c>
      <c r="E50" s="3" t="s">
        <v>11</v>
      </c>
      <c r="F50" s="5">
        <f>SUBTOTAL(9, F48:F49)</f>
        <v>0</v>
      </c>
      <c r="G50" s="5">
        <f>SUBTOTAL(9, G48:G49)</f>
        <v>0</v>
      </c>
      <c r="H50" s="5">
        <f>SUBTOTAL(9, H48:H49)</f>
        <v>0</v>
      </c>
      <c r="I50" s="5">
        <f>SUBTOTAL(9, I48:I49)</f>
        <v>9078000</v>
      </c>
      <c r="J50" s="5">
        <f>SUBTOTAL(9, J48:J49)</f>
        <v>9078000</v>
      </c>
    </row>
    <row r="51" spans="1:10" customFormat="1" ht="14.5" x14ac:dyDescent="0.35">
      <c r="F51" s="10"/>
      <c r="G51" s="10"/>
      <c r="H51" s="10"/>
      <c r="I51" s="10"/>
      <c r="J51" s="10"/>
    </row>
    <row r="52" spans="1:10" x14ac:dyDescent="0.25">
      <c r="A52" s="2" t="s">
        <v>51</v>
      </c>
      <c r="B52" s="2" t="s">
        <v>52</v>
      </c>
      <c r="C52" s="2" t="s">
        <v>11</v>
      </c>
      <c r="D52" s="2" t="s">
        <v>11</v>
      </c>
      <c r="E52" s="2" t="s">
        <v>53</v>
      </c>
      <c r="I52" s="6">
        <v>19000</v>
      </c>
      <c r="J52" s="6">
        <v>19000</v>
      </c>
    </row>
    <row r="53" spans="1:10" x14ac:dyDescent="0.25">
      <c r="A53" s="2" t="s">
        <v>51</v>
      </c>
      <c r="B53" s="2" t="s">
        <v>52</v>
      </c>
      <c r="C53" s="2" t="s">
        <v>11</v>
      </c>
      <c r="D53" s="2" t="s">
        <v>11</v>
      </c>
      <c r="E53" s="2" t="s">
        <v>54</v>
      </c>
      <c r="I53" s="6">
        <v>432251</v>
      </c>
      <c r="J53" s="6">
        <v>432251</v>
      </c>
    </row>
    <row r="54" spans="1:10" x14ac:dyDescent="0.25">
      <c r="A54" s="2" t="s">
        <v>51</v>
      </c>
      <c r="B54" s="2" t="s">
        <v>52</v>
      </c>
      <c r="C54" s="2" t="s">
        <v>11</v>
      </c>
      <c r="D54" s="2" t="s">
        <v>11</v>
      </c>
      <c r="E54" s="2" t="s">
        <v>55</v>
      </c>
      <c r="I54" s="6">
        <v>1243000</v>
      </c>
      <c r="J54" s="6">
        <v>1243000</v>
      </c>
    </row>
    <row r="55" spans="1:10" x14ac:dyDescent="0.25">
      <c r="A55" s="2" t="s">
        <v>51</v>
      </c>
      <c r="B55" s="2" t="s">
        <v>52</v>
      </c>
      <c r="C55" s="2" t="s">
        <v>11</v>
      </c>
      <c r="D55" s="2" t="s">
        <v>11</v>
      </c>
      <c r="E55" s="2" t="s">
        <v>56</v>
      </c>
      <c r="I55" s="6">
        <v>490000</v>
      </c>
      <c r="J55" s="6">
        <v>490000</v>
      </c>
    </row>
    <row r="56" spans="1:10" x14ac:dyDescent="0.25">
      <c r="A56" s="2" t="s">
        <v>51</v>
      </c>
      <c r="B56" s="2" t="s">
        <v>52</v>
      </c>
      <c r="C56" s="2" t="s">
        <v>11</v>
      </c>
      <c r="D56" s="2" t="s">
        <v>11</v>
      </c>
      <c r="E56" s="2" t="s">
        <v>57</v>
      </c>
      <c r="I56" s="6">
        <v>2725000</v>
      </c>
      <c r="J56" s="6">
        <v>2725000</v>
      </c>
    </row>
    <row r="57" spans="1:10" x14ac:dyDescent="0.25">
      <c r="A57" s="2" t="s">
        <v>51</v>
      </c>
      <c r="B57" s="2" t="s">
        <v>52</v>
      </c>
      <c r="C57" s="2" t="s">
        <v>11</v>
      </c>
      <c r="D57" s="2" t="s">
        <v>11</v>
      </c>
      <c r="E57" s="2" t="s">
        <v>58</v>
      </c>
      <c r="I57" s="6">
        <v>-20800</v>
      </c>
      <c r="J57" s="6">
        <v>-20800</v>
      </c>
    </row>
    <row r="58" spans="1:10" x14ac:dyDescent="0.25">
      <c r="A58" s="2" t="s">
        <v>51</v>
      </c>
      <c r="B58" s="2" t="s">
        <v>52</v>
      </c>
      <c r="C58" s="2" t="s">
        <v>11</v>
      </c>
      <c r="D58" s="2" t="s">
        <v>11</v>
      </c>
      <c r="E58" s="2" t="s">
        <v>59</v>
      </c>
      <c r="I58" s="6">
        <v>2980000</v>
      </c>
      <c r="J58" s="6">
        <v>2980000</v>
      </c>
    </row>
    <row r="59" spans="1:10" customFormat="1" ht="14.5" x14ac:dyDescent="0.35">
      <c r="F59" s="10"/>
      <c r="G59" s="10"/>
      <c r="H59" s="10"/>
      <c r="I59" s="10"/>
      <c r="J59" s="10"/>
    </row>
    <row r="60" spans="1:10" s="4" customFormat="1" x14ac:dyDescent="0.25">
      <c r="A60" s="3" t="s">
        <v>51</v>
      </c>
      <c r="B60" s="3" t="s">
        <v>52</v>
      </c>
      <c r="C60" s="3" t="s">
        <v>11</v>
      </c>
      <c r="D60" s="3" t="s">
        <v>11</v>
      </c>
      <c r="E60" s="3" t="s">
        <v>11</v>
      </c>
      <c r="F60" s="5">
        <f>SUBTOTAL(9, F52:F59)</f>
        <v>0</v>
      </c>
      <c r="G60" s="5">
        <f>SUBTOTAL(9, G52:G59)</f>
        <v>0</v>
      </c>
      <c r="H60" s="5">
        <f>SUBTOTAL(9, H52:H59)</f>
        <v>0</v>
      </c>
      <c r="I60" s="5">
        <f>SUBTOTAL(9, I52:I59)</f>
        <v>7868451</v>
      </c>
      <c r="J60" s="5">
        <f>SUBTOTAL(9, J52:J59)</f>
        <v>7868451</v>
      </c>
    </row>
    <row r="61" spans="1:10" customFormat="1" ht="14.5" x14ac:dyDescent="0.35">
      <c r="F61" s="10"/>
      <c r="G61" s="10"/>
      <c r="H61" s="10"/>
      <c r="I61" s="10"/>
      <c r="J61" s="10"/>
    </row>
    <row r="62" spans="1:10" x14ac:dyDescent="0.25">
      <c r="A62" s="2" t="s">
        <v>60</v>
      </c>
      <c r="B62" s="2" t="s">
        <v>60</v>
      </c>
      <c r="C62" s="2" t="s">
        <v>61</v>
      </c>
      <c r="D62" s="2" t="s">
        <v>11</v>
      </c>
      <c r="E62" s="2" t="s">
        <v>62</v>
      </c>
      <c r="I62" s="6">
        <v>10900827.949999999</v>
      </c>
      <c r="J62" s="6">
        <v>10900827.949999999</v>
      </c>
    </row>
    <row r="63" spans="1:10" x14ac:dyDescent="0.25">
      <c r="A63" s="2" t="s">
        <v>60</v>
      </c>
      <c r="B63" s="2" t="s">
        <v>60</v>
      </c>
      <c r="C63" s="2" t="s">
        <v>61</v>
      </c>
      <c r="D63" s="2" t="s">
        <v>11</v>
      </c>
      <c r="E63" s="2" t="s">
        <v>63</v>
      </c>
      <c r="H63" s="6">
        <v>15857240.4</v>
      </c>
      <c r="J63" s="6">
        <v>15857240.4</v>
      </c>
    </row>
    <row r="64" spans="1:10" x14ac:dyDescent="0.25">
      <c r="A64" s="2" t="s">
        <v>60</v>
      </c>
      <c r="B64" s="2" t="s">
        <v>60</v>
      </c>
      <c r="C64" s="2" t="s">
        <v>61</v>
      </c>
      <c r="D64" s="2" t="s">
        <v>11</v>
      </c>
      <c r="E64" s="2" t="s">
        <v>64</v>
      </c>
      <c r="H64" s="6">
        <v>29365260</v>
      </c>
      <c r="J64" s="6">
        <v>29365260</v>
      </c>
    </row>
    <row r="65" spans="1:10" x14ac:dyDescent="0.25">
      <c r="A65" s="2" t="s">
        <v>60</v>
      </c>
      <c r="B65" s="2" t="s">
        <v>60</v>
      </c>
      <c r="C65" s="2" t="s">
        <v>61</v>
      </c>
      <c r="D65" s="2" t="s">
        <v>11</v>
      </c>
      <c r="E65" s="2" t="s">
        <v>65</v>
      </c>
      <c r="F65" s="6">
        <v>29365260</v>
      </c>
      <c r="J65" s="6">
        <v>29365260</v>
      </c>
    </row>
    <row r="66" spans="1:10" customFormat="1" ht="14.5" x14ac:dyDescent="0.35">
      <c r="F66" s="10"/>
      <c r="G66" s="10"/>
      <c r="H66" s="10"/>
      <c r="I66" s="10"/>
      <c r="J66" s="10"/>
    </row>
    <row r="67" spans="1:10" s="4" customFormat="1" x14ac:dyDescent="0.25">
      <c r="A67" s="3" t="s">
        <v>60</v>
      </c>
      <c r="B67" s="3" t="s">
        <v>60</v>
      </c>
      <c r="C67" s="3" t="s">
        <v>11</v>
      </c>
      <c r="D67" s="3" t="s">
        <v>11</v>
      </c>
      <c r="E67" s="3" t="s">
        <v>11</v>
      </c>
      <c r="F67" s="5">
        <f>SUBTOTAL(9, F62:F66)</f>
        <v>29365260</v>
      </c>
      <c r="G67" s="5">
        <f>SUBTOTAL(9, G62:G66)</f>
        <v>0</v>
      </c>
      <c r="H67" s="5">
        <f>SUBTOTAL(9, H62:H66)</f>
        <v>45222500.399999999</v>
      </c>
      <c r="I67" s="5">
        <f>SUBTOTAL(9, I62:I66)</f>
        <v>10900827.949999999</v>
      </c>
      <c r="J67" s="5">
        <f>SUBTOTAL(9, J62:J66)</f>
        <v>85488588.349999994</v>
      </c>
    </row>
    <row r="68" spans="1:10" customFormat="1" ht="14.5" x14ac:dyDescent="0.35">
      <c r="F68" s="10"/>
      <c r="G68" s="10"/>
      <c r="H68" s="10"/>
      <c r="I68" s="10"/>
      <c r="J68" s="10"/>
    </row>
    <row r="69" spans="1:10" x14ac:dyDescent="0.25">
      <c r="A69" s="2" t="s">
        <v>66</v>
      </c>
      <c r="B69" s="2" t="s">
        <v>67</v>
      </c>
      <c r="C69" s="2" t="s">
        <v>11</v>
      </c>
      <c r="D69" s="2" t="s">
        <v>11</v>
      </c>
      <c r="E69" s="2" t="s">
        <v>68</v>
      </c>
      <c r="I69" s="6">
        <v>6</v>
      </c>
      <c r="J69" s="6">
        <v>6</v>
      </c>
    </row>
    <row r="70" spans="1:10" x14ac:dyDescent="0.25">
      <c r="A70" s="2" t="s">
        <v>66</v>
      </c>
      <c r="B70" s="2" t="s">
        <v>67</v>
      </c>
      <c r="C70" s="2" t="s">
        <v>11</v>
      </c>
      <c r="D70" s="2" t="s">
        <v>11</v>
      </c>
      <c r="E70" s="2" t="s">
        <v>69</v>
      </c>
      <c r="I70" s="6">
        <v>20000</v>
      </c>
      <c r="J70" s="6">
        <v>20000</v>
      </c>
    </row>
    <row r="71" spans="1:10" x14ac:dyDescent="0.25">
      <c r="A71" s="2" t="s">
        <v>66</v>
      </c>
      <c r="B71" s="2" t="s">
        <v>67</v>
      </c>
      <c r="C71" s="2" t="s">
        <v>11</v>
      </c>
      <c r="D71" s="2" t="s">
        <v>11</v>
      </c>
      <c r="E71" s="2" t="s">
        <v>70</v>
      </c>
      <c r="I71" s="6">
        <v>-2082500</v>
      </c>
      <c r="J71" s="6">
        <v>-2082500</v>
      </c>
    </row>
    <row r="72" spans="1:10" x14ac:dyDescent="0.25">
      <c r="A72" s="2" t="s">
        <v>66</v>
      </c>
      <c r="B72" s="2" t="s">
        <v>67</v>
      </c>
      <c r="C72" s="2" t="s">
        <v>11</v>
      </c>
      <c r="D72" s="2" t="s">
        <v>11</v>
      </c>
      <c r="E72" s="2" t="s">
        <v>71</v>
      </c>
      <c r="F72" s="6">
        <v>2125000</v>
      </c>
      <c r="J72" s="6">
        <v>2125000</v>
      </c>
    </row>
    <row r="73" spans="1:10" customFormat="1" ht="14.5" x14ac:dyDescent="0.35">
      <c r="F73" s="10"/>
      <c r="G73" s="10"/>
      <c r="H73" s="10"/>
      <c r="I73" s="10"/>
      <c r="J73" s="10"/>
    </row>
    <row r="74" spans="1:10" s="4" customFormat="1" x14ac:dyDescent="0.25">
      <c r="A74" s="3" t="s">
        <v>66</v>
      </c>
      <c r="B74" s="3" t="s">
        <v>67</v>
      </c>
      <c r="C74" s="3" t="s">
        <v>11</v>
      </c>
      <c r="D74" s="3" t="s">
        <v>11</v>
      </c>
      <c r="E74" s="3" t="s">
        <v>11</v>
      </c>
      <c r="F74" s="5">
        <f>SUBTOTAL(9, F69:F73)</f>
        <v>2125000</v>
      </c>
      <c r="G74" s="5">
        <f>SUBTOTAL(9, G69:G73)</f>
        <v>0</v>
      </c>
      <c r="H74" s="5">
        <f>SUBTOTAL(9, H69:H73)</f>
        <v>0</v>
      </c>
      <c r="I74" s="5">
        <f>SUBTOTAL(9, I69:I73)</f>
        <v>-2062494</v>
      </c>
      <c r="J74" s="5">
        <f>SUBTOTAL(9, J69:J73)</f>
        <v>62506</v>
      </c>
    </row>
    <row r="75" spans="1:10" customFormat="1" ht="14.5" x14ac:dyDescent="0.35">
      <c r="F75" s="10"/>
      <c r="G75" s="10"/>
      <c r="H75" s="10"/>
      <c r="I75" s="10"/>
      <c r="J75" s="10"/>
    </row>
    <row r="76" spans="1:10" x14ac:dyDescent="0.25">
      <c r="A76" s="2" t="s">
        <v>72</v>
      </c>
      <c r="B76" s="2" t="s">
        <v>72</v>
      </c>
      <c r="C76" s="2" t="s">
        <v>11</v>
      </c>
      <c r="D76" s="2" t="s">
        <v>11</v>
      </c>
      <c r="E76" s="2" t="s">
        <v>73</v>
      </c>
      <c r="I76" s="6">
        <v>12000000</v>
      </c>
      <c r="J76" s="6">
        <v>12000000</v>
      </c>
    </row>
    <row r="77" spans="1:10" x14ac:dyDescent="0.25">
      <c r="A77" s="2" t="s">
        <v>72</v>
      </c>
      <c r="B77" s="2" t="s">
        <v>72</v>
      </c>
      <c r="C77" s="2" t="s">
        <v>11</v>
      </c>
      <c r="D77" s="2" t="s">
        <v>11</v>
      </c>
      <c r="E77" s="2" t="s">
        <v>74</v>
      </c>
      <c r="I77" s="6">
        <v>9600000</v>
      </c>
      <c r="J77" s="6">
        <v>9600000</v>
      </c>
    </row>
    <row r="78" spans="1:10" x14ac:dyDescent="0.25">
      <c r="A78" s="2" t="s">
        <v>72</v>
      </c>
      <c r="B78" s="2" t="s">
        <v>72</v>
      </c>
      <c r="C78" s="2" t="s">
        <v>11</v>
      </c>
      <c r="D78" s="2" t="s">
        <v>11</v>
      </c>
      <c r="E78" s="2" t="s">
        <v>75</v>
      </c>
      <c r="I78" s="6">
        <v>6328806</v>
      </c>
      <c r="J78" s="6">
        <v>6328806</v>
      </c>
    </row>
    <row r="79" spans="1:10" x14ac:dyDescent="0.25">
      <c r="A79" s="2" t="s">
        <v>72</v>
      </c>
      <c r="B79" s="2" t="s">
        <v>72</v>
      </c>
      <c r="C79" s="2" t="s">
        <v>11</v>
      </c>
      <c r="D79" s="2" t="s">
        <v>11</v>
      </c>
      <c r="E79" s="2" t="s">
        <v>76</v>
      </c>
      <c r="I79" s="6">
        <v>1128194</v>
      </c>
      <c r="J79" s="6">
        <v>1128194</v>
      </c>
    </row>
    <row r="80" spans="1:10" x14ac:dyDescent="0.25">
      <c r="A80" s="2" t="s">
        <v>72</v>
      </c>
      <c r="B80" s="2" t="s">
        <v>72</v>
      </c>
      <c r="C80" s="2" t="s">
        <v>11</v>
      </c>
      <c r="D80" s="2" t="s">
        <v>11</v>
      </c>
      <c r="E80" s="2" t="s">
        <v>77</v>
      </c>
      <c r="I80" s="6">
        <v>4920000</v>
      </c>
      <c r="J80" s="6">
        <v>4920000</v>
      </c>
    </row>
    <row r="81" spans="1:10" x14ac:dyDescent="0.25">
      <c r="A81" s="2" t="s">
        <v>72</v>
      </c>
      <c r="B81" s="2" t="s">
        <v>72</v>
      </c>
      <c r="C81" s="2" t="s">
        <v>11</v>
      </c>
      <c r="D81" s="2" t="s">
        <v>11</v>
      </c>
      <c r="E81" s="2" t="s">
        <v>78</v>
      </c>
      <c r="I81" s="6">
        <v>7350000</v>
      </c>
      <c r="J81" s="6">
        <v>7350000</v>
      </c>
    </row>
    <row r="82" spans="1:10" x14ac:dyDescent="0.25">
      <c r="A82" s="2" t="s">
        <v>72</v>
      </c>
      <c r="B82" s="2" t="s">
        <v>72</v>
      </c>
      <c r="C82" s="2" t="s">
        <v>11</v>
      </c>
      <c r="D82" s="2" t="s">
        <v>11</v>
      </c>
      <c r="E82" s="2" t="s">
        <v>79</v>
      </c>
      <c r="I82" s="6">
        <v>4900000</v>
      </c>
      <c r="J82" s="6">
        <v>4900000</v>
      </c>
    </row>
    <row r="83" spans="1:10" x14ac:dyDescent="0.25">
      <c r="A83" s="2" t="s">
        <v>72</v>
      </c>
      <c r="B83" s="2" t="s">
        <v>72</v>
      </c>
      <c r="C83" s="2" t="s">
        <v>11</v>
      </c>
      <c r="D83" s="2" t="s">
        <v>11</v>
      </c>
      <c r="E83" s="2" t="s">
        <v>80</v>
      </c>
      <c r="I83" s="6">
        <v>12250000</v>
      </c>
      <c r="J83" s="6">
        <v>12250000</v>
      </c>
    </row>
    <row r="84" spans="1:10" x14ac:dyDescent="0.25">
      <c r="A84" s="2" t="s">
        <v>72</v>
      </c>
      <c r="B84" s="2" t="s">
        <v>72</v>
      </c>
      <c r="C84" s="2" t="s">
        <v>11</v>
      </c>
      <c r="D84" s="2" t="s">
        <v>11</v>
      </c>
      <c r="E84" s="2" t="s">
        <v>81</v>
      </c>
      <c r="H84" s="6">
        <v>3675000</v>
      </c>
      <c r="J84" s="6">
        <v>3675000</v>
      </c>
    </row>
    <row r="85" spans="1:10" x14ac:dyDescent="0.25">
      <c r="A85" s="2" t="s">
        <v>72</v>
      </c>
      <c r="B85" s="2" t="s">
        <v>72</v>
      </c>
      <c r="C85" s="2" t="s">
        <v>11</v>
      </c>
      <c r="D85" s="2" t="s">
        <v>11</v>
      </c>
      <c r="E85" s="2" t="s">
        <v>82</v>
      </c>
      <c r="G85" s="6">
        <v>2450000</v>
      </c>
      <c r="J85" s="6">
        <v>2450000</v>
      </c>
    </row>
    <row r="86" spans="1:10" x14ac:dyDescent="0.25">
      <c r="A86" s="2" t="s">
        <v>72</v>
      </c>
      <c r="B86" s="2" t="s">
        <v>72</v>
      </c>
      <c r="C86" s="2" t="s">
        <v>11</v>
      </c>
      <c r="D86" s="2" t="s">
        <v>11</v>
      </c>
      <c r="E86" s="2" t="s">
        <v>83</v>
      </c>
      <c r="G86" s="6">
        <v>36750000</v>
      </c>
      <c r="J86" s="6">
        <v>36750000</v>
      </c>
    </row>
    <row r="87" spans="1:10" x14ac:dyDescent="0.25">
      <c r="A87" s="2" t="s">
        <v>72</v>
      </c>
      <c r="B87" s="2" t="s">
        <v>72</v>
      </c>
      <c r="C87" s="2" t="s">
        <v>11</v>
      </c>
      <c r="D87" s="2" t="s">
        <v>11</v>
      </c>
      <c r="E87" s="2" t="s">
        <v>84</v>
      </c>
      <c r="G87" s="6">
        <v>12000000</v>
      </c>
      <c r="J87" s="6">
        <v>12000000</v>
      </c>
    </row>
    <row r="88" spans="1:10" x14ac:dyDescent="0.25">
      <c r="A88" s="2" t="s">
        <v>72</v>
      </c>
      <c r="B88" s="2" t="s">
        <v>72</v>
      </c>
      <c r="C88" s="2" t="s">
        <v>11</v>
      </c>
      <c r="D88" s="2" t="s">
        <v>11</v>
      </c>
      <c r="E88" s="2" t="s">
        <v>85</v>
      </c>
      <c r="G88" s="6">
        <v>12000000</v>
      </c>
      <c r="J88" s="6">
        <v>12000000</v>
      </c>
    </row>
    <row r="89" spans="1:10" x14ac:dyDescent="0.25">
      <c r="A89" s="2" t="s">
        <v>72</v>
      </c>
      <c r="B89" s="2" t="s">
        <v>72</v>
      </c>
      <c r="C89" s="2" t="s">
        <v>11</v>
      </c>
      <c r="D89" s="2" t="s">
        <v>11</v>
      </c>
      <c r="E89" s="2" t="s">
        <v>86</v>
      </c>
      <c r="F89" s="6">
        <v>22023945</v>
      </c>
      <c r="J89" s="6">
        <v>22023945</v>
      </c>
    </row>
    <row r="90" spans="1:10" x14ac:dyDescent="0.25">
      <c r="A90" s="2" t="s">
        <v>72</v>
      </c>
      <c r="B90" s="2" t="s">
        <v>72</v>
      </c>
      <c r="C90" s="2" t="s">
        <v>11</v>
      </c>
      <c r="D90" s="2" t="s">
        <v>11</v>
      </c>
      <c r="E90" s="2" t="s">
        <v>87</v>
      </c>
      <c r="F90" s="6">
        <v>24000000</v>
      </c>
      <c r="J90" s="6">
        <v>24000000</v>
      </c>
    </row>
    <row r="91" spans="1:10" x14ac:dyDescent="0.25">
      <c r="A91" s="2" t="s">
        <v>72</v>
      </c>
      <c r="B91" s="2" t="s">
        <v>72</v>
      </c>
      <c r="C91" s="2" t="s">
        <v>11</v>
      </c>
      <c r="D91" s="2" t="s">
        <v>11</v>
      </c>
      <c r="E91" s="2" t="s">
        <v>88</v>
      </c>
      <c r="F91" s="6">
        <v>24500000</v>
      </c>
      <c r="J91" s="6">
        <v>24500000</v>
      </c>
    </row>
    <row r="92" spans="1:10" customFormat="1" ht="14.5" x14ac:dyDescent="0.35">
      <c r="F92" s="10"/>
      <c r="G92" s="10"/>
      <c r="H92" s="10"/>
      <c r="I92" s="10"/>
      <c r="J92" s="10"/>
    </row>
    <row r="93" spans="1:10" s="4" customFormat="1" x14ac:dyDescent="0.25">
      <c r="A93" s="3" t="s">
        <v>72</v>
      </c>
      <c r="B93" s="3" t="s">
        <v>72</v>
      </c>
      <c r="C93" s="3" t="s">
        <v>11</v>
      </c>
      <c r="D93" s="3" t="s">
        <v>11</v>
      </c>
      <c r="E93" s="3" t="s">
        <v>11</v>
      </c>
      <c r="F93" s="5">
        <f>SUBTOTAL(9, F76:F92)</f>
        <v>70523945</v>
      </c>
      <c r="G93" s="5">
        <f>SUBTOTAL(9, G76:G92)</f>
        <v>63200000</v>
      </c>
      <c r="H93" s="5">
        <f>SUBTOTAL(9, H76:H92)</f>
        <v>3675000</v>
      </c>
      <c r="I93" s="5">
        <f>SUBTOTAL(9, I76:I92)</f>
        <v>58477000</v>
      </c>
      <c r="J93" s="5">
        <f>SUBTOTAL(9, J76:J92)</f>
        <v>195875945</v>
      </c>
    </row>
    <row r="94" spans="1:10" customFormat="1" ht="14.5" x14ac:dyDescent="0.35">
      <c r="F94" s="10"/>
      <c r="G94" s="10"/>
      <c r="H94" s="10"/>
      <c r="I94" s="10"/>
      <c r="J94" s="10"/>
    </row>
    <row r="95" spans="1:10" x14ac:dyDescent="0.25">
      <c r="A95" s="2" t="s">
        <v>89</v>
      </c>
      <c r="B95" s="2" t="s">
        <v>90</v>
      </c>
      <c r="C95" s="2" t="s">
        <v>11</v>
      </c>
      <c r="D95" s="2" t="s">
        <v>11</v>
      </c>
      <c r="E95" s="2" t="s">
        <v>91</v>
      </c>
      <c r="I95" s="6">
        <v>297000</v>
      </c>
      <c r="J95" s="6">
        <v>297000</v>
      </c>
    </row>
    <row r="96" spans="1:10" customFormat="1" ht="14.5" x14ac:dyDescent="0.35">
      <c r="F96" s="10"/>
      <c r="G96" s="10"/>
      <c r="H96" s="10"/>
      <c r="I96" s="10"/>
      <c r="J96" s="10"/>
    </row>
    <row r="97" spans="1:10" s="4" customFormat="1" x14ac:dyDescent="0.25">
      <c r="A97" s="3" t="s">
        <v>89</v>
      </c>
      <c r="B97" s="3" t="s">
        <v>90</v>
      </c>
      <c r="C97" s="3" t="s">
        <v>11</v>
      </c>
      <c r="D97" s="3" t="s">
        <v>11</v>
      </c>
      <c r="E97" s="3" t="s">
        <v>11</v>
      </c>
      <c r="F97" s="5">
        <f>SUBTOTAL(9, F95:F96)</f>
        <v>0</v>
      </c>
      <c r="G97" s="5">
        <f>SUBTOTAL(9, G95:G96)</f>
        <v>0</v>
      </c>
      <c r="H97" s="5">
        <f>SUBTOTAL(9, H95:H96)</f>
        <v>0</v>
      </c>
      <c r="I97" s="5">
        <f>SUBTOTAL(9, I95:I96)</f>
        <v>297000</v>
      </c>
      <c r="J97" s="5">
        <f>SUBTOTAL(9, J95:J96)</f>
        <v>297000</v>
      </c>
    </row>
    <row r="98" spans="1:10" customFormat="1" ht="14.5" x14ac:dyDescent="0.35">
      <c r="F98" s="10"/>
      <c r="G98" s="10"/>
      <c r="H98" s="10"/>
      <c r="I98" s="10"/>
      <c r="J98" s="10"/>
    </row>
    <row r="99" spans="1:10" x14ac:dyDescent="0.25">
      <c r="A99" s="2" t="s">
        <v>92</v>
      </c>
      <c r="B99" s="2" t="s">
        <v>93</v>
      </c>
      <c r="C99" s="2" t="s">
        <v>11</v>
      </c>
      <c r="D99" s="2" t="s">
        <v>11</v>
      </c>
      <c r="E99" s="2" t="s">
        <v>53</v>
      </c>
      <c r="I99" s="6">
        <v>0.2</v>
      </c>
      <c r="J99" s="6">
        <v>0.2</v>
      </c>
    </row>
    <row r="100" spans="1:10" x14ac:dyDescent="0.25">
      <c r="A100" s="2" t="s">
        <v>92</v>
      </c>
      <c r="B100" s="2" t="s">
        <v>93</v>
      </c>
      <c r="C100" s="2" t="s">
        <v>11</v>
      </c>
      <c r="D100" s="2" t="s">
        <v>11</v>
      </c>
      <c r="E100" s="2" t="s">
        <v>94</v>
      </c>
      <c r="I100" s="6">
        <v>1.64</v>
      </c>
      <c r="J100" s="6">
        <v>1.64</v>
      </c>
    </row>
    <row r="101" spans="1:10" x14ac:dyDescent="0.25">
      <c r="A101" s="2" t="s">
        <v>92</v>
      </c>
      <c r="B101" s="2" t="s">
        <v>93</v>
      </c>
      <c r="C101" s="2" t="s">
        <v>11</v>
      </c>
      <c r="D101" s="2" t="s">
        <v>11</v>
      </c>
      <c r="E101" s="2" t="s">
        <v>95</v>
      </c>
      <c r="I101" s="6">
        <v>0.22</v>
      </c>
      <c r="J101" s="6">
        <v>0.22</v>
      </c>
    </row>
    <row r="102" spans="1:10" x14ac:dyDescent="0.25">
      <c r="A102" s="2" t="s">
        <v>92</v>
      </c>
      <c r="B102" s="2" t="s">
        <v>93</v>
      </c>
      <c r="C102" s="2" t="s">
        <v>11</v>
      </c>
      <c r="D102" s="2" t="s">
        <v>11</v>
      </c>
      <c r="E102" s="2" t="s">
        <v>96</v>
      </c>
      <c r="I102" s="6">
        <v>270</v>
      </c>
      <c r="J102" s="6">
        <v>270</v>
      </c>
    </row>
    <row r="103" spans="1:10" x14ac:dyDescent="0.25">
      <c r="A103" s="2" t="s">
        <v>92</v>
      </c>
      <c r="B103" s="2" t="s">
        <v>93</v>
      </c>
      <c r="C103" s="2" t="s">
        <v>11</v>
      </c>
      <c r="D103" s="2" t="s">
        <v>11</v>
      </c>
      <c r="E103" s="2" t="s">
        <v>97</v>
      </c>
      <c r="I103" s="6">
        <v>1.52</v>
      </c>
      <c r="J103" s="6">
        <v>1.52</v>
      </c>
    </row>
    <row r="104" spans="1:10" x14ac:dyDescent="0.25">
      <c r="A104" s="2" t="s">
        <v>92</v>
      </c>
      <c r="B104" s="2" t="s">
        <v>93</v>
      </c>
      <c r="C104" s="2" t="s">
        <v>11</v>
      </c>
      <c r="D104" s="2" t="s">
        <v>11</v>
      </c>
      <c r="E104" s="2" t="s">
        <v>98</v>
      </c>
      <c r="I104" s="6">
        <v>500</v>
      </c>
      <c r="J104" s="6">
        <v>500</v>
      </c>
    </row>
    <row r="105" spans="1:10" x14ac:dyDescent="0.25">
      <c r="A105" s="2" t="s">
        <v>92</v>
      </c>
      <c r="B105" s="2" t="s">
        <v>93</v>
      </c>
      <c r="C105" s="2" t="s">
        <v>11</v>
      </c>
      <c r="D105" s="2" t="s">
        <v>11</v>
      </c>
      <c r="E105" s="2" t="s">
        <v>99</v>
      </c>
      <c r="I105" s="6">
        <v>0.56000000000000005</v>
      </c>
      <c r="J105" s="6">
        <v>0.56000000000000005</v>
      </c>
    </row>
    <row r="106" spans="1:10" x14ac:dyDescent="0.25">
      <c r="A106" s="2" t="s">
        <v>92</v>
      </c>
      <c r="B106" s="2" t="s">
        <v>93</v>
      </c>
      <c r="C106" s="2" t="s">
        <v>11</v>
      </c>
      <c r="D106" s="2" t="s">
        <v>11</v>
      </c>
      <c r="E106" s="2" t="s">
        <v>100</v>
      </c>
      <c r="I106" s="6">
        <v>-154330</v>
      </c>
      <c r="J106" s="6">
        <v>-154330</v>
      </c>
    </row>
    <row r="107" spans="1:10" x14ac:dyDescent="0.25">
      <c r="A107" s="2" t="s">
        <v>92</v>
      </c>
      <c r="B107" s="2" t="s">
        <v>93</v>
      </c>
      <c r="C107" s="2" t="s">
        <v>11</v>
      </c>
      <c r="D107" s="2" t="s">
        <v>11</v>
      </c>
      <c r="E107" s="2" t="s">
        <v>101</v>
      </c>
      <c r="I107" s="6">
        <v>66083455.859999999</v>
      </c>
      <c r="J107" s="6">
        <v>66083455.859999999</v>
      </c>
    </row>
    <row r="108" spans="1:10" customFormat="1" ht="14.5" x14ac:dyDescent="0.35">
      <c r="F108" s="10"/>
      <c r="G108" s="10"/>
      <c r="H108" s="10"/>
      <c r="I108" s="10"/>
      <c r="J108" s="10"/>
    </row>
    <row r="109" spans="1:10" s="4" customFormat="1" x14ac:dyDescent="0.25">
      <c r="A109" s="3" t="s">
        <v>92</v>
      </c>
      <c r="B109" s="3" t="s">
        <v>93</v>
      </c>
      <c r="C109" s="3" t="s">
        <v>11</v>
      </c>
      <c r="D109" s="3" t="s">
        <v>11</v>
      </c>
      <c r="E109" s="3" t="s">
        <v>11</v>
      </c>
      <c r="F109" s="5">
        <f>SUBTOTAL(9, F99:F108)</f>
        <v>0</v>
      </c>
      <c r="G109" s="5">
        <f>SUBTOTAL(9, G99:G108)</f>
        <v>0</v>
      </c>
      <c r="H109" s="5">
        <f>SUBTOTAL(9, H99:H108)</f>
        <v>0</v>
      </c>
      <c r="I109" s="5">
        <f>SUBTOTAL(9, I99:I108)</f>
        <v>65929900</v>
      </c>
      <c r="J109" s="5">
        <f>SUBTOTAL(9, J99:J108)</f>
        <v>65929900</v>
      </c>
    </row>
    <row r="110" spans="1:10" customFormat="1" ht="14.5" x14ac:dyDescent="0.35">
      <c r="F110" s="10"/>
      <c r="G110" s="10"/>
      <c r="H110" s="10"/>
      <c r="I110" s="10"/>
      <c r="J110" s="10"/>
    </row>
    <row r="111" spans="1:10" x14ac:dyDescent="0.25">
      <c r="A111" s="2" t="s">
        <v>102</v>
      </c>
      <c r="B111" s="2" t="s">
        <v>102</v>
      </c>
      <c r="C111" s="2" t="s">
        <v>11</v>
      </c>
      <c r="D111" s="2" t="s">
        <v>11</v>
      </c>
      <c r="E111" s="2" t="s">
        <v>88</v>
      </c>
      <c r="H111" s="6">
        <v>50000</v>
      </c>
      <c r="J111" s="6">
        <v>50000</v>
      </c>
    </row>
    <row r="112" spans="1:10" customFormat="1" ht="14.5" x14ac:dyDescent="0.35">
      <c r="F112" s="10"/>
      <c r="G112" s="10"/>
      <c r="H112" s="10"/>
      <c r="I112" s="10"/>
      <c r="J112" s="10"/>
    </row>
    <row r="113" spans="1:10" s="4" customFormat="1" x14ac:dyDescent="0.25">
      <c r="A113" s="3" t="s">
        <v>102</v>
      </c>
      <c r="B113" s="3" t="s">
        <v>102</v>
      </c>
      <c r="C113" s="3" t="s">
        <v>11</v>
      </c>
      <c r="D113" s="3" t="s">
        <v>11</v>
      </c>
      <c r="E113" s="3" t="s">
        <v>11</v>
      </c>
      <c r="F113" s="5">
        <f>SUBTOTAL(9, F111:F112)</f>
        <v>0</v>
      </c>
      <c r="G113" s="5">
        <f>SUBTOTAL(9, G111:G112)</f>
        <v>0</v>
      </c>
      <c r="H113" s="5">
        <f>SUBTOTAL(9, H111:H112)</f>
        <v>50000</v>
      </c>
      <c r="I113" s="5">
        <f>SUBTOTAL(9, I111:I112)</f>
        <v>0</v>
      </c>
      <c r="J113" s="5">
        <f>SUBTOTAL(9, J111:J112)</f>
        <v>50000</v>
      </c>
    </row>
    <row r="114" spans="1:10" customFormat="1" ht="14.5" x14ac:dyDescent="0.35">
      <c r="F114" s="10"/>
      <c r="G114" s="10"/>
      <c r="H114" s="10"/>
      <c r="I114" s="10"/>
      <c r="J114" s="10"/>
    </row>
    <row r="115" spans="1:10" x14ac:dyDescent="0.25">
      <c r="A115" s="2" t="s">
        <v>103</v>
      </c>
      <c r="B115" s="2" t="s">
        <v>104</v>
      </c>
      <c r="C115" s="2" t="s">
        <v>11</v>
      </c>
      <c r="D115" s="2" t="s">
        <v>11</v>
      </c>
      <c r="E115" s="2" t="s">
        <v>53</v>
      </c>
      <c r="I115" s="6">
        <v>143.19999999999999</v>
      </c>
      <c r="J115" s="6">
        <v>143.19999999999999</v>
      </c>
    </row>
    <row r="116" spans="1:10" x14ac:dyDescent="0.25">
      <c r="A116" s="2" t="s">
        <v>103</v>
      </c>
      <c r="B116" s="2" t="s">
        <v>104</v>
      </c>
      <c r="C116" s="2" t="s">
        <v>11</v>
      </c>
      <c r="D116" s="2" t="s">
        <v>11</v>
      </c>
      <c r="E116" s="2" t="s">
        <v>105</v>
      </c>
      <c r="I116" s="6">
        <v>357500</v>
      </c>
      <c r="J116" s="6">
        <v>357500</v>
      </c>
    </row>
    <row r="117" spans="1:10" x14ac:dyDescent="0.25">
      <c r="A117" s="2" t="s">
        <v>103</v>
      </c>
      <c r="B117" s="2" t="s">
        <v>104</v>
      </c>
      <c r="C117" s="2" t="s">
        <v>11</v>
      </c>
      <c r="D117" s="2" t="s">
        <v>11</v>
      </c>
      <c r="E117" s="2" t="s">
        <v>106</v>
      </c>
      <c r="I117" s="6">
        <v>357500</v>
      </c>
      <c r="J117" s="6">
        <v>357500</v>
      </c>
    </row>
    <row r="118" spans="1:10" x14ac:dyDescent="0.25">
      <c r="A118" s="2" t="s">
        <v>103</v>
      </c>
      <c r="B118" s="2" t="s">
        <v>104</v>
      </c>
      <c r="C118" s="2" t="s">
        <v>11</v>
      </c>
      <c r="D118" s="2" t="s">
        <v>11</v>
      </c>
      <c r="E118" s="2" t="s">
        <v>107</v>
      </c>
      <c r="I118" s="6">
        <v>107250</v>
      </c>
      <c r="J118" s="6">
        <v>107250</v>
      </c>
    </row>
    <row r="119" spans="1:10" x14ac:dyDescent="0.25">
      <c r="A119" s="2" t="s">
        <v>103</v>
      </c>
      <c r="B119" s="2" t="s">
        <v>104</v>
      </c>
      <c r="C119" s="2" t="s">
        <v>11</v>
      </c>
      <c r="D119" s="2" t="s">
        <v>11</v>
      </c>
      <c r="E119" s="2" t="s">
        <v>108</v>
      </c>
      <c r="I119" s="6">
        <v>263260.2</v>
      </c>
      <c r="J119" s="6">
        <v>263260.2</v>
      </c>
    </row>
    <row r="120" spans="1:10" x14ac:dyDescent="0.25">
      <c r="A120" s="2" t="s">
        <v>103</v>
      </c>
      <c r="B120" s="2" t="s">
        <v>104</v>
      </c>
      <c r="C120" s="2" t="s">
        <v>11</v>
      </c>
      <c r="D120" s="2" t="s">
        <v>11</v>
      </c>
      <c r="E120" s="2" t="s">
        <v>109</v>
      </c>
      <c r="I120" s="6">
        <v>175506.8</v>
      </c>
      <c r="J120" s="6">
        <v>175506.8</v>
      </c>
    </row>
    <row r="121" spans="1:10" x14ac:dyDescent="0.25">
      <c r="A121" s="2" t="s">
        <v>103</v>
      </c>
      <c r="B121" s="2" t="s">
        <v>104</v>
      </c>
      <c r="C121" s="2" t="s">
        <v>11</v>
      </c>
      <c r="D121" s="2" t="s">
        <v>11</v>
      </c>
      <c r="E121" s="2" t="s">
        <v>110</v>
      </c>
      <c r="I121" s="6">
        <v>351014</v>
      </c>
      <c r="J121" s="6">
        <v>351014</v>
      </c>
    </row>
    <row r="122" spans="1:10" x14ac:dyDescent="0.25">
      <c r="A122" s="2" t="s">
        <v>103</v>
      </c>
      <c r="B122" s="2" t="s">
        <v>104</v>
      </c>
      <c r="C122" s="2" t="s">
        <v>11</v>
      </c>
      <c r="D122" s="2" t="s">
        <v>11</v>
      </c>
      <c r="E122" s="2" t="s">
        <v>111</v>
      </c>
      <c r="I122" s="6">
        <v>146317.5</v>
      </c>
      <c r="J122" s="6">
        <v>146317.5</v>
      </c>
    </row>
    <row r="123" spans="1:10" x14ac:dyDescent="0.25">
      <c r="A123" s="2" t="s">
        <v>103</v>
      </c>
      <c r="B123" s="2" t="s">
        <v>104</v>
      </c>
      <c r="C123" s="2" t="s">
        <v>11</v>
      </c>
      <c r="D123" s="2" t="s">
        <v>11</v>
      </c>
      <c r="E123" s="2" t="s">
        <v>112</v>
      </c>
      <c r="I123" s="6">
        <v>191363</v>
      </c>
      <c r="J123" s="6">
        <v>191363</v>
      </c>
    </row>
    <row r="124" spans="1:10" x14ac:dyDescent="0.25">
      <c r="A124" s="2" t="s">
        <v>103</v>
      </c>
      <c r="B124" s="2" t="s">
        <v>104</v>
      </c>
      <c r="C124" s="2" t="s">
        <v>11</v>
      </c>
      <c r="D124" s="2" t="s">
        <v>11</v>
      </c>
      <c r="E124" s="2" t="s">
        <v>113</v>
      </c>
      <c r="I124" s="6">
        <v>9121.14</v>
      </c>
      <c r="J124" s="6">
        <v>9121.14</v>
      </c>
    </row>
    <row r="125" spans="1:10" x14ac:dyDescent="0.25">
      <c r="A125" s="2" t="s">
        <v>103</v>
      </c>
      <c r="B125" s="2" t="s">
        <v>104</v>
      </c>
      <c r="C125" s="2" t="s">
        <v>11</v>
      </c>
      <c r="D125" s="2" t="s">
        <v>11</v>
      </c>
      <c r="E125" s="2" t="s">
        <v>114</v>
      </c>
      <c r="I125" s="6">
        <v>3600720</v>
      </c>
      <c r="J125" s="6">
        <v>3600720</v>
      </c>
    </row>
    <row r="126" spans="1:10" x14ac:dyDescent="0.25">
      <c r="A126" s="2" t="s">
        <v>103</v>
      </c>
      <c r="B126" s="2" t="s">
        <v>104</v>
      </c>
      <c r="C126" s="2" t="s">
        <v>11</v>
      </c>
      <c r="D126" s="2" t="s">
        <v>11</v>
      </c>
      <c r="E126" s="2" t="s">
        <v>115</v>
      </c>
      <c r="I126" s="6">
        <v>886173</v>
      </c>
      <c r="J126" s="6">
        <v>886173</v>
      </c>
    </row>
    <row r="127" spans="1:10" x14ac:dyDescent="0.25">
      <c r="A127" s="2" t="s">
        <v>103</v>
      </c>
      <c r="B127" s="2" t="s">
        <v>104</v>
      </c>
      <c r="C127" s="2" t="s">
        <v>11</v>
      </c>
      <c r="D127" s="2" t="s">
        <v>11</v>
      </c>
      <c r="E127" s="2" t="s">
        <v>116</v>
      </c>
      <c r="I127" s="6">
        <v>2222973.61</v>
      </c>
      <c r="J127" s="6">
        <v>2222973.61</v>
      </c>
    </row>
    <row r="128" spans="1:10" x14ac:dyDescent="0.25">
      <c r="A128" s="2" t="s">
        <v>103</v>
      </c>
      <c r="B128" s="2" t="s">
        <v>104</v>
      </c>
      <c r="C128" s="2" t="s">
        <v>11</v>
      </c>
      <c r="D128" s="2" t="s">
        <v>11</v>
      </c>
      <c r="E128" s="2" t="s">
        <v>117</v>
      </c>
      <c r="I128" s="6">
        <v>1</v>
      </c>
      <c r="J128" s="6">
        <v>1</v>
      </c>
    </row>
    <row r="129" spans="1:10" x14ac:dyDescent="0.25">
      <c r="A129" s="2" t="s">
        <v>103</v>
      </c>
      <c r="B129" s="2" t="s">
        <v>104</v>
      </c>
      <c r="C129" s="2" t="s">
        <v>11</v>
      </c>
      <c r="D129" s="2" t="s">
        <v>11</v>
      </c>
      <c r="E129" s="2" t="s">
        <v>118</v>
      </c>
      <c r="I129" s="6">
        <v>19421540.780000001</v>
      </c>
      <c r="J129" s="6">
        <v>19421540.780000001</v>
      </c>
    </row>
    <row r="130" spans="1:10" x14ac:dyDescent="0.25">
      <c r="A130" s="2" t="s">
        <v>103</v>
      </c>
      <c r="B130" s="2" t="s">
        <v>104</v>
      </c>
      <c r="C130" s="2" t="s">
        <v>11</v>
      </c>
      <c r="D130" s="2" t="s">
        <v>11</v>
      </c>
      <c r="E130" s="2" t="s">
        <v>119</v>
      </c>
      <c r="I130" s="6">
        <v>1225038.1000000001</v>
      </c>
      <c r="J130" s="6">
        <v>1225038.1000000001</v>
      </c>
    </row>
    <row r="131" spans="1:10" x14ac:dyDescent="0.25">
      <c r="A131" s="2" t="s">
        <v>103</v>
      </c>
      <c r="B131" s="2" t="s">
        <v>104</v>
      </c>
      <c r="C131" s="2" t="s">
        <v>11</v>
      </c>
      <c r="D131" s="2" t="s">
        <v>11</v>
      </c>
      <c r="E131" s="2" t="s">
        <v>120</v>
      </c>
      <c r="I131" s="6">
        <v>434175</v>
      </c>
      <c r="J131" s="6">
        <v>434175</v>
      </c>
    </row>
    <row r="132" spans="1:10" x14ac:dyDescent="0.25">
      <c r="A132" s="2" t="s">
        <v>103</v>
      </c>
      <c r="B132" s="2" t="s">
        <v>104</v>
      </c>
      <c r="C132" s="2" t="s">
        <v>11</v>
      </c>
      <c r="D132" s="2" t="s">
        <v>11</v>
      </c>
      <c r="E132" s="2" t="s">
        <v>121</v>
      </c>
      <c r="I132" s="6">
        <v>71400</v>
      </c>
      <c r="J132" s="6">
        <v>71400</v>
      </c>
    </row>
    <row r="133" spans="1:10" x14ac:dyDescent="0.25">
      <c r="A133" s="2" t="s">
        <v>103</v>
      </c>
      <c r="B133" s="2" t="s">
        <v>104</v>
      </c>
      <c r="C133" s="2" t="s">
        <v>11</v>
      </c>
      <c r="D133" s="2" t="s">
        <v>11</v>
      </c>
      <c r="E133" s="2" t="s">
        <v>122</v>
      </c>
      <c r="I133" s="6">
        <v>3027932</v>
      </c>
      <c r="J133" s="6">
        <v>3027932</v>
      </c>
    </row>
    <row r="134" spans="1:10" x14ac:dyDescent="0.25">
      <c r="A134" s="2" t="s">
        <v>103</v>
      </c>
      <c r="B134" s="2" t="s">
        <v>104</v>
      </c>
      <c r="C134" s="2" t="s">
        <v>11</v>
      </c>
      <c r="D134" s="2" t="s">
        <v>11</v>
      </c>
      <c r="E134" s="2" t="s">
        <v>123</v>
      </c>
      <c r="I134" s="6">
        <v>6624000</v>
      </c>
      <c r="J134" s="6">
        <v>6624000</v>
      </c>
    </row>
    <row r="135" spans="1:10" x14ac:dyDescent="0.25">
      <c r="A135" s="2" t="s">
        <v>103</v>
      </c>
      <c r="B135" s="2" t="s">
        <v>104</v>
      </c>
      <c r="C135" s="2" t="s">
        <v>11</v>
      </c>
      <c r="D135" s="2" t="s">
        <v>11</v>
      </c>
      <c r="E135" s="2" t="s">
        <v>124</v>
      </c>
      <c r="I135" s="6">
        <v>52237101.740000002</v>
      </c>
      <c r="J135" s="6">
        <v>52237101.740000002</v>
      </c>
    </row>
    <row r="136" spans="1:10" x14ac:dyDescent="0.25">
      <c r="A136" s="2" t="s">
        <v>103</v>
      </c>
      <c r="B136" s="2" t="s">
        <v>104</v>
      </c>
      <c r="C136" s="2" t="s">
        <v>11</v>
      </c>
      <c r="D136" s="2" t="s">
        <v>11</v>
      </c>
      <c r="E136" s="2" t="s">
        <v>125</v>
      </c>
      <c r="I136" s="6">
        <v>9394580</v>
      </c>
      <c r="J136" s="6">
        <v>9394580</v>
      </c>
    </row>
    <row r="137" spans="1:10" x14ac:dyDescent="0.25">
      <c r="A137" s="2" t="s">
        <v>103</v>
      </c>
      <c r="B137" s="2" t="s">
        <v>104</v>
      </c>
      <c r="C137" s="2" t="s">
        <v>11</v>
      </c>
      <c r="D137" s="2" t="s">
        <v>11</v>
      </c>
      <c r="E137" s="2" t="s">
        <v>126</v>
      </c>
      <c r="I137" s="6">
        <v>10290000</v>
      </c>
      <c r="J137" s="6">
        <v>10290000</v>
      </c>
    </row>
    <row r="138" spans="1:10" x14ac:dyDescent="0.25">
      <c r="A138" s="2" t="s">
        <v>103</v>
      </c>
      <c r="B138" s="2" t="s">
        <v>104</v>
      </c>
      <c r="C138" s="2" t="s">
        <v>11</v>
      </c>
      <c r="D138" s="2" t="s">
        <v>11</v>
      </c>
      <c r="E138" s="2" t="s">
        <v>127</v>
      </c>
      <c r="I138" s="6">
        <v>1542255.5</v>
      </c>
      <c r="J138" s="6">
        <v>1542255.5</v>
      </c>
    </row>
    <row r="139" spans="1:10" x14ac:dyDescent="0.25">
      <c r="A139" s="2" t="s">
        <v>103</v>
      </c>
      <c r="B139" s="2" t="s">
        <v>104</v>
      </c>
      <c r="C139" s="2" t="s">
        <v>11</v>
      </c>
      <c r="D139" s="2" t="s">
        <v>11</v>
      </c>
      <c r="E139" s="2" t="s">
        <v>128</v>
      </c>
      <c r="I139" s="6">
        <v>600000</v>
      </c>
      <c r="J139" s="6">
        <v>600000</v>
      </c>
    </row>
    <row r="140" spans="1:10" x14ac:dyDescent="0.25">
      <c r="A140" s="2" t="s">
        <v>103</v>
      </c>
      <c r="B140" s="2" t="s">
        <v>104</v>
      </c>
      <c r="C140" s="2" t="s">
        <v>11</v>
      </c>
      <c r="D140" s="2" t="s">
        <v>11</v>
      </c>
      <c r="E140" s="2" t="s">
        <v>129</v>
      </c>
      <c r="I140" s="6">
        <v>9394580</v>
      </c>
      <c r="J140" s="6">
        <v>9394580</v>
      </c>
    </row>
    <row r="141" spans="1:10" x14ac:dyDescent="0.25">
      <c r="A141" s="2" t="s">
        <v>103</v>
      </c>
      <c r="B141" s="2" t="s">
        <v>104</v>
      </c>
      <c r="C141" s="2" t="s">
        <v>11</v>
      </c>
      <c r="D141" s="2" t="s">
        <v>11</v>
      </c>
      <c r="E141" s="2" t="s">
        <v>130</v>
      </c>
      <c r="H141" s="6">
        <v>7950000</v>
      </c>
      <c r="J141" s="6">
        <v>7950000</v>
      </c>
    </row>
    <row r="142" spans="1:10" x14ac:dyDescent="0.25">
      <c r="A142" s="2" t="s">
        <v>103</v>
      </c>
      <c r="B142" s="2" t="s">
        <v>104</v>
      </c>
      <c r="C142" s="2" t="s">
        <v>11</v>
      </c>
      <c r="D142" s="2" t="s">
        <v>11</v>
      </c>
      <c r="E142" s="2" t="s">
        <v>131</v>
      </c>
      <c r="F142" s="6">
        <v>9394580</v>
      </c>
      <c r="J142" s="6">
        <v>9394580</v>
      </c>
    </row>
    <row r="143" spans="1:10" customFormat="1" ht="14.5" x14ac:dyDescent="0.35">
      <c r="F143" s="10"/>
      <c r="G143" s="10"/>
      <c r="H143" s="10"/>
      <c r="I143" s="10"/>
      <c r="J143" s="10"/>
    </row>
    <row r="144" spans="1:10" s="4" customFormat="1" x14ac:dyDescent="0.25">
      <c r="A144" s="3" t="s">
        <v>103</v>
      </c>
      <c r="B144" s="3" t="s">
        <v>104</v>
      </c>
      <c r="C144" s="3" t="s">
        <v>11</v>
      </c>
      <c r="D144" s="3" t="s">
        <v>11</v>
      </c>
      <c r="E144" s="3" t="s">
        <v>11</v>
      </c>
      <c r="F144" s="5">
        <f>SUBTOTAL(9, F115:F143)</f>
        <v>9394580</v>
      </c>
      <c r="G144" s="5">
        <f>SUBTOTAL(9, G115:G143)</f>
        <v>0</v>
      </c>
      <c r="H144" s="5">
        <f>SUBTOTAL(9, H115:H143)</f>
        <v>7950000</v>
      </c>
      <c r="I144" s="5">
        <f>SUBTOTAL(9, I115:I143)</f>
        <v>122931446.56999999</v>
      </c>
      <c r="J144" s="5">
        <f>SUBTOTAL(9, J115:J143)</f>
        <v>140276026.56999999</v>
      </c>
    </row>
    <row r="145" spans="1:10" customFormat="1" ht="14.5" x14ac:dyDescent="0.35">
      <c r="F145" s="10"/>
      <c r="G145" s="10"/>
      <c r="H145" s="10"/>
      <c r="I145" s="10"/>
      <c r="J145" s="10"/>
    </row>
    <row r="146" spans="1:10" x14ac:dyDescent="0.25">
      <c r="A146" s="2" t="s">
        <v>132</v>
      </c>
      <c r="B146" s="2" t="s">
        <v>133</v>
      </c>
      <c r="C146" s="2" t="s">
        <v>11</v>
      </c>
      <c r="D146" s="2" t="s">
        <v>11</v>
      </c>
      <c r="E146" s="2" t="s">
        <v>134</v>
      </c>
      <c r="H146" s="6">
        <v>6087200</v>
      </c>
      <c r="J146" s="6">
        <v>6087200</v>
      </c>
    </row>
    <row r="147" spans="1:10" x14ac:dyDescent="0.25">
      <c r="A147" s="2" t="s">
        <v>132</v>
      </c>
      <c r="B147" s="2" t="s">
        <v>133</v>
      </c>
      <c r="C147" s="2" t="s">
        <v>11</v>
      </c>
      <c r="D147" s="2" t="s">
        <v>11</v>
      </c>
      <c r="E147" s="2" t="s">
        <v>135</v>
      </c>
      <c r="G147" s="6">
        <v>1260350</v>
      </c>
      <c r="J147" s="6">
        <v>1260350</v>
      </c>
    </row>
    <row r="148" spans="1:10" x14ac:dyDescent="0.25">
      <c r="A148" s="2" t="s">
        <v>132</v>
      </c>
      <c r="B148" s="2" t="s">
        <v>133</v>
      </c>
      <c r="C148" s="2" t="s">
        <v>11</v>
      </c>
      <c r="D148" s="2" t="s">
        <v>11</v>
      </c>
      <c r="E148" s="2" t="s">
        <v>136</v>
      </c>
      <c r="F148" s="6">
        <v>2421500</v>
      </c>
      <c r="J148" s="6">
        <v>2421500</v>
      </c>
    </row>
    <row r="149" spans="1:10" x14ac:dyDescent="0.25">
      <c r="A149" s="2" t="s">
        <v>132</v>
      </c>
      <c r="B149" s="2" t="s">
        <v>133</v>
      </c>
      <c r="C149" s="2" t="s">
        <v>11</v>
      </c>
      <c r="D149" s="2" t="s">
        <v>11</v>
      </c>
      <c r="E149" s="2" t="s">
        <v>137</v>
      </c>
      <c r="F149" s="6">
        <v>1260350</v>
      </c>
      <c r="J149" s="6">
        <v>1260350</v>
      </c>
    </row>
    <row r="150" spans="1:10" x14ac:dyDescent="0.25">
      <c r="A150" s="2" t="s">
        <v>132</v>
      </c>
      <c r="B150" s="2" t="s">
        <v>133</v>
      </c>
      <c r="C150" s="2" t="s">
        <v>11</v>
      </c>
      <c r="D150" s="2" t="s">
        <v>11</v>
      </c>
      <c r="E150" s="2" t="s">
        <v>138</v>
      </c>
      <c r="F150" s="6">
        <v>6287200</v>
      </c>
      <c r="J150" s="6">
        <v>6287200</v>
      </c>
    </row>
    <row r="151" spans="1:10" x14ac:dyDescent="0.25">
      <c r="A151" s="2" t="s">
        <v>132</v>
      </c>
      <c r="B151" s="2" t="s">
        <v>133</v>
      </c>
      <c r="C151" s="2" t="s">
        <v>11</v>
      </c>
      <c r="D151" s="2" t="s">
        <v>11</v>
      </c>
      <c r="E151" s="2" t="s">
        <v>139</v>
      </c>
      <c r="F151" s="6">
        <v>3681850</v>
      </c>
      <c r="J151" s="6">
        <v>3681850</v>
      </c>
    </row>
    <row r="152" spans="1:10" x14ac:dyDescent="0.25">
      <c r="A152" s="2" t="s">
        <v>132</v>
      </c>
      <c r="B152" s="2" t="s">
        <v>133</v>
      </c>
      <c r="C152" s="2" t="s">
        <v>11</v>
      </c>
      <c r="D152" s="2" t="s">
        <v>11</v>
      </c>
      <c r="E152" s="2" t="s">
        <v>140</v>
      </c>
      <c r="F152" s="6">
        <v>3681850</v>
      </c>
      <c r="J152" s="6">
        <v>3681850</v>
      </c>
    </row>
    <row r="153" spans="1:10" customFormat="1" ht="14.5" x14ac:dyDescent="0.35">
      <c r="F153" s="10"/>
      <c r="G153" s="10"/>
      <c r="H153" s="10"/>
      <c r="I153" s="10"/>
      <c r="J153" s="10"/>
    </row>
    <row r="154" spans="1:10" s="4" customFormat="1" x14ac:dyDescent="0.25">
      <c r="A154" s="3" t="s">
        <v>132</v>
      </c>
      <c r="B154" s="3" t="s">
        <v>133</v>
      </c>
      <c r="C154" s="3" t="s">
        <v>11</v>
      </c>
      <c r="D154" s="3" t="s">
        <v>11</v>
      </c>
      <c r="E154" s="3" t="s">
        <v>11</v>
      </c>
      <c r="F154" s="5">
        <f>SUBTOTAL(9, F146:F153)</f>
        <v>17332750</v>
      </c>
      <c r="G154" s="5">
        <f>SUBTOTAL(9, G146:G153)</f>
        <v>1260350</v>
      </c>
      <c r="H154" s="5">
        <f>SUBTOTAL(9, H146:H153)</f>
        <v>6087200</v>
      </c>
      <c r="I154" s="5">
        <f>SUBTOTAL(9, I146:I153)</f>
        <v>0</v>
      </c>
      <c r="J154" s="5">
        <f>SUBTOTAL(9, J146:J153)</f>
        <v>24680300</v>
      </c>
    </row>
    <row r="155" spans="1:10" customFormat="1" ht="14.5" x14ac:dyDescent="0.35">
      <c r="F155" s="10"/>
      <c r="G155" s="10"/>
      <c r="H155" s="10"/>
      <c r="I155" s="10"/>
      <c r="J155" s="10"/>
    </row>
    <row r="156" spans="1:10" x14ac:dyDescent="0.25">
      <c r="A156" s="2" t="s">
        <v>141</v>
      </c>
      <c r="B156" s="2" t="s">
        <v>142</v>
      </c>
      <c r="C156" s="2" t="s">
        <v>11</v>
      </c>
      <c r="D156" s="2" t="s">
        <v>11</v>
      </c>
      <c r="E156" s="2" t="s">
        <v>53</v>
      </c>
      <c r="I156" s="6">
        <v>152.4</v>
      </c>
      <c r="J156" s="6">
        <v>152.4</v>
      </c>
    </row>
    <row r="157" spans="1:10" x14ac:dyDescent="0.25">
      <c r="A157" s="2" t="s">
        <v>141</v>
      </c>
      <c r="B157" s="2" t="s">
        <v>142</v>
      </c>
      <c r="C157" s="2" t="s">
        <v>11</v>
      </c>
      <c r="D157" s="2" t="s">
        <v>11</v>
      </c>
      <c r="E157" s="2" t="s">
        <v>143</v>
      </c>
      <c r="I157" s="6">
        <v>0.9</v>
      </c>
      <c r="J157" s="6">
        <v>0.9</v>
      </c>
    </row>
    <row r="158" spans="1:10" x14ac:dyDescent="0.25">
      <c r="A158" s="2" t="s">
        <v>141</v>
      </c>
      <c r="B158" s="2" t="s">
        <v>142</v>
      </c>
      <c r="C158" s="2" t="s">
        <v>11</v>
      </c>
      <c r="D158" s="2" t="s">
        <v>11</v>
      </c>
      <c r="E158" s="2" t="s">
        <v>144</v>
      </c>
      <c r="I158" s="6">
        <v>3</v>
      </c>
      <c r="J158" s="6">
        <v>3</v>
      </c>
    </row>
    <row r="159" spans="1:10" x14ac:dyDescent="0.25">
      <c r="A159" s="2" t="s">
        <v>141</v>
      </c>
      <c r="B159" s="2" t="s">
        <v>142</v>
      </c>
      <c r="C159" s="2" t="s">
        <v>11</v>
      </c>
      <c r="D159" s="2" t="s">
        <v>11</v>
      </c>
      <c r="E159" s="2" t="s">
        <v>145</v>
      </c>
      <c r="I159" s="6">
        <v>0.7</v>
      </c>
      <c r="J159" s="6">
        <v>0.7</v>
      </c>
    </row>
    <row r="160" spans="1:10" x14ac:dyDescent="0.25">
      <c r="A160" s="2" t="s">
        <v>141</v>
      </c>
      <c r="B160" s="2" t="s">
        <v>142</v>
      </c>
      <c r="C160" s="2" t="s">
        <v>11</v>
      </c>
      <c r="D160" s="2" t="s">
        <v>11</v>
      </c>
      <c r="E160" s="2" t="s">
        <v>146</v>
      </c>
      <c r="I160" s="6">
        <v>-7.0000000000000007E-2</v>
      </c>
      <c r="J160" s="6">
        <v>-7.0000000000000007E-2</v>
      </c>
    </row>
    <row r="161" spans="1:10" x14ac:dyDescent="0.25">
      <c r="A161" s="2" t="s">
        <v>141</v>
      </c>
      <c r="B161" s="2" t="s">
        <v>142</v>
      </c>
      <c r="C161" s="2" t="s">
        <v>11</v>
      </c>
      <c r="D161" s="2" t="s">
        <v>11</v>
      </c>
      <c r="E161" s="2" t="s">
        <v>147</v>
      </c>
      <c r="H161" s="6">
        <v>2488400</v>
      </c>
      <c r="J161" s="6">
        <v>2488400</v>
      </c>
    </row>
    <row r="162" spans="1:10" x14ac:dyDescent="0.25">
      <c r="A162" s="2" t="s">
        <v>141</v>
      </c>
      <c r="B162" s="2" t="s">
        <v>142</v>
      </c>
      <c r="C162" s="2" t="s">
        <v>11</v>
      </c>
      <c r="D162" s="2" t="s">
        <v>11</v>
      </c>
      <c r="E162" s="2" t="s">
        <v>148</v>
      </c>
      <c r="F162" s="6">
        <v>1857450</v>
      </c>
      <c r="J162" s="6">
        <v>1857450</v>
      </c>
    </row>
    <row r="163" spans="1:10" x14ac:dyDescent="0.25">
      <c r="A163" s="2" t="s">
        <v>141</v>
      </c>
      <c r="B163" s="2" t="s">
        <v>142</v>
      </c>
      <c r="C163" s="2" t="s">
        <v>11</v>
      </c>
      <c r="D163" s="2" t="s">
        <v>11</v>
      </c>
      <c r="E163" s="2" t="s">
        <v>149</v>
      </c>
      <c r="F163" s="6">
        <v>2752110</v>
      </c>
      <c r="J163" s="6">
        <v>2752110</v>
      </c>
    </row>
    <row r="164" spans="1:10" customFormat="1" ht="14.5" x14ac:dyDescent="0.35">
      <c r="F164" s="10"/>
      <c r="G164" s="10"/>
      <c r="H164" s="10"/>
      <c r="I164" s="10"/>
      <c r="J164" s="10"/>
    </row>
    <row r="165" spans="1:10" s="4" customFormat="1" x14ac:dyDescent="0.25">
      <c r="A165" s="3" t="s">
        <v>141</v>
      </c>
      <c r="B165" s="3" t="s">
        <v>142</v>
      </c>
      <c r="C165" s="3" t="s">
        <v>11</v>
      </c>
      <c r="D165" s="3" t="s">
        <v>11</v>
      </c>
      <c r="E165" s="3" t="s">
        <v>11</v>
      </c>
      <c r="F165" s="5">
        <f>SUBTOTAL(9, F156:F164)</f>
        <v>4609560</v>
      </c>
      <c r="G165" s="5">
        <f>SUBTOTAL(9, G156:G164)</f>
        <v>0</v>
      </c>
      <c r="H165" s="5">
        <f>SUBTOTAL(9, H156:H164)</f>
        <v>2488400</v>
      </c>
      <c r="I165" s="5">
        <f>SUBTOTAL(9, I156:I164)</f>
        <v>156.93</v>
      </c>
      <c r="J165" s="5">
        <f>SUBTOTAL(9, J156:J164)</f>
        <v>7098116.9299999997</v>
      </c>
    </row>
    <row r="166" spans="1:10" customFormat="1" ht="14.5" x14ac:dyDescent="0.35">
      <c r="F166" s="10"/>
      <c r="G166" s="10"/>
      <c r="H166" s="10"/>
      <c r="I166" s="10"/>
      <c r="J166" s="10"/>
    </row>
    <row r="167" spans="1:10" x14ac:dyDescent="0.25">
      <c r="A167" s="2" t="s">
        <v>150</v>
      </c>
      <c r="B167" s="2" t="s">
        <v>142</v>
      </c>
      <c r="C167" s="2" t="s">
        <v>11</v>
      </c>
      <c r="D167" s="2" t="s">
        <v>11</v>
      </c>
      <c r="E167" s="2" t="s">
        <v>53</v>
      </c>
      <c r="I167" s="6">
        <v>204</v>
      </c>
      <c r="J167" s="6">
        <v>204</v>
      </c>
    </row>
    <row r="168" spans="1:10" x14ac:dyDescent="0.25">
      <c r="A168" s="2" t="s">
        <v>150</v>
      </c>
      <c r="B168" s="2" t="s">
        <v>142</v>
      </c>
      <c r="C168" s="2" t="s">
        <v>11</v>
      </c>
      <c r="D168" s="2" t="s">
        <v>11</v>
      </c>
      <c r="E168" s="2" t="s">
        <v>151</v>
      </c>
      <c r="I168" s="6">
        <v>703192</v>
      </c>
      <c r="J168" s="6">
        <v>703192</v>
      </c>
    </row>
    <row r="169" spans="1:10" x14ac:dyDescent="0.25">
      <c r="A169" s="2" t="s">
        <v>150</v>
      </c>
      <c r="B169" s="2" t="s">
        <v>142</v>
      </c>
      <c r="C169" s="2" t="s">
        <v>11</v>
      </c>
      <c r="D169" s="2" t="s">
        <v>11</v>
      </c>
      <c r="E169" s="2" t="s">
        <v>152</v>
      </c>
      <c r="I169" s="6">
        <v>0.25</v>
      </c>
      <c r="J169" s="6">
        <v>0.25</v>
      </c>
    </row>
    <row r="170" spans="1:10" customFormat="1" ht="14.5" x14ac:dyDescent="0.35">
      <c r="F170" s="10"/>
      <c r="G170" s="10"/>
      <c r="H170" s="10"/>
      <c r="I170" s="10"/>
      <c r="J170" s="10"/>
    </row>
    <row r="171" spans="1:10" s="4" customFormat="1" x14ac:dyDescent="0.25">
      <c r="A171" s="3" t="s">
        <v>150</v>
      </c>
      <c r="B171" s="3" t="s">
        <v>142</v>
      </c>
      <c r="C171" s="3" t="s">
        <v>11</v>
      </c>
      <c r="D171" s="3" t="s">
        <v>11</v>
      </c>
      <c r="E171" s="3" t="s">
        <v>11</v>
      </c>
      <c r="F171" s="5">
        <f>SUBTOTAL(9, F167:F170)</f>
        <v>0</v>
      </c>
      <c r="G171" s="5">
        <f>SUBTOTAL(9, G167:G170)</f>
        <v>0</v>
      </c>
      <c r="H171" s="5">
        <f>SUBTOTAL(9, H167:H170)</f>
        <v>0</v>
      </c>
      <c r="I171" s="5">
        <f>SUBTOTAL(9, I167:I170)</f>
        <v>703396.25</v>
      </c>
      <c r="J171" s="5">
        <f>SUBTOTAL(9, J167:J170)</f>
        <v>703396.25</v>
      </c>
    </row>
    <row r="172" spans="1:10" customFormat="1" ht="14.5" x14ac:dyDescent="0.35">
      <c r="F172" s="10"/>
      <c r="G172" s="10"/>
      <c r="H172" s="10"/>
      <c r="I172" s="10"/>
      <c r="J172" s="10"/>
    </row>
    <row r="173" spans="1:10" x14ac:dyDescent="0.25">
      <c r="A173" s="2" t="s">
        <v>153</v>
      </c>
      <c r="B173" s="2" t="s">
        <v>154</v>
      </c>
      <c r="C173" s="2" t="s">
        <v>11</v>
      </c>
      <c r="D173" s="2" t="s">
        <v>11</v>
      </c>
      <c r="E173" s="2" t="s">
        <v>53</v>
      </c>
      <c r="I173" s="6">
        <v>-417.5</v>
      </c>
      <c r="J173" s="6">
        <v>-417.5</v>
      </c>
    </row>
    <row r="174" spans="1:10" customFormat="1" ht="14.5" x14ac:dyDescent="0.35">
      <c r="F174" s="10"/>
      <c r="G174" s="10"/>
      <c r="H174" s="10"/>
      <c r="I174" s="10"/>
      <c r="J174" s="10"/>
    </row>
    <row r="175" spans="1:10" s="4" customFormat="1" x14ac:dyDescent="0.25">
      <c r="A175" s="3" t="s">
        <v>153</v>
      </c>
      <c r="B175" s="3" t="s">
        <v>154</v>
      </c>
      <c r="C175" s="3" t="s">
        <v>11</v>
      </c>
      <c r="D175" s="3" t="s">
        <v>11</v>
      </c>
      <c r="E175" s="3" t="s">
        <v>11</v>
      </c>
      <c r="F175" s="5">
        <f>SUBTOTAL(9, F173:F174)</f>
        <v>0</v>
      </c>
      <c r="G175" s="5">
        <f>SUBTOTAL(9, G173:G174)</f>
        <v>0</v>
      </c>
      <c r="H175" s="5">
        <f>SUBTOTAL(9, H173:H174)</f>
        <v>0</v>
      </c>
      <c r="I175" s="5">
        <f>SUBTOTAL(9, I173:I174)</f>
        <v>-417.5</v>
      </c>
      <c r="J175" s="5">
        <f>SUBTOTAL(9, J173:J174)</f>
        <v>-417.5</v>
      </c>
    </row>
    <row r="176" spans="1:10" customFormat="1" ht="14.5" x14ac:dyDescent="0.35">
      <c r="F176" s="10"/>
      <c r="G176" s="10"/>
      <c r="H176" s="10"/>
      <c r="I176" s="10"/>
      <c r="J176" s="10"/>
    </row>
    <row r="177" spans="1:10" x14ac:dyDescent="0.25">
      <c r="A177" s="2" t="s">
        <v>155</v>
      </c>
      <c r="B177" s="2" t="s">
        <v>155</v>
      </c>
      <c r="C177" s="2" t="s">
        <v>11</v>
      </c>
      <c r="D177" s="2" t="s">
        <v>11</v>
      </c>
      <c r="E177" s="2" t="s">
        <v>156</v>
      </c>
      <c r="I177" s="6">
        <v>-20</v>
      </c>
      <c r="J177" s="6">
        <v>-20</v>
      </c>
    </row>
    <row r="178" spans="1:10" x14ac:dyDescent="0.25">
      <c r="A178" s="2" t="s">
        <v>155</v>
      </c>
      <c r="B178" s="2" t="s">
        <v>155</v>
      </c>
      <c r="C178" s="2" t="s">
        <v>11</v>
      </c>
      <c r="D178" s="2" t="s">
        <v>11</v>
      </c>
      <c r="E178" s="2" t="s">
        <v>157</v>
      </c>
      <c r="I178" s="6">
        <v>650000</v>
      </c>
      <c r="J178" s="6">
        <v>650000</v>
      </c>
    </row>
    <row r="179" spans="1:10" x14ac:dyDescent="0.25">
      <c r="A179" s="2" t="s">
        <v>155</v>
      </c>
      <c r="B179" s="2" t="s">
        <v>155</v>
      </c>
      <c r="C179" s="2" t="s">
        <v>11</v>
      </c>
      <c r="D179" s="2" t="s">
        <v>11</v>
      </c>
      <c r="E179" s="2" t="s">
        <v>158</v>
      </c>
      <c r="I179" s="6">
        <v>30220.05</v>
      </c>
      <c r="J179" s="6">
        <v>30220.05</v>
      </c>
    </row>
    <row r="180" spans="1:10" customFormat="1" ht="14.5" x14ac:dyDescent="0.35">
      <c r="F180" s="10"/>
      <c r="G180" s="10"/>
      <c r="H180" s="10"/>
      <c r="I180" s="10"/>
      <c r="J180" s="10"/>
    </row>
    <row r="181" spans="1:10" s="4" customFormat="1" x14ac:dyDescent="0.25">
      <c r="A181" s="3" t="s">
        <v>155</v>
      </c>
      <c r="B181" s="3" t="s">
        <v>155</v>
      </c>
      <c r="C181" s="3" t="s">
        <v>11</v>
      </c>
      <c r="D181" s="3" t="s">
        <v>11</v>
      </c>
      <c r="E181" s="3" t="s">
        <v>11</v>
      </c>
      <c r="F181" s="5">
        <f>SUBTOTAL(9, F177:F180)</f>
        <v>0</v>
      </c>
      <c r="G181" s="5">
        <f>SUBTOTAL(9, G177:G180)</f>
        <v>0</v>
      </c>
      <c r="H181" s="5">
        <f>SUBTOTAL(9, H177:H180)</f>
        <v>0</v>
      </c>
      <c r="I181" s="5">
        <f>SUBTOTAL(9, I177:I180)</f>
        <v>680200.05</v>
      </c>
      <c r="J181" s="5">
        <f>SUBTOTAL(9, J177:J180)</f>
        <v>680200.05</v>
      </c>
    </row>
    <row r="182" spans="1:10" customFormat="1" ht="14.5" x14ac:dyDescent="0.35">
      <c r="F182" s="10"/>
      <c r="G182" s="10"/>
      <c r="H182" s="10"/>
      <c r="I182" s="10"/>
      <c r="J182" s="10"/>
    </row>
    <row r="183" spans="1:10" s="4" customFormat="1" ht="12" thickBot="1" x14ac:dyDescent="0.3">
      <c r="A183" s="3" t="s">
        <v>159</v>
      </c>
      <c r="B183" s="3" t="s">
        <v>11</v>
      </c>
      <c r="C183" s="3" t="s">
        <v>11</v>
      </c>
      <c r="D183" s="3" t="s">
        <v>11</v>
      </c>
      <c r="E183" s="3" t="s">
        <v>11</v>
      </c>
      <c r="F183" s="5">
        <f>SUBTOTAL(9, F2:F182)</f>
        <v>147064155</v>
      </c>
      <c r="G183" s="5">
        <f>SUBTOTAL(9, G2:G182)</f>
        <v>74304351.799999997</v>
      </c>
      <c r="H183" s="5">
        <f>SUBTOTAL(9, H2:H182)</f>
        <v>65473100.399999999</v>
      </c>
      <c r="I183" s="5">
        <f>SUBTOTAL(9, I2:I182)</f>
        <v>303011811.28999996</v>
      </c>
      <c r="J183" s="5">
        <f>SUBTOTAL(9, J2:J182)</f>
        <v>589853418.48999989</v>
      </c>
    </row>
    <row r="184" spans="1:10" customFormat="1" ht="15.5" thickTop="1" thickBot="1" x14ac:dyDescent="0.4">
      <c r="A184" s="11"/>
      <c r="B184" s="11"/>
      <c r="C184" s="11"/>
      <c r="D184" s="11"/>
      <c r="E184" s="11"/>
      <c r="F184" s="12"/>
      <c r="G184" s="12"/>
      <c r="H184" s="12"/>
      <c r="I184" s="12"/>
      <c r="J184" s="12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&amp;11&amp;BAged Payables&amp;B
&amp;BAs of Jun 30, 2026&amp;B&amp;L&amp;"Arial"&amp;12
&amp;11
&amp;"Arial"&amp;8Filter Criteria includes: 1) Includes Drop Shipments. Report order is by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Aged Payables</vt:lpstr>
      <vt:lpstr>'Aged Payables'!Print_Titles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2026-07-01T12:19:18Z</dcterms:created>
  <dcterms:modified xsi:type="dcterms:W3CDTF">2026-07-01T12:20:58Z</dcterms:modified>
</cp:coreProperties>
</file>